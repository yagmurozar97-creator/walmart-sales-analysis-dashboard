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8FC3972-5A9E-4711-B149-0C387DF98A03}" xr6:coauthVersionLast="47" xr6:coauthVersionMax="47" xr10:uidLastSave="{00000000-0000-0000-0000-000000000000}"/>
  <bookViews>
    <workbookView xWindow="-108" yWindow="-108" windowWidth="23256" windowHeight="12456" firstSheet="2" activeTab="3" xr2:uid="{060B1069-9CAA-4820-B978-E42B5368C55E}"/>
  </bookViews>
  <sheets>
    <sheet name="Bottom 5" sheetId="6" state="hidden" r:id="rId1"/>
    <sheet name="Top 5" sheetId="7" state="hidden" r:id="rId2"/>
    <sheet name="Walmart" sheetId="2" r:id="rId3"/>
    <sheet name="Overview Analysis" sheetId="1" r:id="rId4"/>
    <sheet name="Holiday" sheetId="10" state="hidden" r:id="rId5"/>
    <sheet name="Holiday Dist" sheetId="11" state="hidden" r:id="rId6"/>
    <sheet name="Sales Trend" sheetId="8" state="hidden" r:id="rId7"/>
    <sheet name="Monthly Sales" sheetId="9" state="hidden" r:id="rId8"/>
    <sheet name="Economic_Factors_Analysis" sheetId="5" state="hidden" r:id="rId9"/>
  </sheets>
  <definedNames>
    <definedName name="ExternalData_1" localSheetId="2" hidden="1">Walmart!$A$1:$H$6436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2" i="1" l="1"/>
  <c r="Q20" i="1"/>
  <c r="Q18" i="1"/>
  <c r="Q16" i="1"/>
  <c r="D27" i="1"/>
  <c r="C27" i="1"/>
  <c r="D23" i="1"/>
  <c r="C23" i="1"/>
  <c r="B11" i="5"/>
  <c r="B9" i="5"/>
  <c r="B7" i="5"/>
  <c r="B5" i="5"/>
  <c r="E27" i="1"/>
  <c r="C25" i="1"/>
  <c r="D25" i="1"/>
  <c r="E25" i="1"/>
  <c r="E23" i="1"/>
  <c r="E21" i="1"/>
  <c r="D21" i="1"/>
  <c r="C21" i="1"/>
  <c r="C7" i="1"/>
  <c r="D6" i="1"/>
  <c r="C6" i="1"/>
  <c r="C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20942E-E3D0-4EBD-8EDE-F44BDC6E9852}" keepAlive="1" name="Query - Walmart" description="Connection to the 'Walmart' query in the workbook." type="5" refreshedVersion="8" background="1" saveData="1">
    <dbPr connection="Provider=Microsoft.Mashup.OleDb.1;Data Source=$Workbook$;Location=Walmart;Extended Properties=&quot;&quot;" command="SELECT * FROM [Walmart]"/>
  </connection>
</connections>
</file>

<file path=xl/sharedStrings.xml><?xml version="1.0" encoding="utf-8"?>
<sst xmlns="http://schemas.openxmlformats.org/spreadsheetml/2006/main" count="6543" uniqueCount="99">
  <si>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</si>
  <si>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</si>
  <si>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</si>
  <si>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</si>
  <si>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</si>
  <si>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</si>
  <si>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</si>
  <si>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</si>
  <si>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</si>
  <si>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</si>
  <si>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</si>
  <si>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</si>
  <si>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</si>
  <si>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</si>
  <si>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</si>
  <si>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</si>
  <si>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</si>
  <si>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</si>
  <si>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</si>
  <si>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</si>
  <si>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</si>
  <si>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</si>
  <si>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</si>
  <si>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</si>
  <si>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</si>
  <si>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</si>
  <si>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</si>
  <si>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</si>
  <si>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</si>
  <si>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</si>
  <si>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</si>
  <si>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</si>
  <si>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</si>
  <si>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</si>
  <si>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</si>
  <si>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</si>
  <si>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</si>
  <si>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</si>
  <si>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</si>
  <si>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</si>
  <si>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</si>
  <si>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</si>
  <si>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</si>
  <si>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</si>
  <si>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</si>
  <si>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</si>
  <si>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</si>
  <si>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</si>
  <si>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</si>
  <si>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</si>
  <si>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</si>
  <si>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</si>
  <si>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</si>
  <si>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GENERAL ANALYSIS</t>
  </si>
  <si>
    <t>Total Store</t>
  </si>
  <si>
    <t>Total Sales</t>
  </si>
  <si>
    <t>Avg Sales per Store</t>
  </si>
  <si>
    <t>Grand Total</t>
  </si>
  <si>
    <t>Count of Date</t>
  </si>
  <si>
    <t>Holiday</t>
  </si>
  <si>
    <t>Temparature</t>
  </si>
  <si>
    <t>Min</t>
  </si>
  <si>
    <t>Max</t>
  </si>
  <si>
    <t>Avg</t>
  </si>
  <si>
    <t>Sum of Weekly_Sales</t>
  </si>
  <si>
    <t>Oca</t>
  </si>
  <si>
    <t>Şub</t>
  </si>
  <si>
    <t>Mar</t>
  </si>
  <si>
    <t>Nis</t>
  </si>
  <si>
    <t>May</t>
  </si>
  <si>
    <t>Haz</t>
  </si>
  <si>
    <t>Tem</t>
  </si>
  <si>
    <t>Ağu</t>
  </si>
  <si>
    <t>Eyl</t>
  </si>
  <si>
    <t>Eki</t>
  </si>
  <si>
    <t>Kas</t>
  </si>
  <si>
    <t>Ara</t>
  </si>
  <si>
    <t>Average of Weekly_Sales</t>
  </si>
  <si>
    <t>Weekly Sales vs CPI</t>
  </si>
  <si>
    <t>Correlation</t>
  </si>
  <si>
    <t>R^2</t>
  </si>
  <si>
    <t>Weekly Sales vs Fuel Price</t>
  </si>
  <si>
    <t>Weekly Sales vs Unemployment</t>
  </si>
  <si>
    <t>Weekly Sales vs Tepmarature</t>
  </si>
  <si>
    <t>Total_Weekly_Sales</t>
  </si>
  <si>
    <t>Month</t>
  </si>
  <si>
    <t>Holiday Distribution</t>
  </si>
  <si>
    <t xml:space="preserve"> Fuel Price</t>
  </si>
  <si>
    <t xml:space="preserve">Unemployment </t>
  </si>
  <si>
    <t>Avg of Weekly_Sales</t>
  </si>
  <si>
    <t>TIME SERIES ANALYSIS</t>
  </si>
  <si>
    <t>Variable</t>
  </si>
  <si>
    <t xml:space="preserve"> Sales vs CPI</t>
  </si>
  <si>
    <t>Sales vs Fuel Price</t>
  </si>
  <si>
    <t xml:space="preserve"> Sales vs Unemployment</t>
  </si>
  <si>
    <t>Sales vs Tepmarature</t>
  </si>
  <si>
    <t xml:space="preserve">Macroeconomic variables show weak </t>
  </si>
  <si>
    <t>correlation with weekly sales.</t>
  </si>
  <si>
    <t>CORRELATION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</si>
</sst>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[$$-409]* #,##0.00_ ;_-[$$-409]* \-#,##0.00\ ;_-[$$-409]* &quot;-&quot;??_ ;_-@_ "/>
    <numFmt numFmtId="165" formatCode="_-[$$-409]* 0.0,,,&quot;B&quot;"/>
    <numFmt numFmtId="166" formatCode="_-[$$-409]* 0,,&quot;M&quot;"/>
    <numFmt numFmtId="167" formatCode="0.0"/>
    <numFmt numFmtId="168" formatCode="_-[$$-409]* 0.0,,&quot;M&quot;"/>
    <numFmt numFmtId="169" formatCode="0.000"/>
    <numFmt numFmtId="170" formatCode="_-[$$-409]* 0.00,,&quot;M&quot;"/>
  </numFmts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169" fontId="0" fillId="0" borderId="0" xfId="0" applyNumberFormat="1"/>
    <xf numFmtId="0" fontId="1" fillId="0" borderId="0" xfId="0" applyFont="1" applyAlignment="1">
      <alignment horizontal="center" vertical="center"/>
    </xf>
    <xf numFmtId="49" fontId="0" fillId="0" borderId="0" xfId="0" applyNumberFormat="1"/>
    <xf numFmtId="170" fontId="0" fillId="0" borderId="0" xfId="0" applyNumberFormat="1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14" fontId="0" fillId="2" borderId="1" xfId="0" applyNumberFormat="1" applyFill="1" applyBorder="1"/>
    <xf numFmtId="0" fontId="1" fillId="2" borderId="7" xfId="0" applyFont="1" applyFill="1" applyBorder="1"/>
    <xf numFmtId="165" fontId="0" fillId="2" borderId="7" xfId="0" applyNumberFormat="1" applyFill="1" applyBorder="1"/>
    <xf numFmtId="0" fontId="0" fillId="2" borderId="7" xfId="0" applyFill="1" applyBorder="1"/>
    <xf numFmtId="166" fontId="0" fillId="2" borderId="7" xfId="0" applyNumberFormat="1" applyFill="1" applyBorder="1"/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2" borderId="3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5" xfId="0" applyFon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3" xfId="0" applyFont="1" applyFill="1" applyBorder="1"/>
    <xf numFmtId="164" fontId="0" fillId="2" borderId="5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7" fontId="0" fillId="2" borderId="5" xfId="0" applyNumberFormat="1" applyFill="1" applyBorder="1" applyAlignment="1">
      <alignment horizontal="center" vertical="center"/>
    </xf>
    <xf numFmtId="167" fontId="0" fillId="2" borderId="6" xfId="0" applyNumberFormat="1" applyFill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3" borderId="0" xfId="0" applyFill="1"/>
    <xf numFmtId="0" fontId="0" fillId="3" borderId="2" xfId="0" applyFill="1" applyBorder="1" applyAlignment="1">
      <alignment horizontal="left"/>
    </xf>
    <xf numFmtId="166" fontId="0" fillId="3" borderId="2" xfId="0" applyNumberFormat="1" applyFill="1" applyBorder="1"/>
    <xf numFmtId="14" fontId="0" fillId="3" borderId="0" xfId="0" applyNumberFormat="1" applyFill="1" applyAlignment="1">
      <alignment horizontal="left"/>
    </xf>
    <xf numFmtId="166" fontId="0" fillId="3" borderId="0" xfId="0" applyNumberFormat="1" applyFill="1"/>
    <xf numFmtId="0" fontId="0" fillId="3" borderId="0" xfId="0" applyFill="1" applyAlignment="1">
      <alignment horizontal="left"/>
    </xf>
    <xf numFmtId="2" fontId="0" fillId="3" borderId="0" xfId="0" applyNumberFormat="1" applyFill="1"/>
    <xf numFmtId="169" fontId="0" fillId="3" borderId="0" xfId="0" applyNumberFormat="1" applyFill="1"/>
    <xf numFmtId="170" fontId="0" fillId="3" borderId="2" xfId="0" applyNumberFormat="1" applyFill="1" applyBorder="1"/>
    <xf numFmtId="0" fontId="0" fillId="4" borderId="2" xfId="0" applyFill="1" applyBorder="1"/>
    <xf numFmtId="0" fontId="0" fillId="4" borderId="0" xfId="0" applyFill="1"/>
    <xf numFmtId="0" fontId="2" fillId="2" borderId="2" xfId="0" applyFont="1" applyFill="1" applyBorder="1"/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4" borderId="2" xfId="0" applyFill="1" applyBorder="1" applyAlignment="1">
      <alignment horizontal="center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109">
    <dxf>
      <numFmt numFmtId="166" formatCode="_-[$$-409]* 0,,&quot;M&quot;"/>
    </dxf>
    <dxf>
      <numFmt numFmtId="166" formatCode="_-[$$-409]* 0,,&quot;M&quot;"/>
    </dxf>
    <dxf>
      <numFmt numFmtId="168" formatCode="_-[$$-409]* 0.0,,&quot;M&quot;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charset val="16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numFmt numFmtId="170" formatCode="_-[$$-409]* 0.00,,&quot;M&quot;"/>
    </dxf>
    <dxf>
      <numFmt numFmtId="170" formatCode="_-[$$-409]* 0.00,,&quot;M&quot;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68" formatCode="_-[$$-409]* 0.0,,&quot;M&quot;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numFmt numFmtId="166" formatCode="_-[$$-409]* 0,,&quot;M&quot;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[$$-409]* 0,,&quot;M&quot;"/>
    </dxf>
    <dxf>
      <numFmt numFmtId="166" formatCode="_-[$$-409]* 0,,&quot;M&quot;"/>
    </dxf>
    <dxf>
      <numFmt numFmtId="166" formatCode="_-[$$-409]* 0,,&quot;M&quot;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[$$-409]* 0,,&quot;M&quot;"/>
    </dxf>
    <dxf>
      <numFmt numFmtId="166" formatCode="_-[$$-409]* 0,,&quot;M&quot;"/>
    </dxf>
    <dxf>
      <numFmt numFmtId="166" formatCode="_-[$$-409]* 0,,&quot;M&quot;"/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numFmt numFmtId="166" formatCode="_-[$$-409]* 0,,&quot;M&quot;"/>
    </dxf>
    <dxf>
      <font>
        <sz val="9"/>
      </font>
    </dxf>
    <dxf>
      <font>
        <sz val="9"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66" formatCode="_-[$$-409]* 0,,&quot;M&quot;"/>
    </dxf>
    <dxf>
      <numFmt numFmtId="166" formatCode="_-[$$-409]* 0,,&quot;M&quot;"/>
    </dxf>
    <dxf>
      <numFmt numFmtId="30" formatCode="@"/>
      <alignment horizontal="left" vertical="bottom" textRotation="0" wrapText="0" indent="0" justifyLastLine="0" shrinkToFit="0" readingOrder="0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52.625415625" createdVersion="8" refreshedVersion="8" minRefreshableVersion="3" recordCount="6435" xr:uid="{8EFC07BA-405E-4F31-A1D8-13CD82D14996}">
  <cacheSource type="worksheet">
    <worksheetSource name="Walmart"/>
  </cacheSource>
  <cacheFields count="11">
    <cacheField name="Store" numFmtId="0">
      <sharedItems count="45">
        <s v="1"/>
        <s v="2"/>
        <s v="3"/>
        <s v="4"/>
        <s v="5"/>
        <s v="6"/>
        <s v="7"/>
        <s v="8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  <s v="44"/>
        <s v="45"/>
      </sharedItems>
    </cacheField>
    <cacheField name="Date" numFmtId="14">
      <sharedItems containsSemiMixedTypes="0" containsNonDate="0" containsDate="1" containsString="0" minDate="2010-02-05T00:00:00" maxDate="2012-10-27T00:00:00" count="143">
        <d v="2010-02-05T00:00:00"/>
        <d v="2010-02-12T00:00:00"/>
        <d v="2010-02-19T00:00:00"/>
        <d v="2010-02-26T00:00:00"/>
        <d v="2010-03-05T00:00:00"/>
        <d v="2010-03-12T00:00:00"/>
        <d v="2010-03-19T00:00:00"/>
        <d v="2010-03-26T00:00:00"/>
        <d v="2010-04-02T00:00:00"/>
        <d v="2010-04-09T00:00:00"/>
        <d v="2010-04-16T00:00:00"/>
        <d v="2010-04-23T00:00:00"/>
        <d v="2010-04-30T00:00:00"/>
        <d v="2010-05-07T00:00:00"/>
        <d v="2010-05-14T00:00:00"/>
        <d v="2010-05-21T00:00:00"/>
        <d v="2010-05-28T00:00:00"/>
        <d v="2010-06-04T00:00:00"/>
        <d v="2010-06-11T00:00:00"/>
        <d v="2010-06-18T00:00:00"/>
        <d v="2010-06-25T00:00:00"/>
        <d v="2010-07-02T00:00:00"/>
        <d v="2010-07-09T00:00:00"/>
        <d v="2010-07-16T00:00:00"/>
        <d v="2010-07-23T00:00:00"/>
        <d v="2010-07-30T00:00:00"/>
        <d v="2010-08-06T00:00:00"/>
        <d v="2010-08-13T00:00:00"/>
        <d v="2010-08-20T00:00:00"/>
        <d v="2010-08-27T00:00:00"/>
        <d v="2010-09-03T00:00:00"/>
        <d v="2010-09-10T00:00:00"/>
        <d v="2010-09-17T00:00:00"/>
        <d v="2010-09-24T00:00:00"/>
        <d v="2010-10-01T00:00:00"/>
        <d v="2010-10-08T00:00:00"/>
        <d v="2010-10-15T00:00:00"/>
        <d v="2010-10-22T00:00:00"/>
        <d v="2010-10-29T00:00:00"/>
        <d v="2010-11-05T00:00:00"/>
        <d v="2010-11-12T00:00:00"/>
        <d v="2010-11-19T00:00:00"/>
        <d v="2010-11-26T00:00:00"/>
        <d v="2010-12-03T00:00:00"/>
        <d v="2010-12-10T00:00:00"/>
        <d v="2010-12-17T00:00:00"/>
        <d v="2010-12-24T00:00:00"/>
        <d v="2010-12-31T00:00:00"/>
        <d v="2011-01-07T00:00:00"/>
        <d v="2011-01-14T00:00:00"/>
        <d v="2011-01-21T00:00:00"/>
        <d v="2011-01-28T00:00:00"/>
        <d v="2011-02-04T00:00:00"/>
        <d v="2011-02-11T00:00:00"/>
        <d v="2011-02-18T00:00:00"/>
        <d v="2011-02-25T00:00:00"/>
        <d v="2011-03-04T00:00:00"/>
        <d v="2011-03-11T00:00:00"/>
        <d v="2011-03-18T00:00:00"/>
        <d v="2011-03-25T00:00:00"/>
        <d v="2011-04-01T00:00:00"/>
        <d v="2011-04-08T00:00:00"/>
        <d v="2011-04-15T00:00:00"/>
        <d v="2011-04-22T00:00:00"/>
        <d v="2011-04-29T00:00:00"/>
        <d v="2011-05-06T00:00:00"/>
        <d v="2011-05-13T00:00:00"/>
        <d v="2011-05-20T00:00:00"/>
        <d v="2011-05-27T00:00:00"/>
        <d v="2011-06-03T00:00:00"/>
        <d v="2011-06-10T00:00:00"/>
        <d v="2011-06-17T00:00:00"/>
        <d v="2011-06-24T00:00:00"/>
        <d v="2011-07-01T00:00:00"/>
        <d v="2011-07-08T00:00:00"/>
        <d v="2011-07-15T00:00:00"/>
        <d v="2011-07-22T00:00:00"/>
        <d v="2011-07-29T00:00:00"/>
        <d v="2011-08-05T00:00:00"/>
        <d v="2011-08-12T00:00:00"/>
        <d v="2011-08-19T00:00:00"/>
        <d v="2011-08-26T00:00:00"/>
        <d v="2011-09-02T00:00:00"/>
        <d v="2011-09-09T00:00:00"/>
        <d v="2011-09-16T00:00:00"/>
        <d v="2011-09-23T00:00:00"/>
        <d v="2011-09-30T00:00:00"/>
        <d v="2011-10-07T00:00:00"/>
        <d v="2011-10-14T00:00:00"/>
        <d v="2011-10-21T00:00:00"/>
        <d v="2011-10-28T00:00:00"/>
        <d v="2011-11-04T00:00:00"/>
        <d v="2011-11-11T00:00:00"/>
        <d v="2011-11-18T00:00:00"/>
        <d v="2011-11-25T00:00:00"/>
        <d v="2011-12-02T00:00:00"/>
        <d v="2011-12-09T00:00:00"/>
        <d v="2011-12-16T00:00:00"/>
        <d v="2011-12-23T00:00:00"/>
        <d v="2011-12-30T00:00:00"/>
        <d v="2012-01-06T00:00:00"/>
        <d v="2012-01-13T00:00:00"/>
        <d v="2012-01-20T00:00:00"/>
        <d v="2012-01-27T00:00:00"/>
        <d v="2012-02-03T00:00:00"/>
        <d v="2012-02-10T00:00:00"/>
        <d v="2012-02-17T00:00:00"/>
        <d v="2012-02-24T00:00:00"/>
        <d v="2012-03-02T00:00:00"/>
        <d v="2012-03-09T00:00:00"/>
        <d v="2012-03-16T00:00:00"/>
        <d v="2012-03-23T00:00:00"/>
        <d v="2012-03-30T00:00:00"/>
        <d v="2012-04-06T00:00:00"/>
        <d v="2012-04-13T00:00:00"/>
        <d v="2012-04-20T00:00:00"/>
        <d v="2012-04-27T00:00:00"/>
        <d v="2012-05-04T00:00:00"/>
        <d v="2012-05-11T00:00:00"/>
        <d v="2012-05-18T00:00:00"/>
        <d v="2012-05-25T00:00:00"/>
        <d v="2012-06-01T00:00:00"/>
        <d v="2012-06-08T00:00:00"/>
        <d v="2012-06-15T00:00:00"/>
        <d v="2012-06-22T00:00:00"/>
        <d v="2012-06-29T00:00:00"/>
        <d v="2012-07-06T00:00:00"/>
        <d v="2012-07-13T00:00:00"/>
        <d v="2012-07-20T00:00:00"/>
        <d v="2012-07-27T00:00:00"/>
        <d v="2012-08-03T00:00:00"/>
        <d v="2012-08-10T00:00:00"/>
        <d v="2012-08-17T00:00:00"/>
        <d v="2012-08-24T00:00:00"/>
        <d v="2012-08-31T00:00:00"/>
        <d v="2012-09-07T00:00:00"/>
        <d v="2012-09-14T00:00:00"/>
        <d v="2012-09-21T00:00:00"/>
        <d v="2012-09-28T00:00:00"/>
        <d v="2012-10-05T00:00:00"/>
        <d v="2012-10-12T00:00:00"/>
        <d v="2012-10-19T00:00:00"/>
        <d v="2012-10-26T00:00:00"/>
      </sharedItems>
      <fieldGroup par="10"/>
    </cacheField>
    <cacheField name="Weekly_Sales" numFmtId="0">
      <sharedItems containsSemiMixedTypes="0" containsString="0" containsNumber="1" minValue="209986.25" maxValue="3818686.45"/>
    </cacheField>
    <cacheField name="Holiday_Flag" numFmtId="0">
      <sharedItems containsSemiMixedTypes="0" containsString="0" containsNumber="1" containsInteger="1" minValue="0" maxValue="1" count="2">
        <n v="0"/>
        <n v="1"/>
      </sharedItems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  <cacheField name="Months (Date)" numFmtId="0" databaseField="0">
      <fieldGroup base="1">
        <rangePr groupBy="months" startDate="2010-02-05T00:00:00" endDate="2012-10-27T00:00:00"/>
        <groupItems count="14">
          <s v="&lt;5.02.2010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7.10.2012"/>
        </groupItems>
      </fieldGroup>
    </cacheField>
    <cacheField name="Quarters (Date)" numFmtId="0" databaseField="0">
      <fieldGroup base="1">
        <rangePr groupBy="quarters" startDate="2010-02-05T00:00:00" endDate="2012-10-27T00:00:00"/>
        <groupItems count="6">
          <s v="&lt;5.02.2010"/>
          <s v="Qtr1"/>
          <s v="Qtr2"/>
          <s v="Qtr3"/>
          <s v="Qtr4"/>
          <s v="&gt;27.10.2012"/>
        </groupItems>
      </fieldGroup>
    </cacheField>
    <cacheField name="Years (Date)" numFmtId="0" databaseField="0">
      <fieldGroup base="1">
        <rangePr groupBy="years" startDate="2010-02-05T00:00:00" endDate="2012-10-27T00:00:00"/>
        <groupItems count="5">
          <s v="&lt;5.02.2010"/>
          <s v="2010"/>
          <s v="2011"/>
          <s v="2012"/>
          <s v="&gt;27.10.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x v="0"/>
    <x v="0"/>
    <n v="1643690.9"/>
    <x v="0"/>
    <n v="42.31"/>
    <n v="2.5720000000000001"/>
    <n v="211.0963582"/>
    <n v="8.1059999999999999"/>
  </r>
  <r>
    <x v="0"/>
    <x v="1"/>
    <n v="1641957.44"/>
    <x v="1"/>
    <n v="38.51"/>
    <n v="2.548"/>
    <n v="211.2421698"/>
    <n v="8.1059999999999999"/>
  </r>
  <r>
    <x v="0"/>
    <x v="2"/>
    <n v="1611968.17"/>
    <x v="0"/>
    <n v="39.93"/>
    <n v="2.5139999999999998"/>
    <n v="211.2891429"/>
    <n v="8.1059999999999999"/>
  </r>
  <r>
    <x v="0"/>
    <x v="3"/>
    <n v="1409727.59"/>
    <x v="0"/>
    <n v="46.63"/>
    <n v="2.5609999999999999"/>
    <n v="211.31964289999999"/>
    <n v="8.1059999999999999"/>
  </r>
  <r>
    <x v="0"/>
    <x v="4"/>
    <n v="1554806.68"/>
    <x v="0"/>
    <n v="46.5"/>
    <n v="2.625"/>
    <n v="211.35014290000001"/>
    <n v="8.1059999999999999"/>
  </r>
  <r>
    <x v="0"/>
    <x v="5"/>
    <n v="1439541.59"/>
    <x v="0"/>
    <n v="57.79"/>
    <n v="2.6669999999999998"/>
    <n v="211.3806429"/>
    <n v="8.1059999999999999"/>
  </r>
  <r>
    <x v="0"/>
    <x v="6"/>
    <n v="1472515.79"/>
    <x v="0"/>
    <n v="54.58"/>
    <n v="2.72"/>
    <n v="211.21563499999999"/>
    <n v="8.1059999999999999"/>
  </r>
  <r>
    <x v="0"/>
    <x v="7"/>
    <n v="1404429.92"/>
    <x v="0"/>
    <n v="51.45"/>
    <n v="2.7320000000000002"/>
    <n v="211.01804240000001"/>
    <n v="8.1059999999999999"/>
  </r>
  <r>
    <x v="0"/>
    <x v="8"/>
    <n v="1594968.28"/>
    <x v="0"/>
    <n v="62.27"/>
    <n v="2.7189999999999999"/>
    <n v="210.8204499"/>
    <n v="7.8079999999999998"/>
  </r>
  <r>
    <x v="0"/>
    <x v="9"/>
    <n v="1545418.53"/>
    <x v="0"/>
    <n v="65.86"/>
    <n v="2.77"/>
    <n v="210.62285739999999"/>
    <n v="7.8079999999999998"/>
  </r>
  <r>
    <x v="0"/>
    <x v="10"/>
    <n v="1466058.28"/>
    <x v="0"/>
    <n v="66.319999999999993"/>
    <n v="2.8079999999999998"/>
    <n v="210.48869999999999"/>
    <n v="7.8079999999999998"/>
  </r>
  <r>
    <x v="0"/>
    <x v="11"/>
    <n v="1391256.12"/>
    <x v="0"/>
    <n v="64.84"/>
    <n v="2.7949999999999999"/>
    <n v="210.43912280000001"/>
    <n v="7.8079999999999998"/>
  </r>
  <r>
    <x v="0"/>
    <x v="12"/>
    <n v="1425100.71"/>
    <x v="0"/>
    <n v="67.41"/>
    <n v="2.78"/>
    <n v="210.38954559999999"/>
    <n v="7.8079999999999998"/>
  </r>
  <r>
    <x v="0"/>
    <x v="13"/>
    <n v="1603955.12"/>
    <x v="0"/>
    <n v="72.55"/>
    <n v="2.835"/>
    <n v="210.3399684"/>
    <n v="7.8079999999999998"/>
  </r>
  <r>
    <x v="0"/>
    <x v="14"/>
    <n v="1494251.5"/>
    <x v="0"/>
    <n v="74.78"/>
    <n v="2.8540000000000001"/>
    <n v="210.33742609999999"/>
    <n v="7.8079999999999998"/>
  </r>
  <r>
    <x v="0"/>
    <x v="15"/>
    <n v="1399662.07"/>
    <x v="0"/>
    <n v="76.44"/>
    <n v="2.8260000000000001"/>
    <n v="210.61709339999999"/>
    <n v="7.8079999999999998"/>
  </r>
  <r>
    <x v="0"/>
    <x v="16"/>
    <n v="1432069.95"/>
    <x v="0"/>
    <n v="80.44"/>
    <n v="2.7589999999999999"/>
    <n v="210.89676059999999"/>
    <n v="7.8079999999999998"/>
  </r>
  <r>
    <x v="0"/>
    <x v="17"/>
    <n v="1615524.71"/>
    <x v="0"/>
    <n v="80.69"/>
    <n v="2.7050000000000001"/>
    <n v="211.1764278"/>
    <n v="7.8079999999999998"/>
  </r>
  <r>
    <x v="0"/>
    <x v="18"/>
    <n v="1542561.09"/>
    <x v="0"/>
    <n v="80.430000000000007"/>
    <n v="2.6680000000000001"/>
    <n v="211.4560951"/>
    <n v="7.8079999999999998"/>
  </r>
  <r>
    <x v="0"/>
    <x v="19"/>
    <n v="1503284.06"/>
    <x v="0"/>
    <n v="84.11"/>
    <n v="2.637"/>
    <n v="211.45377189999999"/>
    <n v="7.8079999999999998"/>
  </r>
  <r>
    <x v="0"/>
    <x v="20"/>
    <n v="1422711.6"/>
    <x v="0"/>
    <n v="84.34"/>
    <n v="2.653"/>
    <n v="211.33865259999999"/>
    <n v="7.8079999999999998"/>
  </r>
  <r>
    <x v="0"/>
    <x v="21"/>
    <n v="1492418.14"/>
    <x v="0"/>
    <n v="80.91"/>
    <n v="2.669"/>
    <n v="211.22353330000001"/>
    <n v="7.7869999999999999"/>
  </r>
  <r>
    <x v="0"/>
    <x v="22"/>
    <n v="1546074.18"/>
    <x v="0"/>
    <n v="80.48"/>
    <n v="2.6419999999999999"/>
    <n v="211.10841400000001"/>
    <n v="7.7869999999999999"/>
  </r>
  <r>
    <x v="0"/>
    <x v="23"/>
    <n v="1448938.92"/>
    <x v="0"/>
    <n v="83.15"/>
    <n v="2.6230000000000002"/>
    <n v="211.10038539999999"/>
    <n v="7.7869999999999999"/>
  </r>
  <r>
    <x v="0"/>
    <x v="24"/>
    <n v="1385065.2"/>
    <x v="0"/>
    <n v="83.36"/>
    <n v="2.6080000000000001"/>
    <n v="211.2351443"/>
    <n v="7.7869999999999999"/>
  </r>
  <r>
    <x v="0"/>
    <x v="25"/>
    <n v="1371986.6"/>
    <x v="0"/>
    <n v="81.84"/>
    <n v="2.64"/>
    <n v="211.36990320000001"/>
    <n v="7.7869999999999999"/>
  </r>
  <r>
    <x v="0"/>
    <x v="26"/>
    <n v="1605491.78"/>
    <x v="0"/>
    <n v="87.16"/>
    <n v="2.6269999999999998"/>
    <n v="211.50466209999999"/>
    <n v="7.7869999999999999"/>
  </r>
  <r>
    <x v="0"/>
    <x v="27"/>
    <n v="1508237.76"/>
    <x v="0"/>
    <n v="87"/>
    <n v="2.6920000000000002"/>
    <n v="211.63942109999999"/>
    <n v="7.7869999999999999"/>
  </r>
  <r>
    <x v="0"/>
    <x v="28"/>
    <n v="1513080.49"/>
    <x v="0"/>
    <n v="86.65"/>
    <n v="2.6640000000000001"/>
    <n v="211.60336330000001"/>
    <n v="7.7869999999999999"/>
  </r>
  <r>
    <x v="0"/>
    <x v="29"/>
    <n v="1449142.92"/>
    <x v="0"/>
    <n v="85.22"/>
    <n v="2.6190000000000002"/>
    <n v="211.5673056"/>
    <n v="7.7869999999999999"/>
  </r>
  <r>
    <x v="0"/>
    <x v="30"/>
    <n v="1540163.53"/>
    <x v="0"/>
    <n v="81.209999999999994"/>
    <n v="2.577"/>
    <n v="211.53124790000001"/>
    <n v="7.7869999999999999"/>
  </r>
  <r>
    <x v="0"/>
    <x v="31"/>
    <n v="1507460.69"/>
    <x v="1"/>
    <n v="78.69"/>
    <n v="2.5649999999999999"/>
    <n v="211.4951902"/>
    <n v="7.7869999999999999"/>
  </r>
  <r>
    <x v="0"/>
    <x v="32"/>
    <n v="1430378.67"/>
    <x v="0"/>
    <n v="82.11"/>
    <n v="2.5819999999999999"/>
    <n v="211.52245959999999"/>
    <n v="7.7869999999999999"/>
  </r>
  <r>
    <x v="0"/>
    <x v="33"/>
    <n v="1351791.03"/>
    <x v="0"/>
    <n v="80.94"/>
    <n v="2.6240000000000001"/>
    <n v="211.5972246"/>
    <n v="7.7869999999999999"/>
  </r>
  <r>
    <x v="0"/>
    <x v="34"/>
    <n v="1453329.5"/>
    <x v="0"/>
    <n v="71.89"/>
    <n v="2.6030000000000002"/>
    <n v="211.6719895"/>
    <n v="7.8380000000000001"/>
  </r>
  <r>
    <x v="0"/>
    <x v="35"/>
    <n v="1508239.93"/>
    <x v="0"/>
    <n v="63.93"/>
    <n v="2.633"/>
    <n v="211.74675439999999"/>
    <n v="7.8380000000000001"/>
  </r>
  <r>
    <x v="0"/>
    <x v="36"/>
    <n v="1459409.1"/>
    <x v="0"/>
    <n v="67.180000000000007"/>
    <n v="2.72"/>
    <n v="211.81374360000001"/>
    <n v="7.8380000000000001"/>
  </r>
  <r>
    <x v="0"/>
    <x v="37"/>
    <n v="1345454"/>
    <x v="0"/>
    <n v="69.86"/>
    <n v="2.7250000000000001"/>
    <n v="211.8612937"/>
    <n v="7.8380000000000001"/>
  </r>
  <r>
    <x v="0"/>
    <x v="38"/>
    <n v="1384209.22"/>
    <x v="0"/>
    <n v="69.64"/>
    <n v="2.7160000000000002"/>
    <n v="211.9088438"/>
    <n v="7.8380000000000001"/>
  </r>
  <r>
    <x v="0"/>
    <x v="39"/>
    <n v="1551659.28"/>
    <x v="0"/>
    <n v="58.74"/>
    <n v="2.6890000000000001"/>
    <n v="211.95639389999999"/>
    <n v="7.8380000000000001"/>
  </r>
  <r>
    <x v="0"/>
    <x v="40"/>
    <n v="1494479.49"/>
    <x v="0"/>
    <n v="59.61"/>
    <n v="2.7280000000000002"/>
    <n v="212.00394399999999"/>
    <n v="7.8380000000000001"/>
  </r>
  <r>
    <x v="0"/>
    <x v="41"/>
    <n v="1483784.18"/>
    <x v="0"/>
    <n v="51.41"/>
    <n v="2.7709999999999999"/>
    <n v="211.8896737"/>
    <n v="7.8380000000000001"/>
  </r>
  <r>
    <x v="0"/>
    <x v="42"/>
    <n v="1955624.11"/>
    <x v="1"/>
    <n v="64.52"/>
    <n v="2.7349999999999999"/>
    <n v="211.74843329999999"/>
    <n v="7.8380000000000001"/>
  </r>
  <r>
    <x v="0"/>
    <x v="43"/>
    <n v="1548033.78"/>
    <x v="0"/>
    <n v="49.27"/>
    <n v="2.7080000000000002"/>
    <n v="211.607193"/>
    <n v="7.8380000000000001"/>
  </r>
  <r>
    <x v="0"/>
    <x v="44"/>
    <n v="1682614.26"/>
    <x v="0"/>
    <n v="46.33"/>
    <n v="2.843"/>
    <n v="211.46595260000001"/>
    <n v="7.8380000000000001"/>
  </r>
  <r>
    <x v="0"/>
    <x v="45"/>
    <n v="1891034.93"/>
    <x v="0"/>
    <n v="49.84"/>
    <n v="2.8690000000000002"/>
    <n v="211.40531240000001"/>
    <n v="7.8380000000000001"/>
  </r>
  <r>
    <x v="0"/>
    <x v="46"/>
    <n v="2387950.2000000002"/>
    <x v="0"/>
    <n v="52.33"/>
    <n v="2.8860000000000001"/>
    <n v="211.40512219999999"/>
    <n v="7.8380000000000001"/>
  </r>
  <r>
    <x v="0"/>
    <x v="47"/>
    <n v="1367320.01"/>
    <x v="1"/>
    <n v="48.43"/>
    <n v="2.9430000000000001"/>
    <n v="211.4049321"/>
    <n v="7.8380000000000001"/>
  </r>
  <r>
    <x v="0"/>
    <x v="48"/>
    <n v="1444732.28"/>
    <x v="0"/>
    <n v="48.27"/>
    <n v="2.976"/>
    <n v="211.4047419"/>
    <n v="7.742"/>
  </r>
  <r>
    <x v="0"/>
    <x v="49"/>
    <n v="1391013.96"/>
    <x v="0"/>
    <n v="35.4"/>
    <n v="2.9830000000000001"/>
    <n v="211.45741090000001"/>
    <n v="7.742"/>
  </r>
  <r>
    <x v="0"/>
    <x v="50"/>
    <n v="1327405.42"/>
    <x v="0"/>
    <n v="44.04"/>
    <n v="3.016"/>
    <n v="211.82723429999999"/>
    <n v="7.742"/>
  </r>
  <r>
    <x v="0"/>
    <x v="51"/>
    <n v="1316899.31"/>
    <x v="0"/>
    <n v="43.83"/>
    <n v="3.01"/>
    <n v="212.19705769999999"/>
    <n v="7.742"/>
  </r>
  <r>
    <x v="0"/>
    <x v="52"/>
    <n v="1606629.58"/>
    <x v="0"/>
    <n v="42.27"/>
    <n v="2.9889999999999999"/>
    <n v="212.56688120000001"/>
    <n v="7.742"/>
  </r>
  <r>
    <x v="0"/>
    <x v="53"/>
    <n v="1649614.93"/>
    <x v="1"/>
    <n v="36.39"/>
    <n v="3.0219999999999998"/>
    <n v="212.93670460000001"/>
    <n v="7.742"/>
  </r>
  <r>
    <x v="0"/>
    <x v="54"/>
    <n v="1686842.78"/>
    <x v="0"/>
    <n v="57.36"/>
    <n v="3.0449999999999999"/>
    <n v="213.24788530000001"/>
    <n v="7.742"/>
  </r>
  <r>
    <x v="0"/>
    <x v="55"/>
    <n v="1456800.28"/>
    <x v="0"/>
    <n v="62.9"/>
    <n v="3.0649999999999999"/>
    <n v="213.53560899999999"/>
    <n v="7.742"/>
  </r>
  <r>
    <x v="0"/>
    <x v="56"/>
    <n v="1636263.41"/>
    <x v="0"/>
    <n v="59.58"/>
    <n v="3.2879999999999998"/>
    <n v="213.82333270000001"/>
    <n v="7.742"/>
  </r>
  <r>
    <x v="0"/>
    <x v="57"/>
    <n v="1553191.63"/>
    <x v="0"/>
    <n v="53.56"/>
    <n v="3.4590000000000001"/>
    <n v="214.1110564"/>
    <n v="7.742"/>
  </r>
  <r>
    <x v="0"/>
    <x v="58"/>
    <n v="1576818.06"/>
    <x v="0"/>
    <n v="62.76"/>
    <n v="3.488"/>
    <n v="214.36271139999999"/>
    <n v="7.742"/>
  </r>
  <r>
    <x v="0"/>
    <x v="59"/>
    <n v="1541102.38"/>
    <x v="0"/>
    <n v="69.97"/>
    <n v="3.4729999999999999"/>
    <n v="214.59993890000001"/>
    <n v="7.742"/>
  </r>
  <r>
    <x v="0"/>
    <x v="60"/>
    <n v="1495064.75"/>
    <x v="0"/>
    <n v="59.17"/>
    <n v="3.524"/>
    <n v="214.8371664"/>
    <n v="7.6820000000000004"/>
  </r>
  <r>
    <x v="0"/>
    <x v="61"/>
    <n v="1614259.35"/>
    <x v="0"/>
    <n v="67.84"/>
    <n v="3.6219999999999999"/>
    <n v="215.07439389999999"/>
    <n v="7.6820000000000004"/>
  </r>
  <r>
    <x v="0"/>
    <x v="62"/>
    <n v="1559889"/>
    <x v="0"/>
    <n v="71.27"/>
    <n v="3.7429999999999999"/>
    <n v="215.29185609999999"/>
    <n v="7.6820000000000004"/>
  </r>
  <r>
    <x v="0"/>
    <x v="63"/>
    <n v="1564819.81"/>
    <x v="0"/>
    <n v="72.989999999999995"/>
    <n v="3.8069999999999999"/>
    <n v="215.4599053"/>
    <n v="7.6820000000000004"/>
  </r>
  <r>
    <x v="0"/>
    <x v="64"/>
    <n v="1455090.69"/>
    <x v="0"/>
    <n v="72.03"/>
    <n v="3.81"/>
    <n v="215.62795439999999"/>
    <n v="7.6820000000000004"/>
  </r>
  <r>
    <x v="0"/>
    <x v="65"/>
    <n v="1629391.28"/>
    <x v="0"/>
    <n v="64.61"/>
    <n v="3.9060000000000001"/>
    <n v="215.79600350000001"/>
    <n v="7.6820000000000004"/>
  </r>
  <r>
    <x v="0"/>
    <x v="66"/>
    <n v="1604775.58"/>
    <x v="0"/>
    <n v="75.64"/>
    <n v="3.899"/>
    <n v="215.9640526"/>
    <n v="7.6820000000000004"/>
  </r>
  <r>
    <x v="0"/>
    <x v="67"/>
    <n v="1428218.27"/>
    <x v="0"/>
    <n v="67.63"/>
    <n v="3.907"/>
    <n v="215.7339202"/>
    <n v="7.6820000000000004"/>
  </r>
  <r>
    <x v="0"/>
    <x v="68"/>
    <n v="1466046.67"/>
    <x v="0"/>
    <n v="77.72"/>
    <n v="3.786"/>
    <n v="215.5037878"/>
    <n v="7.6820000000000004"/>
  </r>
  <r>
    <x v="0"/>
    <x v="69"/>
    <n v="1635078.41"/>
    <x v="0"/>
    <n v="83"/>
    <n v="3.6989999999999998"/>
    <n v="215.2736553"/>
    <n v="7.6820000000000004"/>
  </r>
  <r>
    <x v="0"/>
    <x v="70"/>
    <n v="1588948.32"/>
    <x v="0"/>
    <n v="83.13"/>
    <n v="3.6480000000000001"/>
    <n v="215.0435229"/>
    <n v="7.6820000000000004"/>
  </r>
  <r>
    <x v="0"/>
    <x v="71"/>
    <n v="1532114.86"/>
    <x v="0"/>
    <n v="86.41"/>
    <n v="3.637"/>
    <n v="214.9980596"/>
    <n v="7.6820000000000004"/>
  </r>
  <r>
    <x v="0"/>
    <x v="72"/>
    <n v="1438830.15"/>
    <x v="0"/>
    <n v="83.58"/>
    <n v="3.5939999999999999"/>
    <n v="215.0910982"/>
    <n v="7.6820000000000004"/>
  </r>
  <r>
    <x v="0"/>
    <x v="73"/>
    <n v="1488538.09"/>
    <x v="0"/>
    <n v="85.55"/>
    <n v="3.524"/>
    <n v="215.1841368"/>
    <n v="7.9619999999999997"/>
  </r>
  <r>
    <x v="0"/>
    <x v="74"/>
    <n v="1534849.64"/>
    <x v="0"/>
    <n v="85.83"/>
    <n v="3.48"/>
    <n v="215.2771754"/>
    <n v="7.9619999999999997"/>
  </r>
  <r>
    <x v="0"/>
    <x v="75"/>
    <n v="1455119.97"/>
    <x v="0"/>
    <n v="88.54"/>
    <n v="3.5750000000000002"/>
    <n v="215.36110869999999"/>
    <n v="7.9619999999999997"/>
  </r>
  <r>
    <x v="0"/>
    <x v="76"/>
    <n v="1396926.82"/>
    <x v="0"/>
    <n v="85.77"/>
    <n v="3.6509999999999998"/>
    <n v="215.42227840000001"/>
    <n v="7.9619999999999997"/>
  </r>
  <r>
    <x v="0"/>
    <x v="77"/>
    <n v="1352219.79"/>
    <x v="0"/>
    <n v="86.83"/>
    <n v="3.6819999999999999"/>
    <n v="215.4834482"/>
    <n v="7.9619999999999997"/>
  </r>
  <r>
    <x v="0"/>
    <x v="78"/>
    <n v="1624383.75"/>
    <x v="0"/>
    <n v="91.65"/>
    <n v="3.6840000000000002"/>
    <n v="215.54461800000001"/>
    <n v="7.9619999999999997"/>
  </r>
  <r>
    <x v="0"/>
    <x v="79"/>
    <n v="1525147.09"/>
    <x v="0"/>
    <n v="90.76"/>
    <n v="3.6379999999999999"/>
    <n v="215.6057878"/>
    <n v="7.9619999999999997"/>
  </r>
  <r>
    <x v="0"/>
    <x v="80"/>
    <n v="1530761.43"/>
    <x v="0"/>
    <n v="89.94"/>
    <n v="3.5539999999999998"/>
    <n v="215.66931070000001"/>
    <n v="7.9619999999999997"/>
  </r>
  <r>
    <x v="0"/>
    <x v="81"/>
    <n v="1464693.46"/>
    <x v="0"/>
    <n v="87.96"/>
    <n v="3.5230000000000001"/>
    <n v="215.73322580000001"/>
    <n v="7.9619999999999997"/>
  </r>
  <r>
    <x v="0"/>
    <x v="82"/>
    <n v="1550229.22"/>
    <x v="0"/>
    <n v="87.83"/>
    <n v="3.5329999999999999"/>
    <n v="215.79714089999999"/>
    <n v="7.9619999999999997"/>
  </r>
  <r>
    <x v="0"/>
    <x v="83"/>
    <n v="1540471.24"/>
    <x v="1"/>
    <n v="76"/>
    <n v="3.5459999999999998"/>
    <n v="215.86105599999999"/>
    <n v="7.9619999999999997"/>
  </r>
  <r>
    <x v="0"/>
    <x v="84"/>
    <n v="1514259.78"/>
    <x v="0"/>
    <n v="79.94"/>
    <n v="3.5259999999999998"/>
    <n v="216.0410526"/>
    <n v="7.9619999999999997"/>
  </r>
  <r>
    <x v="0"/>
    <x v="85"/>
    <n v="1380020.27"/>
    <x v="0"/>
    <n v="75.8"/>
    <n v="3.4670000000000001"/>
    <n v="216.37582459999999"/>
    <n v="7.9619999999999997"/>
  </r>
  <r>
    <x v="0"/>
    <x v="86"/>
    <n v="1394561.83"/>
    <x v="0"/>
    <n v="79.69"/>
    <n v="3.355"/>
    <n v="216.71059650000001"/>
    <n v="7.9619999999999997"/>
  </r>
  <r>
    <x v="0"/>
    <x v="87"/>
    <n v="1630989.95"/>
    <x v="0"/>
    <n v="69.31"/>
    <n v="3.2850000000000001"/>
    <n v="217.0453684"/>
    <n v="7.8659999999999997"/>
  </r>
  <r>
    <x v="0"/>
    <x v="88"/>
    <n v="1493525.93"/>
    <x v="0"/>
    <n v="71.739999999999995"/>
    <n v="3.274"/>
    <n v="217.35527329999999"/>
    <n v="7.8659999999999997"/>
  </r>
  <r>
    <x v="0"/>
    <x v="89"/>
    <n v="1502562.78"/>
    <x v="0"/>
    <n v="63.71"/>
    <n v="3.3530000000000002"/>
    <n v="217.51597620000001"/>
    <n v="7.8659999999999997"/>
  </r>
  <r>
    <x v="0"/>
    <x v="90"/>
    <n v="1445249.09"/>
    <x v="0"/>
    <n v="66.569999999999993"/>
    <n v="3.3719999999999999"/>
    <n v="217.6766791"/>
    <n v="7.8659999999999997"/>
  </r>
  <r>
    <x v="0"/>
    <x v="91"/>
    <n v="1697229.58"/>
    <x v="0"/>
    <n v="54.98"/>
    <n v="3.3319999999999999"/>
    <n v="217.83738199999999"/>
    <n v="7.8659999999999997"/>
  </r>
  <r>
    <x v="0"/>
    <x v="92"/>
    <n v="1594938.89"/>
    <x v="0"/>
    <n v="59.11"/>
    <n v="3.2970000000000002"/>
    <n v="217.99808490000001"/>
    <n v="7.8659999999999997"/>
  </r>
  <r>
    <x v="0"/>
    <x v="93"/>
    <n v="1539483.7"/>
    <x v="0"/>
    <n v="62.25"/>
    <n v="3.3079999999999998"/>
    <n v="218.2205088"/>
    <n v="7.8659999999999997"/>
  </r>
  <r>
    <x v="0"/>
    <x v="94"/>
    <n v="2033320.66"/>
    <x v="1"/>
    <n v="60.14"/>
    <n v="3.2360000000000002"/>
    <n v="218.4676211"/>
    <n v="7.8659999999999997"/>
  </r>
  <r>
    <x v="0"/>
    <x v="95"/>
    <n v="1584083.95"/>
    <x v="0"/>
    <n v="48.91"/>
    <n v="3.1720000000000002"/>
    <n v="218.71473330000001"/>
    <n v="7.8659999999999997"/>
  </r>
  <r>
    <x v="0"/>
    <x v="96"/>
    <n v="1799682.38"/>
    <x v="0"/>
    <n v="43.93"/>
    <n v="3.1579999999999999"/>
    <n v="218.9618456"/>
    <n v="7.8659999999999997"/>
  </r>
  <r>
    <x v="0"/>
    <x v="97"/>
    <n v="1881176.67"/>
    <x v="0"/>
    <n v="51.63"/>
    <n v="3.1589999999999998"/>
    <n v="219.17945330000001"/>
    <n v="7.8659999999999997"/>
  </r>
  <r>
    <x v="0"/>
    <x v="98"/>
    <n v="2270188.9900000002"/>
    <x v="0"/>
    <n v="47.96"/>
    <n v="3.1120000000000001"/>
    <n v="219.35772159999999"/>
    <n v="7.8659999999999997"/>
  </r>
  <r>
    <x v="0"/>
    <x v="99"/>
    <n v="1497462.72"/>
    <x v="1"/>
    <n v="44.55"/>
    <n v="3.129"/>
    <n v="219.53598980000001"/>
    <n v="7.8659999999999997"/>
  </r>
  <r>
    <x v="0"/>
    <x v="100"/>
    <n v="1550369.92"/>
    <x v="0"/>
    <n v="49.01"/>
    <n v="3.157"/>
    <n v="219.7142581"/>
    <n v="7.3479999999999999"/>
  </r>
  <r>
    <x v="0"/>
    <x v="101"/>
    <n v="1459601.17"/>
    <x v="0"/>
    <n v="48.53"/>
    <n v="3.2610000000000001"/>
    <n v="219.89252629999999"/>
    <n v="7.3479999999999999"/>
  </r>
  <r>
    <x v="0"/>
    <x v="102"/>
    <n v="1394393.84"/>
    <x v="0"/>
    <n v="54.11"/>
    <n v="3.2679999999999998"/>
    <n v="219.98568929999999"/>
    <n v="7.3479999999999999"/>
  </r>
  <r>
    <x v="0"/>
    <x v="103"/>
    <n v="1319325.5900000001"/>
    <x v="0"/>
    <n v="54.26"/>
    <n v="3.29"/>
    <n v="220.07885229999999"/>
    <n v="7.3479999999999999"/>
  </r>
  <r>
    <x v="0"/>
    <x v="104"/>
    <n v="1636339.65"/>
    <x v="0"/>
    <n v="56.55"/>
    <n v="3.36"/>
    <n v="220.1720153"/>
    <n v="7.3479999999999999"/>
  </r>
  <r>
    <x v="0"/>
    <x v="105"/>
    <n v="1802477.43"/>
    <x v="1"/>
    <n v="48.02"/>
    <n v="3.4089999999999998"/>
    <n v="220.2651783"/>
    <n v="7.3479999999999999"/>
  </r>
  <r>
    <x v="0"/>
    <x v="106"/>
    <n v="1819870"/>
    <x v="0"/>
    <n v="45.32"/>
    <n v="3.51"/>
    <n v="220.42575859999999"/>
    <n v="7.3479999999999999"/>
  </r>
  <r>
    <x v="0"/>
    <x v="107"/>
    <n v="1539387.83"/>
    <x v="0"/>
    <n v="57.25"/>
    <n v="3.5550000000000002"/>
    <n v="220.63690199999999"/>
    <n v="7.3479999999999999"/>
  </r>
  <r>
    <x v="0"/>
    <x v="108"/>
    <n v="1688420.76"/>
    <x v="0"/>
    <n v="60.96"/>
    <n v="3.63"/>
    <n v="220.84804539999999"/>
    <n v="7.3479999999999999"/>
  </r>
  <r>
    <x v="0"/>
    <x v="109"/>
    <n v="1675431.16"/>
    <x v="0"/>
    <n v="58.76"/>
    <n v="3.669"/>
    <n v="221.05918869999999"/>
    <n v="7.3479999999999999"/>
  </r>
  <r>
    <x v="0"/>
    <x v="110"/>
    <n v="1677472.78"/>
    <x v="0"/>
    <n v="64.739999999999995"/>
    <n v="3.734"/>
    <n v="221.21181319999999"/>
    <n v="7.3479999999999999"/>
  </r>
  <r>
    <x v="0"/>
    <x v="111"/>
    <n v="1511068.07"/>
    <x v="0"/>
    <n v="65.930000000000007"/>
    <n v="3.7869999999999999"/>
    <n v="221.28641260000001"/>
    <n v="7.3479999999999999"/>
  </r>
  <r>
    <x v="0"/>
    <x v="112"/>
    <n v="1649604.63"/>
    <x v="0"/>
    <n v="67.61"/>
    <n v="3.8450000000000002"/>
    <n v="221.36101189999999"/>
    <n v="7.3479999999999999"/>
  </r>
  <r>
    <x v="0"/>
    <x v="113"/>
    <n v="1899676.88"/>
    <x v="0"/>
    <n v="70.430000000000007"/>
    <n v="3.891"/>
    <n v="221.43561120000001"/>
    <n v="7.1429999999999998"/>
  </r>
  <r>
    <x v="0"/>
    <x v="114"/>
    <n v="1621031.7"/>
    <x v="0"/>
    <n v="69.069999999999993"/>
    <n v="3.891"/>
    <n v="221.5102105"/>
    <n v="7.1429999999999998"/>
  </r>
  <r>
    <x v="0"/>
    <x v="115"/>
    <n v="1521577.87"/>
    <x v="0"/>
    <n v="66.760000000000005"/>
    <n v="3.8769999999999998"/>
    <n v="221.56407369999999"/>
    <n v="7.1429999999999998"/>
  </r>
  <r>
    <x v="0"/>
    <x v="116"/>
    <n v="1468928.37"/>
    <x v="0"/>
    <n v="67.23"/>
    <n v="3.8140000000000001"/>
    <n v="221.6179368"/>
    <n v="7.1429999999999998"/>
  </r>
  <r>
    <x v="0"/>
    <x v="117"/>
    <n v="1684519.99"/>
    <x v="0"/>
    <n v="75.55"/>
    <n v="3.7490000000000001"/>
    <n v="221.67179999999999"/>
    <n v="7.1429999999999998"/>
  </r>
  <r>
    <x v="0"/>
    <x v="118"/>
    <n v="1611096.05"/>
    <x v="0"/>
    <n v="73.77"/>
    <n v="3.6880000000000002"/>
    <n v="221.72566320000001"/>
    <n v="7.1429999999999998"/>
  </r>
  <r>
    <x v="0"/>
    <x v="119"/>
    <n v="1595901.87"/>
    <x v="0"/>
    <n v="70.33"/>
    <n v="3.63"/>
    <n v="221.74267399999999"/>
    <n v="7.1429999999999998"/>
  </r>
  <r>
    <x v="0"/>
    <x v="120"/>
    <n v="1555444.55"/>
    <x v="0"/>
    <n v="77.22"/>
    <n v="3.5609999999999999"/>
    <n v="221.744944"/>
    <n v="7.1429999999999998"/>
  </r>
  <r>
    <x v="0"/>
    <x v="121"/>
    <n v="1624477.58"/>
    <x v="0"/>
    <n v="77.95"/>
    <n v="3.5009999999999999"/>
    <n v="221.74721389999999"/>
    <n v="7.1429999999999998"/>
  </r>
  <r>
    <x v="0"/>
    <x v="122"/>
    <n v="1697230.96"/>
    <x v="0"/>
    <n v="78.3"/>
    <n v="3.452"/>
    <n v="221.7494839"/>
    <n v="7.1429999999999998"/>
  </r>
  <r>
    <x v="0"/>
    <x v="123"/>
    <n v="1630607"/>
    <x v="0"/>
    <n v="79.349999999999994"/>
    <n v="3.3929999999999998"/>
    <n v="221.76264209999999"/>
    <n v="7.1429999999999998"/>
  </r>
  <r>
    <x v="0"/>
    <x v="124"/>
    <n v="1527845.81"/>
    <x v="0"/>
    <n v="78.39"/>
    <n v="3.3460000000000001"/>
    <n v="221.8030211"/>
    <n v="7.1429999999999998"/>
  </r>
  <r>
    <x v="0"/>
    <x v="125"/>
    <n v="1540421.49"/>
    <x v="0"/>
    <n v="84.88"/>
    <n v="3.286"/>
    <n v="221.8434"/>
    <n v="7.1429999999999998"/>
  </r>
  <r>
    <x v="0"/>
    <x v="126"/>
    <n v="1769854.16"/>
    <x v="0"/>
    <n v="81.569999999999993"/>
    <n v="3.2269999999999999"/>
    <n v="221.88377890000001"/>
    <n v="6.9080000000000004"/>
  </r>
  <r>
    <x v="0"/>
    <x v="127"/>
    <n v="1527014.04"/>
    <x v="0"/>
    <n v="77.12"/>
    <n v="3.2559999999999998"/>
    <n v="221.92415790000001"/>
    <n v="6.9080000000000004"/>
  </r>
  <r>
    <x v="0"/>
    <x v="128"/>
    <n v="1497954.76"/>
    <x v="0"/>
    <n v="80.42"/>
    <n v="3.3109999999999999"/>
    <n v="221.93272669999999"/>
    <n v="6.9080000000000004"/>
  </r>
  <r>
    <x v="0"/>
    <x v="129"/>
    <n v="1439123.71"/>
    <x v="0"/>
    <n v="82.66"/>
    <n v="3.407"/>
    <n v="221.9412954"/>
    <n v="6.9080000000000004"/>
  </r>
  <r>
    <x v="0"/>
    <x v="130"/>
    <n v="1631135.79"/>
    <x v="0"/>
    <n v="86.11"/>
    <n v="3.4169999999999998"/>
    <n v="221.94986420000001"/>
    <n v="6.9080000000000004"/>
  </r>
  <r>
    <x v="0"/>
    <x v="131"/>
    <n v="1592409.97"/>
    <x v="0"/>
    <n v="85.05"/>
    <n v="3.4940000000000002"/>
    <n v="221.95843289999999"/>
    <n v="6.9080000000000004"/>
  </r>
  <r>
    <x v="0"/>
    <x v="132"/>
    <n v="1597868.05"/>
    <x v="0"/>
    <n v="84.85"/>
    <n v="3.5710000000000002"/>
    <n v="222.0384109"/>
    <n v="6.9080000000000004"/>
  </r>
  <r>
    <x v="0"/>
    <x v="133"/>
    <n v="1494122.38"/>
    <x v="0"/>
    <n v="77.66"/>
    <n v="3.62"/>
    <n v="222.17194570000001"/>
    <n v="6.9080000000000004"/>
  </r>
  <r>
    <x v="0"/>
    <x v="134"/>
    <n v="1582083.4"/>
    <x v="0"/>
    <n v="80.489999999999995"/>
    <n v="3.6379999999999999"/>
    <n v="222.30548049999999"/>
    <n v="6.9080000000000004"/>
  </r>
  <r>
    <x v="0"/>
    <x v="135"/>
    <n v="1661767.33"/>
    <x v="1"/>
    <n v="83.96"/>
    <n v="3.73"/>
    <n v="222.43901529999999"/>
    <n v="6.9080000000000004"/>
  </r>
  <r>
    <x v="0"/>
    <x v="136"/>
    <n v="1517428.87"/>
    <x v="0"/>
    <n v="74.97"/>
    <n v="3.7170000000000001"/>
    <n v="222.58201930000001"/>
    <n v="6.9080000000000004"/>
  </r>
  <r>
    <x v="0"/>
    <x v="137"/>
    <n v="1506126.06"/>
    <x v="0"/>
    <n v="69.87"/>
    <n v="3.7210000000000001"/>
    <n v="222.78183859999999"/>
    <n v="6.9080000000000004"/>
  </r>
  <r>
    <x v="0"/>
    <x v="138"/>
    <n v="1437059.26"/>
    <x v="0"/>
    <n v="76.08"/>
    <n v="3.6659999999999999"/>
    <n v="222.98165789999999"/>
    <n v="6.9080000000000004"/>
  </r>
  <r>
    <x v="0"/>
    <x v="139"/>
    <n v="1670785.97"/>
    <x v="0"/>
    <n v="68.55"/>
    <n v="3.617"/>
    <n v="223.18147719999999"/>
    <n v="6.5730000000000004"/>
  </r>
  <r>
    <x v="0"/>
    <x v="140"/>
    <n v="1573072.81"/>
    <x v="0"/>
    <n v="62.99"/>
    <n v="3.601"/>
    <n v="223.38129649999999"/>
    <n v="6.5730000000000004"/>
  </r>
  <r>
    <x v="0"/>
    <x v="141"/>
    <n v="1508068.77"/>
    <x v="0"/>
    <n v="67.97"/>
    <n v="3.5939999999999999"/>
    <n v="223.42572329999999"/>
    <n v="6.5730000000000004"/>
  </r>
  <r>
    <x v="0"/>
    <x v="142"/>
    <n v="1493659.74"/>
    <x v="0"/>
    <n v="69.16"/>
    <n v="3.5059999999999998"/>
    <n v="223.44425129999999"/>
    <n v="6.5730000000000004"/>
  </r>
  <r>
    <x v="1"/>
    <x v="0"/>
    <n v="2136989.46"/>
    <x v="0"/>
    <n v="40.19"/>
    <n v="2.5720000000000001"/>
    <n v="210.7526053"/>
    <n v="8.3239999999999998"/>
  </r>
  <r>
    <x v="1"/>
    <x v="1"/>
    <n v="2137809.5"/>
    <x v="1"/>
    <n v="38.49"/>
    <n v="2.548"/>
    <n v="210.89799350000001"/>
    <n v="8.3239999999999998"/>
  </r>
  <r>
    <x v="1"/>
    <x v="2"/>
    <n v="2124451.54"/>
    <x v="0"/>
    <n v="39.69"/>
    <n v="2.5139999999999998"/>
    <n v="210.94516049999999"/>
    <n v="8.3239999999999998"/>
  </r>
  <r>
    <x v="1"/>
    <x v="3"/>
    <n v="1865097.27"/>
    <x v="0"/>
    <n v="46.1"/>
    <n v="2.5609999999999999"/>
    <n v="210.9759573"/>
    <n v="8.3239999999999998"/>
  </r>
  <r>
    <x v="1"/>
    <x v="4"/>
    <n v="1991013.13"/>
    <x v="0"/>
    <n v="47.17"/>
    <n v="2.625"/>
    <n v="211.00675419999999"/>
    <n v="8.3239999999999998"/>
  </r>
  <r>
    <x v="1"/>
    <x v="5"/>
    <n v="1990483.78"/>
    <x v="0"/>
    <n v="57.56"/>
    <n v="2.6669999999999998"/>
    <n v="211.03755100000001"/>
    <n v="8.3239999999999998"/>
  </r>
  <r>
    <x v="1"/>
    <x v="6"/>
    <n v="1946070.88"/>
    <x v="0"/>
    <n v="54.52"/>
    <n v="2.72"/>
    <n v="210.8733316"/>
    <n v="8.3239999999999998"/>
  </r>
  <r>
    <x v="1"/>
    <x v="7"/>
    <n v="1750197.81"/>
    <x v="0"/>
    <n v="51.26"/>
    <n v="2.7320000000000002"/>
    <n v="210.67660950000001"/>
    <n v="8.3239999999999998"/>
  </r>
  <r>
    <x v="1"/>
    <x v="8"/>
    <n v="2066187.72"/>
    <x v="0"/>
    <n v="63.27"/>
    <n v="2.7189999999999999"/>
    <n v="210.4798874"/>
    <n v="8.1999999999999993"/>
  </r>
  <r>
    <x v="1"/>
    <x v="9"/>
    <n v="1954689.21"/>
    <x v="0"/>
    <n v="65.41"/>
    <n v="2.77"/>
    <n v="210.28316530000001"/>
    <n v="8.1999999999999993"/>
  </r>
  <r>
    <x v="1"/>
    <x v="10"/>
    <n v="1874957.94"/>
    <x v="0"/>
    <n v="68.069999999999993"/>
    <n v="2.8079999999999998"/>
    <n v="210.1495463"/>
    <n v="8.1999999999999993"/>
  </r>
  <r>
    <x v="1"/>
    <x v="11"/>
    <n v="1821990.93"/>
    <x v="0"/>
    <n v="65.11"/>
    <n v="2.7949999999999999"/>
    <n v="210.10006480000001"/>
    <n v="8.1999999999999993"/>
  </r>
  <r>
    <x v="1"/>
    <x v="12"/>
    <n v="1802450.29"/>
    <x v="0"/>
    <n v="66.98"/>
    <n v="2.78"/>
    <n v="210.0505833"/>
    <n v="8.1999999999999993"/>
  </r>
  <r>
    <x v="1"/>
    <x v="13"/>
    <n v="2042581.71"/>
    <x v="0"/>
    <n v="71.28"/>
    <n v="2.835"/>
    <n v="210.00110179999999"/>
    <n v="8.1999999999999993"/>
  </r>
  <r>
    <x v="1"/>
    <x v="14"/>
    <n v="1880752.36"/>
    <x v="0"/>
    <n v="73.31"/>
    <n v="2.8540000000000001"/>
    <n v="209.9984585"/>
    <n v="8.1999999999999993"/>
  </r>
  <r>
    <x v="1"/>
    <x v="15"/>
    <n v="1896937.1"/>
    <x v="0"/>
    <n v="74.83"/>
    <n v="2.8260000000000001"/>
    <n v="210.27684429999999"/>
    <n v="8.1999999999999993"/>
  </r>
  <r>
    <x v="1"/>
    <x v="16"/>
    <n v="1957113.89"/>
    <x v="0"/>
    <n v="81.13"/>
    <n v="2.7589999999999999"/>
    <n v="210.55523009999999"/>
    <n v="8.1999999999999993"/>
  </r>
  <r>
    <x v="1"/>
    <x v="17"/>
    <n v="2102539.9300000002"/>
    <x v="0"/>
    <n v="81.81"/>
    <n v="2.7050000000000001"/>
    <n v="210.83361600000001"/>
    <n v="8.1999999999999993"/>
  </r>
  <r>
    <x v="1"/>
    <x v="18"/>
    <n v="2025538.76"/>
    <x v="0"/>
    <n v="83.4"/>
    <n v="2.6680000000000001"/>
    <n v="211.1120018"/>
    <n v="8.1999999999999993"/>
  </r>
  <r>
    <x v="1"/>
    <x v="19"/>
    <n v="2001636.96"/>
    <x v="0"/>
    <n v="85.81"/>
    <n v="2.637"/>
    <n v="211.10965429999999"/>
    <n v="8.1999999999999993"/>
  </r>
  <r>
    <x v="1"/>
    <x v="20"/>
    <n v="1939927.09"/>
    <x v="0"/>
    <n v="86.26"/>
    <n v="2.653"/>
    <n v="210.9950134"/>
    <n v="8.1999999999999993"/>
  </r>
  <r>
    <x v="1"/>
    <x v="21"/>
    <n v="2003940.64"/>
    <x v="0"/>
    <n v="82.74"/>
    <n v="2.669"/>
    <n v="210.88037259999999"/>
    <n v="8.0990000000000002"/>
  </r>
  <r>
    <x v="1"/>
    <x v="22"/>
    <n v="1880902.62"/>
    <x v="0"/>
    <n v="82.59"/>
    <n v="2.6419999999999999"/>
    <n v="210.7657317"/>
    <n v="8.0990000000000002"/>
  </r>
  <r>
    <x v="1"/>
    <x v="23"/>
    <n v="1845879.79"/>
    <x v="0"/>
    <n v="85.32"/>
    <n v="2.6230000000000002"/>
    <n v="210.75779539999999"/>
    <n v="8.0990000000000002"/>
  </r>
  <r>
    <x v="1"/>
    <x v="24"/>
    <n v="1781717.71"/>
    <x v="0"/>
    <n v="87.66"/>
    <n v="2.6080000000000001"/>
    <n v="210.89213190000001"/>
    <n v="8.0990000000000002"/>
  </r>
  <r>
    <x v="1"/>
    <x v="25"/>
    <n v="1804246.16"/>
    <x v="0"/>
    <n v="83.49"/>
    <n v="2.64"/>
    <n v="211.0264684"/>
    <n v="8.0990000000000002"/>
  </r>
  <r>
    <x v="1"/>
    <x v="26"/>
    <n v="1991909.98"/>
    <x v="0"/>
    <n v="89.53"/>
    <n v="2.6269999999999998"/>
    <n v="211.16080489999999"/>
    <n v="8.0990000000000002"/>
  </r>
  <r>
    <x v="1"/>
    <x v="27"/>
    <n v="1895601.05"/>
    <x v="0"/>
    <n v="89.05"/>
    <n v="2.6920000000000002"/>
    <n v="211.29514130000001"/>
    <n v="8.0990000000000002"/>
  </r>
  <r>
    <x v="1"/>
    <x v="28"/>
    <n v="1964335.23"/>
    <x v="0"/>
    <n v="88.7"/>
    <n v="2.6640000000000001"/>
    <n v="211.25965859999999"/>
    <n v="8.0990000000000002"/>
  </r>
  <r>
    <x v="1"/>
    <x v="29"/>
    <n v="1863840.49"/>
    <x v="0"/>
    <n v="87.12"/>
    <n v="2.6190000000000002"/>
    <n v="211.22417590000001"/>
    <n v="8.0990000000000002"/>
  </r>
  <r>
    <x v="1"/>
    <x v="30"/>
    <n v="1904608.09"/>
    <x v="0"/>
    <n v="81.83"/>
    <n v="2.577"/>
    <n v="211.18869309999999"/>
    <n v="8.0990000000000002"/>
  </r>
  <r>
    <x v="1"/>
    <x v="31"/>
    <n v="1839128.83"/>
    <x v="1"/>
    <n v="79.09"/>
    <n v="2.5649999999999999"/>
    <n v="211.15321040000001"/>
    <n v="8.0990000000000002"/>
  </r>
  <r>
    <x v="1"/>
    <x v="32"/>
    <n v="1793903.6"/>
    <x v="0"/>
    <n v="82.05"/>
    <n v="2.5819999999999999"/>
    <n v="211.18064150000001"/>
    <n v="8.0990000000000002"/>
  </r>
  <r>
    <x v="1"/>
    <x v="33"/>
    <n v="1724557.22"/>
    <x v="0"/>
    <n v="81.790000000000006"/>
    <n v="2.6240000000000001"/>
    <n v="211.25525780000001"/>
    <n v="8.0990000000000002"/>
  </r>
  <r>
    <x v="1"/>
    <x v="34"/>
    <n v="1827440.43"/>
    <x v="0"/>
    <n v="69.239999999999995"/>
    <n v="2.6030000000000002"/>
    <n v="211.32987420000001"/>
    <n v="8.1630000000000003"/>
  </r>
  <r>
    <x v="1"/>
    <x v="35"/>
    <n v="1849921.44"/>
    <x v="0"/>
    <n v="63.19"/>
    <n v="2.633"/>
    <n v="211.4044906"/>
    <n v="8.1630000000000003"/>
  </r>
  <r>
    <x v="1"/>
    <x v="36"/>
    <n v="1794355.49"/>
    <x v="0"/>
    <n v="65.8"/>
    <n v="2.72"/>
    <n v="211.47132859999999"/>
    <n v="8.1630000000000003"/>
  </r>
  <r>
    <x v="1"/>
    <x v="37"/>
    <n v="1737947.64"/>
    <x v="0"/>
    <n v="68.5"/>
    <n v="2.7250000000000001"/>
    <n v="211.51872080000001"/>
    <n v="8.1630000000000003"/>
  </r>
  <r>
    <x v="1"/>
    <x v="38"/>
    <n v="1802755.11"/>
    <x v="0"/>
    <n v="66.239999999999995"/>
    <n v="2.7160000000000002"/>
    <n v="211.5661131"/>
    <n v="8.1630000000000003"/>
  </r>
  <r>
    <x v="1"/>
    <x v="39"/>
    <n v="1939061.41"/>
    <x v="0"/>
    <n v="57.85"/>
    <n v="2.6890000000000001"/>
    <n v="211.61350530000001"/>
    <n v="8.1630000000000003"/>
  </r>
  <r>
    <x v="1"/>
    <x v="40"/>
    <n v="1916812.74"/>
    <x v="0"/>
    <n v="59.69"/>
    <n v="2.7280000000000002"/>
    <n v="211.6608975"/>
    <n v="8.1630000000000003"/>
  </r>
  <r>
    <x v="1"/>
    <x v="41"/>
    <n v="1956739.17"/>
    <x v="0"/>
    <n v="50.81"/>
    <n v="2.7709999999999999"/>
    <n v="211.54703040000001"/>
    <n v="8.1630000000000003"/>
  </r>
  <r>
    <x v="1"/>
    <x v="42"/>
    <n v="2658725.29"/>
    <x v="1"/>
    <n v="62.98"/>
    <n v="2.7349999999999999"/>
    <n v="211.40628670000001"/>
    <n v="8.1630000000000003"/>
  </r>
  <r>
    <x v="1"/>
    <x v="43"/>
    <n v="2015781.27"/>
    <x v="0"/>
    <n v="49.33"/>
    <n v="2.7080000000000002"/>
    <n v="211.26554300000001"/>
    <n v="8.1630000000000003"/>
  </r>
  <r>
    <x v="1"/>
    <x v="44"/>
    <n v="2378726.5499999998"/>
    <x v="0"/>
    <n v="45.5"/>
    <n v="2.843"/>
    <n v="211.12479930000001"/>
    <n v="8.1630000000000003"/>
  </r>
  <r>
    <x v="1"/>
    <x v="45"/>
    <n v="2609166.75"/>
    <x v="0"/>
    <n v="47.55"/>
    <n v="2.8690000000000002"/>
    <n v="211.06454579999999"/>
    <n v="8.1630000000000003"/>
  </r>
  <r>
    <x v="1"/>
    <x v="46"/>
    <n v="3436007.68"/>
    <x v="0"/>
    <n v="49.97"/>
    <n v="2.8860000000000001"/>
    <n v="211.06465990000001"/>
    <n v="8.1630000000000003"/>
  </r>
  <r>
    <x v="1"/>
    <x v="47"/>
    <n v="1750434.55"/>
    <x v="1"/>
    <n v="47.3"/>
    <n v="2.9430000000000001"/>
    <n v="211.064774"/>
    <n v="8.1630000000000003"/>
  </r>
  <r>
    <x v="1"/>
    <x v="48"/>
    <n v="1758050.79"/>
    <x v="0"/>
    <n v="44.69"/>
    <n v="2.976"/>
    <n v="211.06488809999999"/>
    <n v="8.0280000000000005"/>
  </r>
  <r>
    <x v="1"/>
    <x v="49"/>
    <n v="1744193.58"/>
    <x v="0"/>
    <n v="33.020000000000003"/>
    <n v="2.9830000000000001"/>
    <n v="211.11767130000001"/>
    <n v="8.0280000000000005"/>
  </r>
  <r>
    <x v="1"/>
    <x v="50"/>
    <n v="1751384.9"/>
    <x v="0"/>
    <n v="41.4"/>
    <n v="3.016"/>
    <n v="211.48646909999999"/>
    <n v="8.0280000000000005"/>
  </r>
  <r>
    <x v="1"/>
    <x v="51"/>
    <n v="1695371.68"/>
    <x v="0"/>
    <n v="42.83"/>
    <n v="3.01"/>
    <n v="211.85526680000001"/>
    <n v="8.0280000000000005"/>
  </r>
  <r>
    <x v="1"/>
    <x v="52"/>
    <n v="1929346.23"/>
    <x v="0"/>
    <n v="38.25"/>
    <n v="2.9889999999999999"/>
    <n v="212.22406459999999"/>
    <n v="8.0280000000000005"/>
  </r>
  <r>
    <x v="1"/>
    <x v="53"/>
    <n v="2168041.61"/>
    <x v="1"/>
    <n v="33.19"/>
    <n v="3.0219999999999998"/>
    <n v="212.5928624"/>
    <n v="8.0280000000000005"/>
  </r>
  <r>
    <x v="1"/>
    <x v="54"/>
    <n v="2080884.82"/>
    <x v="0"/>
    <n v="57.83"/>
    <n v="3.0449999999999999"/>
    <n v="212.9033115"/>
    <n v="8.0280000000000005"/>
  </r>
  <r>
    <x v="1"/>
    <x v="55"/>
    <n v="1833511.08"/>
    <x v="0"/>
    <n v="60.8"/>
    <n v="3.0649999999999999"/>
    <n v="213.19042099999999"/>
    <n v="8.0280000000000005"/>
  </r>
  <r>
    <x v="1"/>
    <x v="56"/>
    <n v="1981607.78"/>
    <x v="0"/>
    <n v="57.77"/>
    <n v="3.2879999999999998"/>
    <n v="213.4775305"/>
    <n v="8.0280000000000005"/>
  </r>
  <r>
    <x v="1"/>
    <x v="57"/>
    <n v="1879107.31"/>
    <x v="0"/>
    <n v="52.7"/>
    <n v="3.4590000000000001"/>
    <n v="213.76464010000001"/>
    <n v="8.0280000000000005"/>
  </r>
  <r>
    <x v="1"/>
    <x v="58"/>
    <n v="1902557.66"/>
    <x v="0"/>
    <n v="62.32"/>
    <n v="3.488"/>
    <n v="214.01562379999999"/>
    <n v="8.0280000000000005"/>
  </r>
  <r>
    <x v="1"/>
    <x v="59"/>
    <n v="1766162.05"/>
    <x v="0"/>
    <n v="69.42"/>
    <n v="3.4729999999999999"/>
    <n v="214.25215729999999"/>
    <n v="8.0280000000000005"/>
  </r>
  <r>
    <x v="1"/>
    <x v="60"/>
    <n v="1800171.36"/>
    <x v="0"/>
    <n v="55.43"/>
    <n v="3.524"/>
    <n v="214.4886908"/>
    <n v="7.931"/>
  </r>
  <r>
    <x v="1"/>
    <x v="61"/>
    <n v="1847552.61"/>
    <x v="0"/>
    <n v="67"/>
    <n v="3.6219999999999999"/>
    <n v="214.72522420000001"/>
    <n v="7.931"/>
  </r>
  <r>
    <x v="1"/>
    <x v="62"/>
    <n v="1856467.84"/>
    <x v="0"/>
    <n v="69.48"/>
    <n v="3.7429999999999999"/>
    <n v="214.94206310000001"/>
    <n v="7.931"/>
  </r>
  <r>
    <x v="1"/>
    <x v="63"/>
    <n v="1886339.6"/>
    <x v="0"/>
    <n v="69.39"/>
    <n v="3.8069999999999999"/>
    <n v="215.10966569999999"/>
    <n v="7.931"/>
  </r>
  <r>
    <x v="1"/>
    <x v="64"/>
    <n v="1745545.28"/>
    <x v="0"/>
    <n v="69.209999999999994"/>
    <n v="3.81"/>
    <n v="215.2772683"/>
    <n v="7.931"/>
  </r>
  <r>
    <x v="1"/>
    <x v="65"/>
    <n v="1837743.6"/>
    <x v="0"/>
    <n v="61.48"/>
    <n v="3.9060000000000001"/>
    <n v="215.44487090000001"/>
    <n v="7.931"/>
  </r>
  <r>
    <x v="1"/>
    <x v="66"/>
    <n v="1838513.07"/>
    <x v="0"/>
    <n v="74.61"/>
    <n v="3.899"/>
    <n v="215.61247349999999"/>
    <n v="7.931"/>
  </r>
  <r>
    <x v="1"/>
    <x v="67"/>
    <n v="1688281.86"/>
    <x v="0"/>
    <n v="67.14"/>
    <n v="3.907"/>
    <n v="215.38347780000001"/>
    <n v="7.931"/>
  </r>
  <r>
    <x v="1"/>
    <x v="68"/>
    <n v="1797732.56"/>
    <x v="0"/>
    <n v="76.42"/>
    <n v="3.786"/>
    <n v="215.15448219999999"/>
    <n v="7.931"/>
  </r>
  <r>
    <x v="1"/>
    <x v="69"/>
    <n v="1933756.21"/>
    <x v="0"/>
    <n v="83.07"/>
    <n v="3.6989999999999998"/>
    <n v="214.92548650000001"/>
    <n v="7.931"/>
  </r>
  <r>
    <x v="1"/>
    <x v="70"/>
    <n v="1929153.16"/>
    <x v="0"/>
    <n v="83.4"/>
    <n v="3.6480000000000001"/>
    <n v="214.69649079999999"/>
    <n v="7.931"/>
  </r>
  <r>
    <x v="1"/>
    <x v="71"/>
    <n v="1953771.99"/>
    <x v="0"/>
    <n v="86.53"/>
    <n v="3.637"/>
    <n v="214.65135380000001"/>
    <n v="7.931"/>
  </r>
  <r>
    <x v="1"/>
    <x v="72"/>
    <n v="1790925.8"/>
    <x v="0"/>
    <n v="85.17"/>
    <n v="3.5939999999999999"/>
    <n v="214.74411079999999"/>
    <n v="7.931"/>
  </r>
  <r>
    <x v="1"/>
    <x v="73"/>
    <n v="1866243"/>
    <x v="0"/>
    <n v="85.69"/>
    <n v="3.524"/>
    <n v="214.83686779999999"/>
    <n v="7.8520000000000003"/>
  </r>
  <r>
    <x v="1"/>
    <x v="74"/>
    <n v="1853161.99"/>
    <x v="0"/>
    <n v="87.7"/>
    <n v="3.48"/>
    <n v="214.92962489999999"/>
    <n v="7.8520000000000003"/>
  </r>
  <r>
    <x v="1"/>
    <x v="75"/>
    <n v="1785187.29"/>
    <x v="0"/>
    <n v="89.83"/>
    <n v="3.5750000000000002"/>
    <n v="215.01344259999999"/>
    <n v="7.8520000000000003"/>
  </r>
  <r>
    <x v="1"/>
    <x v="76"/>
    <n v="1743816.41"/>
    <x v="0"/>
    <n v="89.34"/>
    <n v="3.6509999999999998"/>
    <n v="215.0749122"/>
    <n v="7.8520000000000003"/>
  </r>
  <r>
    <x v="1"/>
    <x v="77"/>
    <n v="1680693.06"/>
    <x v="0"/>
    <n v="90.07"/>
    <n v="3.6819999999999999"/>
    <n v="215.1363819"/>
    <n v="7.8520000000000003"/>
  </r>
  <r>
    <x v="1"/>
    <x v="78"/>
    <n v="1876704.26"/>
    <x v="0"/>
    <n v="93.34"/>
    <n v="3.6840000000000002"/>
    <n v="215.19785150000001"/>
    <n v="7.8520000000000003"/>
  </r>
  <r>
    <x v="1"/>
    <x v="79"/>
    <n v="1812768.26"/>
    <x v="0"/>
    <n v="91.58"/>
    <n v="3.6379999999999999"/>
    <n v="215.25932109999999"/>
    <n v="7.8520000000000003"/>
  </r>
  <r>
    <x v="1"/>
    <x v="80"/>
    <n v="1844094.59"/>
    <x v="0"/>
    <n v="89.86"/>
    <n v="3.5539999999999998"/>
    <n v="215.3229307"/>
    <n v="7.8520000000000003"/>
  </r>
  <r>
    <x v="1"/>
    <x v="81"/>
    <n v="1821139.91"/>
    <x v="0"/>
    <n v="90.45"/>
    <n v="3.5230000000000001"/>
    <n v="215.386897"/>
    <n v="7.8520000000000003"/>
  </r>
  <r>
    <x v="1"/>
    <x v="82"/>
    <n v="1809119.7"/>
    <x v="0"/>
    <n v="89.64"/>
    <n v="3.5329999999999999"/>
    <n v="215.45086319999999"/>
    <n v="7.8520000000000003"/>
  </r>
  <r>
    <x v="1"/>
    <x v="83"/>
    <n v="1748000.65"/>
    <x v="1"/>
    <n v="77.97"/>
    <n v="3.5459999999999998"/>
    <n v="215.51482949999999"/>
    <n v="7.8520000000000003"/>
  </r>
  <r>
    <x v="1"/>
    <x v="84"/>
    <n v="1691439.52"/>
    <x v="0"/>
    <n v="78.849999999999994"/>
    <n v="3.5259999999999998"/>
    <n v="215.6944378"/>
    <n v="7.8520000000000003"/>
  </r>
  <r>
    <x v="1"/>
    <x v="85"/>
    <n v="1669299.78"/>
    <x v="0"/>
    <n v="75.58"/>
    <n v="3.4670000000000001"/>
    <n v="216.02823559999999"/>
    <n v="7.8520000000000003"/>
  </r>
  <r>
    <x v="1"/>
    <x v="86"/>
    <n v="1650394.44"/>
    <x v="0"/>
    <n v="78.14"/>
    <n v="3.355"/>
    <n v="216.36203330000001"/>
    <n v="7.8520000000000003"/>
  </r>
  <r>
    <x v="1"/>
    <x v="87"/>
    <n v="1837553.43"/>
    <x v="0"/>
    <n v="69.92"/>
    <n v="3.2850000000000001"/>
    <n v="216.69583109999999"/>
    <n v="7.4409999999999998"/>
  </r>
  <r>
    <x v="1"/>
    <x v="88"/>
    <n v="1743882.19"/>
    <x v="0"/>
    <n v="71.67"/>
    <n v="3.274"/>
    <n v="217.0048261"/>
    <n v="7.4409999999999998"/>
  </r>
  <r>
    <x v="1"/>
    <x v="89"/>
    <n v="1834680.25"/>
    <x v="0"/>
    <n v="64.53"/>
    <n v="3.3530000000000002"/>
    <n v="217.1650042"/>
    <n v="7.4409999999999998"/>
  </r>
  <r>
    <x v="1"/>
    <x v="90"/>
    <n v="1769296.25"/>
    <x v="0"/>
    <n v="65.87"/>
    <n v="3.3719999999999999"/>
    <n v="217.32518239999999"/>
    <n v="7.4409999999999998"/>
  </r>
  <r>
    <x v="1"/>
    <x v="91"/>
    <n v="1959707.9"/>
    <x v="0"/>
    <n v="55.53"/>
    <n v="3.3319999999999999"/>
    <n v="217.48536050000001"/>
    <n v="7.4409999999999998"/>
  </r>
  <r>
    <x v="1"/>
    <x v="92"/>
    <n v="1920725.15"/>
    <x v="0"/>
    <n v="59.33"/>
    <n v="3.2970000000000002"/>
    <n v="217.6455387"/>
    <n v="7.4409999999999998"/>
  </r>
  <r>
    <x v="1"/>
    <x v="93"/>
    <n v="1902762.5"/>
    <x v="0"/>
    <n v="62.01"/>
    <n v="3.3079999999999998"/>
    <n v="217.8670218"/>
    <n v="7.4409999999999998"/>
  </r>
  <r>
    <x v="1"/>
    <x v="94"/>
    <n v="2614202.2999999998"/>
    <x v="1"/>
    <n v="56.36"/>
    <n v="3.2360000000000002"/>
    <n v="218.11302689999999"/>
    <n v="7.4409999999999998"/>
  </r>
  <r>
    <x v="1"/>
    <x v="95"/>
    <n v="1954952"/>
    <x v="0"/>
    <n v="48.74"/>
    <n v="3.1720000000000002"/>
    <n v="218.35903189999999"/>
    <n v="7.4409999999999998"/>
  </r>
  <r>
    <x v="1"/>
    <x v="96"/>
    <n v="2290549.3199999998"/>
    <x v="0"/>
    <n v="41.76"/>
    <n v="3.1579999999999999"/>
    <n v="218.60503700000001"/>
    <n v="7.4409999999999998"/>
  </r>
  <r>
    <x v="1"/>
    <x v="97"/>
    <n v="2432736.52"/>
    <x v="0"/>
    <n v="50.13"/>
    <n v="3.1589999999999998"/>
    <n v="218.8217928"/>
    <n v="7.4409999999999998"/>
  </r>
  <r>
    <x v="1"/>
    <x v="98"/>
    <n v="3224369.8"/>
    <x v="0"/>
    <n v="46.66"/>
    <n v="3.1120000000000001"/>
    <n v="218.9995495"/>
    <n v="7.4409999999999998"/>
  </r>
  <r>
    <x v="1"/>
    <x v="99"/>
    <n v="1874226.52"/>
    <x v="1"/>
    <n v="44.57"/>
    <n v="3.129"/>
    <n v="219.1773063"/>
    <n v="7.4409999999999998"/>
  </r>
  <r>
    <x v="1"/>
    <x v="100"/>
    <n v="1799520.14"/>
    <x v="0"/>
    <n v="46.75"/>
    <n v="3.157"/>
    <n v="219.355063"/>
    <n v="7.0570000000000004"/>
  </r>
  <r>
    <x v="1"/>
    <x v="101"/>
    <n v="1744725.48"/>
    <x v="0"/>
    <n v="45.99"/>
    <n v="3.2610000000000001"/>
    <n v="219.5328198"/>
    <n v="7.0570000000000004"/>
  </r>
  <r>
    <x v="1"/>
    <x v="102"/>
    <n v="1711769.11"/>
    <x v="0"/>
    <n v="51.7"/>
    <n v="3.2679999999999998"/>
    <n v="219.6258417"/>
    <n v="7.0570000000000004"/>
  </r>
  <r>
    <x v="1"/>
    <x v="103"/>
    <n v="1660906.14"/>
    <x v="0"/>
    <n v="50.5"/>
    <n v="3.29"/>
    <n v="219.71886359999999"/>
    <n v="7.0570000000000004"/>
  </r>
  <r>
    <x v="1"/>
    <x v="104"/>
    <n v="1935299.94"/>
    <x v="0"/>
    <n v="55.21"/>
    <n v="3.36"/>
    <n v="219.81188539999999"/>
    <n v="7.0570000000000004"/>
  </r>
  <r>
    <x v="1"/>
    <x v="105"/>
    <n v="2103322.6800000002"/>
    <x v="1"/>
    <n v="46.98"/>
    <n v="3.4089999999999998"/>
    <n v="219.90490729999999"/>
    <n v="7.0570000000000004"/>
  </r>
  <r>
    <x v="1"/>
    <x v="106"/>
    <n v="2196688.46"/>
    <x v="0"/>
    <n v="43.82"/>
    <n v="3.51"/>
    <n v="220.06519929999999"/>
    <n v="7.0570000000000004"/>
  </r>
  <r>
    <x v="1"/>
    <x v="107"/>
    <n v="1861802.7"/>
    <x v="0"/>
    <n v="54.63"/>
    <n v="3.5550000000000002"/>
    <n v="220.27594400000001"/>
    <n v="7.0570000000000004"/>
  </r>
  <r>
    <x v="1"/>
    <x v="108"/>
    <n v="1952555.66"/>
    <x v="0"/>
    <n v="58.79"/>
    <n v="3.63"/>
    <n v="220.48668860000001"/>
    <n v="7.0570000000000004"/>
  </r>
  <r>
    <x v="1"/>
    <x v="109"/>
    <n v="1937628.26"/>
    <x v="0"/>
    <n v="57.11"/>
    <n v="3.669"/>
    <n v="220.69743320000001"/>
    <n v="7.0570000000000004"/>
  </r>
  <r>
    <x v="1"/>
    <x v="110"/>
    <n v="1976082.13"/>
    <x v="0"/>
    <n v="63.68"/>
    <n v="3.734"/>
    <n v="220.84984679999999"/>
    <n v="7.0570000000000004"/>
  </r>
  <r>
    <x v="1"/>
    <x v="111"/>
    <n v="1790439.16"/>
    <x v="0"/>
    <n v="64.010000000000005"/>
    <n v="3.7869999999999999"/>
    <n v="220.92448580000001"/>
    <n v="7.0570000000000004"/>
  </r>
  <r>
    <x v="1"/>
    <x v="112"/>
    <n v="1857480.84"/>
    <x v="0"/>
    <n v="66.83"/>
    <n v="3.8450000000000002"/>
    <n v="220.9991248"/>
    <n v="7.0570000000000004"/>
  </r>
  <r>
    <x v="1"/>
    <x v="113"/>
    <n v="2129035.91"/>
    <x v="0"/>
    <n v="68.430000000000007"/>
    <n v="3.891"/>
    <n v="221.07376379999999"/>
    <n v="6.891"/>
  </r>
  <r>
    <x v="1"/>
    <x v="114"/>
    <n v="1935869.1"/>
    <x v="0"/>
    <n v="68.08"/>
    <n v="3.891"/>
    <n v="221.14840280000001"/>
    <n v="6.891"/>
  </r>
  <r>
    <x v="1"/>
    <x v="115"/>
    <n v="1847344.45"/>
    <x v="0"/>
    <n v="65.69"/>
    <n v="3.8769999999999998"/>
    <n v="221.20210739999999"/>
    <n v="6.891"/>
  </r>
  <r>
    <x v="1"/>
    <x v="116"/>
    <n v="1764133.09"/>
    <x v="0"/>
    <n v="67.2"/>
    <n v="3.8140000000000001"/>
    <n v="221.25581199999999"/>
    <n v="6.891"/>
  </r>
  <r>
    <x v="1"/>
    <x v="117"/>
    <n v="1923957.09"/>
    <x v="0"/>
    <n v="76.73"/>
    <n v="3.7490000000000001"/>
    <n v="221.30951659999999"/>
    <n v="6.891"/>
  </r>
  <r>
    <x v="1"/>
    <x v="118"/>
    <n v="1917520.99"/>
    <x v="0"/>
    <n v="73.87"/>
    <n v="3.6880000000000002"/>
    <n v="221.3632212"/>
    <n v="6.891"/>
  </r>
  <r>
    <x v="1"/>
    <x v="119"/>
    <n v="2000940.67"/>
    <x v="0"/>
    <n v="71.27"/>
    <n v="3.63"/>
    <n v="221.38033100000001"/>
    <n v="6.891"/>
  </r>
  <r>
    <x v="1"/>
    <x v="120"/>
    <n v="1912791.09"/>
    <x v="0"/>
    <n v="78.19"/>
    <n v="3.5609999999999999"/>
    <n v="221.3828029"/>
    <n v="6.891"/>
  </r>
  <r>
    <x v="1"/>
    <x v="121"/>
    <n v="1910092.37"/>
    <x v="0"/>
    <n v="78.38"/>
    <n v="3.5009999999999999"/>
    <n v="221.38527479999999"/>
    <n v="6.891"/>
  </r>
  <r>
    <x v="1"/>
    <x v="122"/>
    <n v="2010216.49"/>
    <x v="0"/>
    <n v="78.69"/>
    <n v="3.452"/>
    <n v="221.38774670000001"/>
    <n v="6.891"/>
  </r>
  <r>
    <x v="1"/>
    <x v="123"/>
    <n v="1962924.3"/>
    <x v="0"/>
    <n v="80.56"/>
    <n v="3.3929999999999998"/>
    <n v="221.4009901"/>
    <n v="6.891"/>
  </r>
  <r>
    <x v="1"/>
    <x v="124"/>
    <n v="1887733.21"/>
    <x v="0"/>
    <n v="81.040000000000006"/>
    <n v="3.3460000000000001"/>
    <n v="221.44116220000001"/>
    <n v="6.891"/>
  </r>
  <r>
    <x v="1"/>
    <x v="125"/>
    <n v="1881046.12"/>
    <x v="0"/>
    <n v="86.32"/>
    <n v="3.286"/>
    <n v="221.48133429999999"/>
    <n v="6.891"/>
  </r>
  <r>
    <x v="1"/>
    <x v="126"/>
    <n v="2041507.4"/>
    <x v="0"/>
    <n v="84.2"/>
    <n v="3.2269999999999999"/>
    <n v="221.52150639999999"/>
    <n v="6.5650000000000004"/>
  </r>
  <r>
    <x v="1"/>
    <x v="127"/>
    <n v="1830075.13"/>
    <x v="0"/>
    <n v="80.17"/>
    <n v="3.2559999999999998"/>
    <n v="221.56167840000001"/>
    <n v="6.5650000000000004"/>
  </r>
  <r>
    <x v="1"/>
    <x v="128"/>
    <n v="1819666.46"/>
    <x v="0"/>
    <n v="83.23"/>
    <n v="3.3109999999999999"/>
    <n v="221.57011230000001"/>
    <n v="6.5650000000000004"/>
  </r>
  <r>
    <x v="1"/>
    <x v="129"/>
    <n v="1757923.88"/>
    <x v="0"/>
    <n v="86.37"/>
    <n v="3.407"/>
    <n v="221.57854610000001"/>
    <n v="6.5650000000000004"/>
  </r>
  <r>
    <x v="1"/>
    <x v="130"/>
    <n v="1946104.64"/>
    <x v="0"/>
    <n v="90.22"/>
    <n v="3.4169999999999998"/>
    <n v="221.58697989999999"/>
    <n v="6.5650000000000004"/>
  </r>
  <r>
    <x v="1"/>
    <x v="131"/>
    <n v="1866719.96"/>
    <x v="0"/>
    <n v="88.55"/>
    <n v="3.4940000000000002"/>
    <n v="221.59541379999999"/>
    <n v="6.5650000000000004"/>
  </r>
  <r>
    <x v="1"/>
    <x v="132"/>
    <n v="1928016.01"/>
    <x v="0"/>
    <n v="84.79"/>
    <n v="3.5710000000000002"/>
    <n v="221.67514589999999"/>
    <n v="6.5650000000000004"/>
  </r>
  <r>
    <x v="1"/>
    <x v="133"/>
    <n v="1876788.15"/>
    <x v="0"/>
    <n v="76.91"/>
    <n v="3.62"/>
    <n v="221.8083518"/>
    <n v="6.5650000000000004"/>
  </r>
  <r>
    <x v="1"/>
    <x v="134"/>
    <n v="1947083.3"/>
    <x v="0"/>
    <n v="82.64"/>
    <n v="3.6379999999999999"/>
    <n v="221.94155760000001"/>
    <n v="6.5650000000000004"/>
  </r>
  <r>
    <x v="1"/>
    <x v="135"/>
    <n v="1898777.07"/>
    <x v="1"/>
    <n v="87.65"/>
    <n v="3.73"/>
    <n v="222.07476349999999"/>
    <n v="6.5650000000000004"/>
  </r>
  <r>
    <x v="1"/>
    <x v="136"/>
    <n v="1814806.63"/>
    <x v="0"/>
    <n v="75.88"/>
    <n v="3.7170000000000001"/>
    <n v="222.21743950000001"/>
    <n v="6.5650000000000004"/>
  </r>
  <r>
    <x v="1"/>
    <x v="137"/>
    <n v="1829415.67"/>
    <x v="0"/>
    <n v="71.09"/>
    <n v="3.7210000000000001"/>
    <n v="222.41693620000001"/>
    <n v="6.5650000000000004"/>
  </r>
  <r>
    <x v="1"/>
    <x v="138"/>
    <n v="1746470.56"/>
    <x v="0"/>
    <n v="79.45"/>
    <n v="3.6659999999999999"/>
    <n v="222.61643290000001"/>
    <n v="6.5650000000000004"/>
  </r>
  <r>
    <x v="1"/>
    <x v="139"/>
    <n v="1998321.04"/>
    <x v="0"/>
    <n v="70.27"/>
    <n v="3.617"/>
    <n v="222.8159296"/>
    <n v="6.17"/>
  </r>
  <r>
    <x v="1"/>
    <x v="140"/>
    <n v="1900745.13"/>
    <x v="0"/>
    <n v="60.97"/>
    <n v="3.601"/>
    <n v="223.0154263"/>
    <n v="6.17"/>
  </r>
  <r>
    <x v="1"/>
    <x v="141"/>
    <n v="1847990.41"/>
    <x v="0"/>
    <n v="68.08"/>
    <n v="3.5939999999999999"/>
    <n v="223.05980769999999"/>
    <n v="6.17"/>
  </r>
  <r>
    <x v="1"/>
    <x v="142"/>
    <n v="1834458.35"/>
    <x v="0"/>
    <n v="69.790000000000006"/>
    <n v="3.5059999999999998"/>
    <n v="223.0783366"/>
    <n v="6.17"/>
  </r>
  <r>
    <x v="2"/>
    <x v="0"/>
    <n v="461622.22"/>
    <x v="0"/>
    <n v="45.71"/>
    <n v="2.5720000000000001"/>
    <n v="214.42488119999999"/>
    <n v="7.3680000000000003"/>
  </r>
  <r>
    <x v="2"/>
    <x v="1"/>
    <n v="420728.96"/>
    <x v="1"/>
    <n v="47.93"/>
    <n v="2.548"/>
    <n v="214.5747916"/>
    <n v="7.3680000000000003"/>
  </r>
  <r>
    <x v="2"/>
    <x v="2"/>
    <n v="421642.19"/>
    <x v="0"/>
    <n v="47.07"/>
    <n v="2.5139999999999998"/>
    <n v="214.61988679999999"/>
    <n v="7.3680000000000003"/>
  </r>
  <r>
    <x v="2"/>
    <x v="3"/>
    <n v="407204.86"/>
    <x v="0"/>
    <n v="52.05"/>
    <n v="2.5609999999999999"/>
    <n v="214.64751269999999"/>
    <n v="7.3680000000000003"/>
  </r>
  <r>
    <x v="2"/>
    <x v="4"/>
    <n v="415202.04"/>
    <x v="0"/>
    <n v="53.04"/>
    <n v="2.625"/>
    <n v="214.6751386"/>
    <n v="7.3680000000000003"/>
  </r>
  <r>
    <x v="2"/>
    <x v="5"/>
    <n v="384200.69"/>
    <x v="0"/>
    <n v="63.08"/>
    <n v="2.6669999999999998"/>
    <n v="214.70276459999999"/>
    <n v="7.3680000000000003"/>
  </r>
  <r>
    <x v="2"/>
    <x v="6"/>
    <n v="375328.59"/>
    <x v="0"/>
    <n v="60.42"/>
    <n v="2.72"/>
    <n v="214.53012190000001"/>
    <n v="7.3680000000000003"/>
  </r>
  <r>
    <x v="2"/>
    <x v="7"/>
    <n v="359949.27"/>
    <x v="0"/>
    <n v="57.06"/>
    <n v="2.7320000000000002"/>
    <n v="214.32410110000001"/>
    <n v="7.3680000000000003"/>
  </r>
  <r>
    <x v="2"/>
    <x v="8"/>
    <n v="423294.4"/>
    <x v="0"/>
    <n v="65.56"/>
    <n v="2.7189999999999999"/>
    <n v="214.1180803"/>
    <n v="7.343"/>
  </r>
  <r>
    <x v="2"/>
    <x v="9"/>
    <n v="415870.28"/>
    <x v="0"/>
    <n v="68"/>
    <n v="2.77"/>
    <n v="213.9120595"/>
    <n v="7.343"/>
  </r>
  <r>
    <x v="2"/>
    <x v="10"/>
    <n v="354993.26"/>
    <x v="0"/>
    <n v="66.98"/>
    <n v="2.8079999999999998"/>
    <n v="213.77268889999999"/>
    <n v="7.343"/>
  </r>
  <r>
    <x v="2"/>
    <x v="11"/>
    <n v="339976.65"/>
    <x v="0"/>
    <n v="67.87"/>
    <n v="2.7949999999999999"/>
    <n v="213.72218520000001"/>
    <n v="7.343"/>
  </r>
  <r>
    <x v="2"/>
    <x v="12"/>
    <n v="361248.39"/>
    <x v="0"/>
    <n v="70.239999999999995"/>
    <n v="2.78"/>
    <n v="213.67168150000001"/>
    <n v="7.343"/>
  </r>
  <r>
    <x v="2"/>
    <x v="13"/>
    <n v="399323.86"/>
    <x v="0"/>
    <n v="73.47"/>
    <n v="2.835"/>
    <n v="213.6211778"/>
    <n v="7.343"/>
  </r>
  <r>
    <x v="2"/>
    <x v="14"/>
    <n v="384357.94"/>
    <x v="0"/>
    <n v="77.180000000000007"/>
    <n v="2.8540000000000001"/>
    <n v="213.61961389999999"/>
    <n v="7.343"/>
  </r>
  <r>
    <x v="2"/>
    <x v="15"/>
    <n v="343763.17"/>
    <x v="0"/>
    <n v="75.81"/>
    <n v="2.8260000000000001"/>
    <n v="213.91168859999999"/>
    <n v="7.343"/>
  </r>
  <r>
    <x v="2"/>
    <x v="16"/>
    <n v="350089.23"/>
    <x v="0"/>
    <n v="78.599999999999994"/>
    <n v="2.7589999999999999"/>
    <n v="214.20376340000001"/>
    <n v="7.343"/>
  </r>
  <r>
    <x v="2"/>
    <x v="17"/>
    <n v="396968.8"/>
    <x v="0"/>
    <n v="78.53"/>
    <n v="2.7050000000000001"/>
    <n v="214.49583820000001"/>
    <n v="7.343"/>
  </r>
  <r>
    <x v="2"/>
    <x v="18"/>
    <n v="355017.09"/>
    <x v="0"/>
    <n v="82.1"/>
    <n v="2.6680000000000001"/>
    <n v="214.787913"/>
    <n v="7.343"/>
  </r>
  <r>
    <x v="2"/>
    <x v="19"/>
    <n v="364076.85"/>
    <x v="0"/>
    <n v="83.52"/>
    <n v="2.637"/>
    <n v="214.78582589999999"/>
    <n v="7.343"/>
  </r>
  <r>
    <x v="2"/>
    <x v="20"/>
    <n v="357346.48"/>
    <x v="0"/>
    <n v="83.79"/>
    <n v="2.653"/>
    <n v="214.6660741"/>
    <n v="7.343"/>
  </r>
  <r>
    <x v="2"/>
    <x v="21"/>
    <n v="381151.72"/>
    <x v="0"/>
    <n v="82.2"/>
    <n v="2.669"/>
    <n v="214.54632219999999"/>
    <n v="7.3460000000000001"/>
  </r>
  <r>
    <x v="2"/>
    <x v="22"/>
    <n v="349214.18"/>
    <x v="0"/>
    <n v="81.75"/>
    <n v="2.6419999999999999"/>
    <n v="214.4265704"/>
    <n v="7.3460000000000001"/>
  </r>
  <r>
    <x v="2"/>
    <x v="23"/>
    <n v="352728.78"/>
    <x v="0"/>
    <n v="84.32"/>
    <n v="2.6230000000000002"/>
    <n v="214.41764760000001"/>
    <n v="7.3460000000000001"/>
  </r>
  <r>
    <x v="2"/>
    <x v="24"/>
    <n v="352864.49"/>
    <x v="0"/>
    <n v="83.32"/>
    <n v="2.6080000000000001"/>
    <n v="214.55649679999999"/>
    <n v="7.3460000000000001"/>
  </r>
  <r>
    <x v="2"/>
    <x v="25"/>
    <n v="347955.05"/>
    <x v="0"/>
    <n v="82.04"/>
    <n v="2.64"/>
    <n v="214.695346"/>
    <n v="7.3460000000000001"/>
  </r>
  <r>
    <x v="2"/>
    <x v="26"/>
    <n v="402635.76"/>
    <x v="0"/>
    <n v="85.13"/>
    <n v="2.6269999999999998"/>
    <n v="214.83419520000001"/>
    <n v="7.3460000000000001"/>
  </r>
  <r>
    <x v="2"/>
    <x v="27"/>
    <n v="339597.38"/>
    <x v="0"/>
    <n v="86.74"/>
    <n v="2.6920000000000002"/>
    <n v="214.97304439999999"/>
    <n v="7.3460000000000001"/>
  </r>
  <r>
    <x v="2"/>
    <x v="28"/>
    <n v="351728.21"/>
    <x v="0"/>
    <n v="88.02"/>
    <n v="2.6640000000000001"/>
    <n v="214.9314191"/>
    <n v="7.3460000000000001"/>
  </r>
  <r>
    <x v="2"/>
    <x v="29"/>
    <n v="362134.09"/>
    <x v="0"/>
    <n v="86.15"/>
    <n v="2.6190000000000002"/>
    <n v="214.88979380000001"/>
    <n v="7.3460000000000001"/>
  </r>
  <r>
    <x v="2"/>
    <x v="30"/>
    <n v="366473.97"/>
    <x v="0"/>
    <n v="84.16"/>
    <n v="2.577"/>
    <n v="214.84816850000001"/>
    <n v="7.3460000000000001"/>
  </r>
  <r>
    <x v="2"/>
    <x v="31"/>
    <n v="352260.97"/>
    <x v="1"/>
    <n v="80.84"/>
    <n v="2.5649999999999999"/>
    <n v="214.8065431"/>
    <n v="7.3460000000000001"/>
  </r>
  <r>
    <x v="2"/>
    <x v="32"/>
    <n v="363064.64"/>
    <x v="0"/>
    <n v="82.36"/>
    <n v="2.5819999999999999"/>
    <n v="214.8322484"/>
    <n v="7.3460000000000001"/>
  </r>
  <r>
    <x v="2"/>
    <x v="33"/>
    <n v="355626.87"/>
    <x v="0"/>
    <n v="76.900000000000006"/>
    <n v="2.6240000000000001"/>
    <n v="214.90845160000001"/>
    <n v="7.3460000000000001"/>
  </r>
  <r>
    <x v="2"/>
    <x v="34"/>
    <n v="358784.1"/>
    <x v="0"/>
    <n v="73.599999999999994"/>
    <n v="2.6030000000000002"/>
    <n v="214.98465479999999"/>
    <n v="7.5640000000000001"/>
  </r>
  <r>
    <x v="2"/>
    <x v="35"/>
    <n v="395107.35"/>
    <x v="0"/>
    <n v="66.989999999999995"/>
    <n v="2.633"/>
    <n v="215.060858"/>
    <n v="7.5640000000000001"/>
  </r>
  <r>
    <x v="2"/>
    <x v="36"/>
    <n v="345584.39"/>
    <x v="0"/>
    <n v="69.709999999999994"/>
    <n v="2.72"/>
    <n v="215.12931140000001"/>
    <n v="7.5640000000000001"/>
  </r>
  <r>
    <x v="2"/>
    <x v="37"/>
    <n v="348895.98"/>
    <x v="0"/>
    <n v="71.64"/>
    <n v="2.7250000000000001"/>
    <n v="215.17839000000001"/>
    <n v="7.5640000000000001"/>
  </r>
  <r>
    <x v="2"/>
    <x v="38"/>
    <n v="348591.74"/>
    <x v="0"/>
    <n v="72.040000000000006"/>
    <n v="2.7160000000000002"/>
    <n v="215.22746860000001"/>
    <n v="7.5640000000000001"/>
  </r>
  <r>
    <x v="2"/>
    <x v="39"/>
    <n v="423175.56"/>
    <x v="0"/>
    <n v="62.94"/>
    <n v="2.6890000000000001"/>
    <n v="215.27654720000001"/>
    <n v="7.5640000000000001"/>
  </r>
  <r>
    <x v="2"/>
    <x v="40"/>
    <n v="386635.03"/>
    <x v="0"/>
    <n v="62.79"/>
    <n v="2.7280000000000002"/>
    <n v="215.32562580000001"/>
    <n v="7.5640000000000001"/>
  </r>
  <r>
    <x v="2"/>
    <x v="41"/>
    <n v="372545.32"/>
    <x v="0"/>
    <n v="57.72"/>
    <n v="2.7709999999999999"/>
    <n v="215.2074519"/>
    <n v="7.5640000000000001"/>
  </r>
  <r>
    <x v="2"/>
    <x v="42"/>
    <n v="565567.84"/>
    <x v="1"/>
    <n v="68.709999999999994"/>
    <n v="2.7349999999999999"/>
    <n v="215.06140250000001"/>
    <n v="7.5640000000000001"/>
  </r>
  <r>
    <x v="2"/>
    <x v="43"/>
    <n v="476420.77"/>
    <x v="0"/>
    <n v="53.76"/>
    <n v="2.7080000000000002"/>
    <n v="214.9153531"/>
    <n v="7.5640000000000001"/>
  </r>
  <r>
    <x v="2"/>
    <x v="44"/>
    <n v="467642.03"/>
    <x v="0"/>
    <n v="51.13"/>
    <n v="2.843"/>
    <n v="214.76930369999999"/>
    <n v="7.5640000000000001"/>
  </r>
  <r>
    <x v="2"/>
    <x v="45"/>
    <n v="498159.39"/>
    <x v="0"/>
    <n v="52.2"/>
    <n v="2.8690000000000002"/>
    <n v="214.70491899999999"/>
    <n v="7.5640000000000001"/>
  </r>
  <r>
    <x v="2"/>
    <x v="46"/>
    <n v="605990.41"/>
    <x v="0"/>
    <n v="57.16"/>
    <n v="2.8860000000000001"/>
    <n v="214.70178279999999"/>
    <n v="7.5640000000000001"/>
  </r>
  <r>
    <x v="2"/>
    <x v="47"/>
    <n v="382677.76000000001"/>
    <x v="1"/>
    <n v="53.2"/>
    <n v="2.9430000000000001"/>
    <n v="214.69864659999999"/>
    <n v="7.5640000000000001"/>
  </r>
  <r>
    <x v="2"/>
    <x v="48"/>
    <n v="378241.34"/>
    <x v="0"/>
    <n v="53.35"/>
    <n v="2.976"/>
    <n v="214.69551039999999"/>
    <n v="7.5510000000000002"/>
  </r>
  <r>
    <x v="2"/>
    <x v="49"/>
    <n v="381061.1"/>
    <x v="0"/>
    <n v="44.76"/>
    <n v="2.9830000000000001"/>
    <n v="214.74707290000001"/>
    <n v="7.5510000000000002"/>
  </r>
  <r>
    <x v="2"/>
    <x v="50"/>
    <n v="350876.7"/>
    <x v="0"/>
    <n v="50.74"/>
    <n v="3.016"/>
    <n v="215.12682749999999"/>
    <n v="7.5510000000000002"/>
  </r>
  <r>
    <x v="2"/>
    <x v="51"/>
    <n v="364866.24"/>
    <x v="0"/>
    <n v="48.71"/>
    <n v="3.01"/>
    <n v="215.5065821"/>
    <n v="7.5510000000000002"/>
  </r>
  <r>
    <x v="2"/>
    <x v="52"/>
    <n v="438516.53"/>
    <x v="0"/>
    <n v="45.95"/>
    <n v="2.9889999999999999"/>
    <n v="215.88633669999999"/>
    <n v="7.5510000000000002"/>
  </r>
  <r>
    <x v="2"/>
    <x v="53"/>
    <n v="430526.21"/>
    <x v="1"/>
    <n v="43.57"/>
    <n v="3.0219999999999998"/>
    <n v="216.2660913"/>
    <n v="7.5510000000000002"/>
  </r>
  <r>
    <x v="2"/>
    <x v="54"/>
    <n v="432782.1"/>
    <x v="0"/>
    <n v="61.58"/>
    <n v="3.0449999999999999"/>
    <n v="216.58435710000001"/>
    <n v="7.5510000000000002"/>
  </r>
  <r>
    <x v="2"/>
    <x v="55"/>
    <n v="397211.19"/>
    <x v="0"/>
    <n v="67.400000000000006"/>
    <n v="3.0649999999999999"/>
    <n v="216.8780275"/>
    <n v="7.5510000000000002"/>
  </r>
  <r>
    <x v="2"/>
    <x v="56"/>
    <n v="437084.51"/>
    <x v="0"/>
    <n v="65.11"/>
    <n v="3.2879999999999998"/>
    <n v="217.1716979"/>
    <n v="7.5510000000000002"/>
  </r>
  <r>
    <x v="2"/>
    <x v="57"/>
    <n v="404753.3"/>
    <x v="0"/>
    <n v="61.29"/>
    <n v="3.4590000000000001"/>
    <n v="217.46536829999999"/>
    <n v="7.5510000000000002"/>
  </r>
  <r>
    <x v="2"/>
    <x v="58"/>
    <n v="392109.51"/>
    <x v="0"/>
    <n v="69.47"/>
    <n v="3.488"/>
    <n v="217.7235226"/>
    <n v="7.5510000000000002"/>
  </r>
  <r>
    <x v="2"/>
    <x v="59"/>
    <n v="380683.67"/>
    <x v="0"/>
    <n v="72.94"/>
    <n v="3.4729999999999999"/>
    <n v="217.96747049999999"/>
    <n v="7.5510000000000002"/>
  </r>
  <r>
    <x v="2"/>
    <x v="60"/>
    <n v="374556.08"/>
    <x v="0"/>
    <n v="68.760000000000005"/>
    <n v="3.524"/>
    <n v="218.21141840000001"/>
    <n v="7.5739999999999998"/>
  </r>
  <r>
    <x v="2"/>
    <x v="61"/>
    <n v="384075.31"/>
    <x v="0"/>
    <n v="72.55"/>
    <n v="3.6219999999999999"/>
    <n v="218.45536630000001"/>
    <n v="7.5739999999999998"/>
  </r>
  <r>
    <x v="2"/>
    <x v="62"/>
    <n v="366250.69"/>
    <x v="0"/>
    <n v="75.88"/>
    <n v="3.7429999999999999"/>
    <n v="218.67886419999999"/>
    <n v="7.5739999999999998"/>
  </r>
  <r>
    <x v="2"/>
    <x v="63"/>
    <n v="391860.04"/>
    <x v="0"/>
    <n v="76.91"/>
    <n v="3.8069999999999999"/>
    <n v="218.851237"/>
    <n v="7.5739999999999998"/>
  </r>
  <r>
    <x v="2"/>
    <x v="64"/>
    <n v="367405.4"/>
    <x v="0"/>
    <n v="78.69"/>
    <n v="3.81"/>
    <n v="219.0236099"/>
    <n v="7.5739999999999998"/>
  </r>
  <r>
    <x v="2"/>
    <x v="65"/>
    <n v="413042.12"/>
    <x v="0"/>
    <n v="69.45"/>
    <n v="3.9060000000000001"/>
    <n v="219.1959827"/>
    <n v="7.5739999999999998"/>
  </r>
  <r>
    <x v="2"/>
    <x v="66"/>
    <n v="386312.68"/>
    <x v="0"/>
    <n v="79.87"/>
    <n v="3.899"/>
    <n v="219.3683556"/>
    <n v="7.5739999999999998"/>
  </r>
  <r>
    <x v="2"/>
    <x v="67"/>
    <n v="364603.13"/>
    <x v="0"/>
    <n v="75.790000000000006"/>
    <n v="3.907"/>
    <n v="219.127216"/>
    <n v="7.5739999999999998"/>
  </r>
  <r>
    <x v="2"/>
    <x v="68"/>
    <n v="369350.6"/>
    <x v="0"/>
    <n v="84.41"/>
    <n v="3.786"/>
    <n v="218.8860765"/>
    <n v="7.5739999999999998"/>
  </r>
  <r>
    <x v="2"/>
    <x v="69"/>
    <n v="394507.84"/>
    <x v="0"/>
    <n v="84.29"/>
    <n v="3.6989999999999998"/>
    <n v="218.6449369"/>
    <n v="7.5739999999999998"/>
  </r>
  <r>
    <x v="2"/>
    <x v="70"/>
    <n v="391638.75"/>
    <x v="0"/>
    <n v="84.84"/>
    <n v="3.6480000000000001"/>
    <n v="218.4037974"/>
    <n v="7.5739999999999998"/>
  </r>
  <r>
    <x v="2"/>
    <x v="71"/>
    <n v="403423.34"/>
    <x v="0"/>
    <n v="86.96"/>
    <n v="3.637"/>
    <n v="218.35517479999999"/>
    <n v="7.5739999999999998"/>
  </r>
  <r>
    <x v="2"/>
    <x v="72"/>
    <n v="385520.71"/>
    <x v="0"/>
    <n v="84.94"/>
    <n v="3.5939999999999999"/>
    <n v="218.45094"/>
    <n v="7.5739999999999998"/>
  </r>
  <r>
    <x v="2"/>
    <x v="73"/>
    <n v="368962.72"/>
    <x v="0"/>
    <n v="85.1"/>
    <n v="3.524"/>
    <n v="218.54670519999999"/>
    <n v="7.5670000000000002"/>
  </r>
  <r>
    <x v="2"/>
    <x v="74"/>
    <n v="395146.23999999999"/>
    <x v="0"/>
    <n v="85.38"/>
    <n v="3.48"/>
    <n v="218.64247040000001"/>
    <n v="7.5670000000000002"/>
  </r>
  <r>
    <x v="2"/>
    <x v="75"/>
    <n v="373454.33"/>
    <x v="0"/>
    <n v="87.14"/>
    <n v="3.5750000000000002"/>
    <n v="218.72752159999999"/>
    <n v="7.5670000000000002"/>
  </r>
  <r>
    <x v="2"/>
    <x v="76"/>
    <n v="360617.37"/>
    <x v="0"/>
    <n v="86.19"/>
    <n v="3.6509999999999998"/>
    <n v="218.78578809999999"/>
    <n v="7.5670000000000002"/>
  </r>
  <r>
    <x v="2"/>
    <x v="77"/>
    <n v="345381.29"/>
    <x v="0"/>
    <n v="88.07"/>
    <n v="3.6819999999999999"/>
    <n v="218.8440545"/>
    <n v="7.5670000000000002"/>
  </r>
  <r>
    <x v="2"/>
    <x v="78"/>
    <n v="409981.25"/>
    <x v="0"/>
    <n v="88.45"/>
    <n v="3.6840000000000002"/>
    <n v="218.90232090000001"/>
    <n v="7.5670000000000002"/>
  </r>
  <r>
    <x v="2"/>
    <x v="79"/>
    <n v="380376.85"/>
    <x v="0"/>
    <n v="88.88"/>
    <n v="3.6379999999999999"/>
    <n v="218.96058729999999"/>
    <n v="7.5670000000000002"/>
  </r>
  <r>
    <x v="2"/>
    <x v="80"/>
    <n v="379716.91"/>
    <x v="0"/>
    <n v="88.44"/>
    <n v="3.5539999999999998"/>
    <n v="219.02327099999999"/>
    <n v="7.5670000000000002"/>
  </r>
  <r>
    <x v="2"/>
    <x v="81"/>
    <n v="366367.55"/>
    <x v="0"/>
    <n v="87.67"/>
    <n v="3.5230000000000001"/>
    <n v="219.08669080000001"/>
    <n v="7.5670000000000002"/>
  </r>
  <r>
    <x v="2"/>
    <x v="82"/>
    <n v="375988.69"/>
    <x v="0"/>
    <n v="89.12"/>
    <n v="3.5329999999999999"/>
    <n v="219.1501106"/>
    <n v="7.5670000000000002"/>
  </r>
  <r>
    <x v="2"/>
    <x v="83"/>
    <n v="377347.49"/>
    <x v="1"/>
    <n v="81.72"/>
    <n v="3.5459999999999998"/>
    <n v="219.21353049999999"/>
    <n v="7.5670000000000002"/>
  </r>
  <r>
    <x v="2"/>
    <x v="84"/>
    <n v="375629.51"/>
    <x v="0"/>
    <n v="83.63"/>
    <n v="3.5259999999999998"/>
    <n v="219.3972867"/>
    <n v="7.5670000000000002"/>
  </r>
  <r>
    <x v="2"/>
    <x v="85"/>
    <n v="365248.94"/>
    <x v="0"/>
    <n v="80.19"/>
    <n v="3.4670000000000001"/>
    <n v="219.7414914"/>
    <n v="7.5670000000000002"/>
  </r>
  <r>
    <x v="2"/>
    <x v="86"/>
    <n v="368477.93"/>
    <x v="0"/>
    <n v="82.58"/>
    <n v="3.355"/>
    <n v="220.08569600000001"/>
    <n v="7.5670000000000002"/>
  </r>
  <r>
    <x v="2"/>
    <x v="87"/>
    <n v="403342.4"/>
    <x v="0"/>
    <n v="75.540000000000006"/>
    <n v="3.2850000000000001"/>
    <n v="220.42990069999999"/>
    <n v="7.1970000000000001"/>
  </r>
  <r>
    <x v="2"/>
    <x v="88"/>
    <n v="368282.57"/>
    <x v="0"/>
    <n v="73.75"/>
    <n v="3.274"/>
    <n v="220.74861670000001"/>
    <n v="7.1970000000000001"/>
  </r>
  <r>
    <x v="2"/>
    <x v="89"/>
    <n v="394976.36"/>
    <x v="0"/>
    <n v="69.03"/>
    <n v="3.3530000000000002"/>
    <n v="220.9144005"/>
    <n v="7.1970000000000001"/>
  </r>
  <r>
    <x v="2"/>
    <x v="90"/>
    <n v="389540.62"/>
    <x v="0"/>
    <n v="71.040000000000006"/>
    <n v="3.3719999999999999"/>
    <n v="221.08018419999999"/>
    <n v="7.1970000000000001"/>
  </r>
  <r>
    <x v="2"/>
    <x v="91"/>
    <n v="459443.22"/>
    <x v="0"/>
    <n v="59.31"/>
    <n v="3.3319999999999999"/>
    <n v="221.245968"/>
    <n v="7.1970000000000001"/>
  </r>
  <r>
    <x v="2"/>
    <x v="92"/>
    <n v="407764.25"/>
    <x v="0"/>
    <n v="61.7"/>
    <n v="3.2970000000000002"/>
    <n v="221.4117517"/>
    <n v="7.1970000000000001"/>
  </r>
  <r>
    <x v="2"/>
    <x v="93"/>
    <n v="398838.97"/>
    <x v="0"/>
    <n v="63.91"/>
    <n v="3.3079999999999998"/>
    <n v="221.64328520000001"/>
    <n v="7.1970000000000001"/>
  </r>
  <r>
    <x v="2"/>
    <x v="94"/>
    <n v="556925.18999999994"/>
    <x v="1"/>
    <n v="68"/>
    <n v="3.2360000000000002"/>
    <n v="221.9011185"/>
    <n v="7.1970000000000001"/>
  </r>
  <r>
    <x v="2"/>
    <x v="95"/>
    <n v="472511.32"/>
    <x v="0"/>
    <n v="54.97"/>
    <n v="3.1720000000000002"/>
    <n v="222.15895190000001"/>
    <n v="7.1970000000000001"/>
  </r>
  <r>
    <x v="2"/>
    <x v="96"/>
    <n v="468772.8"/>
    <x v="0"/>
    <n v="49.26"/>
    <n v="3.1579999999999999"/>
    <n v="222.41678519999999"/>
    <n v="7.1970000000000001"/>
  </r>
  <r>
    <x v="2"/>
    <x v="97"/>
    <n v="510747.62"/>
    <x v="0"/>
    <n v="57.95"/>
    <n v="3.1589999999999998"/>
    <n v="222.64264180000001"/>
    <n v="7.1970000000000001"/>
  </r>
  <r>
    <x v="2"/>
    <x v="98"/>
    <n v="551221.21"/>
    <x v="0"/>
    <n v="53.41"/>
    <n v="3.1120000000000001"/>
    <n v="222.82586280000001"/>
    <n v="7.1970000000000001"/>
  </r>
  <r>
    <x v="2"/>
    <x v="99"/>
    <n v="410553.88"/>
    <x v="1"/>
    <n v="48.29"/>
    <n v="3.129"/>
    <n v="223.00908390000001"/>
    <n v="7.1970000000000001"/>
  </r>
  <r>
    <x v="2"/>
    <x v="100"/>
    <n v="398178.21"/>
    <x v="0"/>
    <n v="52.42"/>
    <n v="3.157"/>
    <n v="223.19230490000001"/>
    <n v="6.8330000000000002"/>
  </r>
  <r>
    <x v="2"/>
    <x v="101"/>
    <n v="367438.62"/>
    <x v="0"/>
    <n v="51.86"/>
    <n v="3.2610000000000001"/>
    <n v="223.37552590000001"/>
    <n v="6.8330000000000002"/>
  </r>
  <r>
    <x v="2"/>
    <x v="102"/>
    <n v="365818.61"/>
    <x v="0"/>
    <n v="56.2"/>
    <n v="3.2679999999999998"/>
    <n v="223.47005519999999"/>
    <n v="6.8330000000000002"/>
  </r>
  <r>
    <x v="2"/>
    <x v="103"/>
    <n v="349518.1"/>
    <x v="0"/>
    <n v="58.06"/>
    <n v="3.29"/>
    <n v="223.5645845"/>
    <n v="6.8330000000000002"/>
  </r>
  <r>
    <x v="2"/>
    <x v="104"/>
    <n v="424960.66"/>
    <x v="0"/>
    <n v="59.33"/>
    <n v="3.36"/>
    <n v="223.65911370000001"/>
    <n v="6.8330000000000002"/>
  </r>
  <r>
    <x v="2"/>
    <x v="105"/>
    <n v="473292.47"/>
    <x v="1"/>
    <n v="51.65"/>
    <n v="3.4089999999999998"/>
    <n v="223.75364300000001"/>
    <n v="6.8330000000000002"/>
  </r>
  <r>
    <x v="2"/>
    <x v="106"/>
    <n v="475591.08"/>
    <x v="0"/>
    <n v="52.39"/>
    <n v="3.51"/>
    <n v="223.9170153"/>
    <n v="6.8330000000000002"/>
  </r>
  <r>
    <x v="2"/>
    <x v="107"/>
    <n v="418925.47"/>
    <x v="0"/>
    <n v="60.12"/>
    <n v="3.5550000000000002"/>
    <n v="224.13201989999999"/>
    <n v="6.8330000000000002"/>
  </r>
  <r>
    <x v="2"/>
    <x v="108"/>
    <n v="469752.56"/>
    <x v="0"/>
    <n v="61.65"/>
    <n v="3.63"/>
    <n v="224.3470245"/>
    <n v="6.8330000000000002"/>
  </r>
  <r>
    <x v="2"/>
    <x v="109"/>
    <n v="445162.05"/>
    <x v="0"/>
    <n v="60.71"/>
    <n v="3.669"/>
    <n v="224.56202909999999"/>
    <n v="6.8330000000000002"/>
  </r>
  <r>
    <x v="2"/>
    <x v="110"/>
    <n v="411775.8"/>
    <x v="0"/>
    <n v="64"/>
    <n v="3.734"/>
    <n v="224.7166953"/>
    <n v="6.8330000000000002"/>
  </r>
  <r>
    <x v="2"/>
    <x v="111"/>
    <n v="413907.25"/>
    <x v="0"/>
    <n v="66.53"/>
    <n v="3.7869999999999999"/>
    <n v="224.7909104"/>
    <n v="6.8330000000000002"/>
  </r>
  <r>
    <x v="2"/>
    <x v="112"/>
    <n v="407488.84"/>
    <x v="0"/>
    <n v="69.36"/>
    <n v="3.8450000000000002"/>
    <n v="224.86512540000001"/>
    <n v="6.8330000000000002"/>
  </r>
  <r>
    <x v="2"/>
    <x v="113"/>
    <n v="503232.13"/>
    <x v="0"/>
    <n v="73.010000000000005"/>
    <n v="3.891"/>
    <n v="224.93934049999999"/>
    <n v="6.6639999999999997"/>
  </r>
  <r>
    <x v="2"/>
    <x v="114"/>
    <n v="420789.74"/>
    <x v="0"/>
    <n v="72.83"/>
    <n v="3.891"/>
    <n v="225.01355559999999"/>
    <n v="6.6639999999999997"/>
  </r>
  <r>
    <x v="2"/>
    <x v="115"/>
    <n v="434822.13"/>
    <x v="0"/>
    <n v="72.05"/>
    <n v="3.8769999999999998"/>
    <n v="225.06895410000001"/>
    <n v="6.6639999999999997"/>
  </r>
  <r>
    <x v="2"/>
    <x v="116"/>
    <n v="394616.11"/>
    <x v="0"/>
    <n v="73.39"/>
    <n v="3.8140000000000001"/>
    <n v="225.12435260000001"/>
    <n v="6.6639999999999997"/>
  </r>
  <r>
    <x v="2"/>
    <x v="117"/>
    <n v="439913.57"/>
    <x v="0"/>
    <n v="79.510000000000005"/>
    <n v="3.7490000000000001"/>
    <n v="225.1797511"/>
    <n v="6.6639999999999997"/>
  </r>
  <r>
    <x v="2"/>
    <x v="118"/>
    <n v="431985.36"/>
    <x v="0"/>
    <n v="75.19"/>
    <n v="3.6880000000000002"/>
    <n v="225.2351496"/>
    <n v="6.6639999999999997"/>
  </r>
  <r>
    <x v="2"/>
    <x v="119"/>
    <n v="418112.76"/>
    <x v="0"/>
    <n v="72.38"/>
    <n v="3.63"/>
    <n v="225.25120240000001"/>
    <n v="6.6639999999999997"/>
  </r>
  <r>
    <x v="2"/>
    <x v="120"/>
    <n v="413701.29"/>
    <x v="0"/>
    <n v="78.58"/>
    <n v="3.5609999999999999"/>
    <n v="225.25151679999999"/>
    <n v="6.6639999999999997"/>
  </r>
  <r>
    <x v="2"/>
    <x v="121"/>
    <n v="432268.53"/>
    <x v="0"/>
    <n v="81.55"/>
    <n v="3.5009999999999999"/>
    <n v="225.25183129999999"/>
    <n v="6.6639999999999997"/>
  </r>
  <r>
    <x v="2"/>
    <x v="122"/>
    <n v="446336.8"/>
    <x v="0"/>
    <n v="81.650000000000006"/>
    <n v="3.452"/>
    <n v="225.25214579999999"/>
    <n v="6.6639999999999997"/>
  </r>
  <r>
    <x v="2"/>
    <x v="123"/>
    <n v="442074.79"/>
    <x v="0"/>
    <n v="84.66"/>
    <n v="3.3929999999999998"/>
    <n v="225.26447949999999"/>
    <n v="6.6639999999999997"/>
  </r>
  <r>
    <x v="2"/>
    <x v="124"/>
    <n v="419497.95"/>
    <x v="0"/>
    <n v="82.7"/>
    <n v="3.3460000000000001"/>
    <n v="225.3068615"/>
    <n v="6.6639999999999997"/>
  </r>
  <r>
    <x v="2"/>
    <x v="125"/>
    <n v="422965.33"/>
    <x v="0"/>
    <n v="86.42"/>
    <n v="3.286"/>
    <n v="225.3492435"/>
    <n v="6.6639999999999997"/>
  </r>
  <r>
    <x v="2"/>
    <x v="126"/>
    <n v="411206.5"/>
    <x v="0"/>
    <n v="83.14"/>
    <n v="3.2269999999999999"/>
    <n v="225.39162540000001"/>
    <n v="6.3339999999999996"/>
  </r>
  <r>
    <x v="2"/>
    <x v="127"/>
    <n v="416913.1"/>
    <x v="0"/>
    <n v="82.28"/>
    <n v="3.2559999999999998"/>
    <n v="225.43400740000001"/>
    <n v="6.3339999999999996"/>
  </r>
  <r>
    <x v="2"/>
    <x v="128"/>
    <n v="432424.85"/>
    <x v="0"/>
    <n v="81.38"/>
    <n v="3.3109999999999999"/>
    <n v="225.44388269999999"/>
    <n v="6.3339999999999996"/>
  </r>
  <r>
    <x v="2"/>
    <x v="129"/>
    <n v="389427.9"/>
    <x v="0"/>
    <n v="84.94"/>
    <n v="3.407"/>
    <n v="225.4537579"/>
    <n v="6.3339999999999996"/>
  </r>
  <r>
    <x v="2"/>
    <x v="130"/>
    <n v="419990.29"/>
    <x v="0"/>
    <n v="86.55"/>
    <n v="3.4169999999999998"/>
    <n v="225.4636332"/>
    <n v="6.3339999999999996"/>
  </r>
  <r>
    <x v="2"/>
    <x v="131"/>
    <n v="391811.6"/>
    <x v="0"/>
    <n v="85.85"/>
    <n v="3.4940000000000002"/>
    <n v="225.47350850000001"/>
    <n v="6.3339999999999996"/>
  </r>
  <r>
    <x v="2"/>
    <x v="132"/>
    <n v="394918.83"/>
    <x v="0"/>
    <n v="87.36"/>
    <n v="3.5710000000000002"/>
    <n v="225.55586640000001"/>
    <n v="6.3339999999999996"/>
  </r>
  <r>
    <x v="2"/>
    <x v="133"/>
    <n v="412449.67"/>
    <x v="0"/>
    <n v="83.01"/>
    <n v="3.62"/>
    <n v="225.69258640000001"/>
    <n v="6.3339999999999996"/>
  </r>
  <r>
    <x v="2"/>
    <x v="134"/>
    <n v="408838.73"/>
    <x v="0"/>
    <n v="85.18"/>
    <n v="3.6379999999999999"/>
    <n v="225.82930630000001"/>
    <n v="6.3339999999999996"/>
  </r>
  <r>
    <x v="2"/>
    <x v="135"/>
    <n v="408229.73"/>
    <x v="1"/>
    <n v="84.99"/>
    <n v="3.73"/>
    <n v="225.96602630000001"/>
    <n v="6.3339999999999996"/>
  </r>
  <r>
    <x v="2"/>
    <x v="136"/>
    <n v="407589.16"/>
    <x v="0"/>
    <n v="78.36"/>
    <n v="3.7170000000000001"/>
    <n v="226.1122067"/>
    <n v="6.3339999999999996"/>
  </r>
  <r>
    <x v="2"/>
    <x v="137"/>
    <n v="414392.09"/>
    <x v="0"/>
    <n v="72.78"/>
    <n v="3.7210000000000001"/>
    <n v="226.31514960000001"/>
    <n v="6.3339999999999996"/>
  </r>
  <r>
    <x v="2"/>
    <x v="138"/>
    <n v="389813.02"/>
    <x v="0"/>
    <n v="77.459999999999994"/>
    <n v="3.6659999999999999"/>
    <n v="226.51809259999999"/>
    <n v="6.3339999999999996"/>
  </r>
  <r>
    <x v="2"/>
    <x v="139"/>
    <n v="443557.65"/>
    <x v="0"/>
    <n v="72.739999999999995"/>
    <n v="3.617"/>
    <n v="226.72103559999999"/>
    <n v="6.0339999999999998"/>
  </r>
  <r>
    <x v="2"/>
    <x v="140"/>
    <n v="410804.39"/>
    <x v="0"/>
    <n v="70.31"/>
    <n v="3.601"/>
    <n v="226.9239785"/>
    <n v="6.0339999999999998"/>
  </r>
  <r>
    <x v="2"/>
    <x v="141"/>
    <n v="424513.08"/>
    <x v="0"/>
    <n v="73.44"/>
    <n v="3.5939999999999999"/>
    <n v="226.96884420000001"/>
    <n v="6.0339999999999998"/>
  </r>
  <r>
    <x v="2"/>
    <x v="142"/>
    <n v="405432.7"/>
    <x v="0"/>
    <n v="74.66"/>
    <n v="3.5059999999999998"/>
    <n v="226.9873637"/>
    <n v="6.0339999999999998"/>
  </r>
  <r>
    <x v="3"/>
    <x v="0"/>
    <n v="2135143.87"/>
    <x v="0"/>
    <n v="43.76"/>
    <n v="2.5979999999999999"/>
    <n v="126.4420645"/>
    <n v="8.6229999999999993"/>
  </r>
  <r>
    <x v="3"/>
    <x v="1"/>
    <n v="2188307.39"/>
    <x v="1"/>
    <n v="28.84"/>
    <n v="2.573"/>
    <n v="126.49625810000001"/>
    <n v="8.6229999999999993"/>
  </r>
  <r>
    <x v="3"/>
    <x v="2"/>
    <n v="2049860.26"/>
    <x v="0"/>
    <n v="36.450000000000003"/>
    <n v="2.54"/>
    <n v="126.5262857"/>
    <n v="8.6229999999999993"/>
  </r>
  <r>
    <x v="3"/>
    <x v="3"/>
    <n v="1925728.84"/>
    <x v="0"/>
    <n v="41.36"/>
    <n v="2.59"/>
    <n v="126.5522857"/>
    <n v="8.6229999999999993"/>
  </r>
  <r>
    <x v="3"/>
    <x v="4"/>
    <n v="1971057.44"/>
    <x v="0"/>
    <n v="43.49"/>
    <n v="2.6539999999999999"/>
    <n v="126.5782857"/>
    <n v="8.6229999999999993"/>
  </r>
  <r>
    <x v="3"/>
    <x v="5"/>
    <n v="1894324.09"/>
    <x v="0"/>
    <n v="49.63"/>
    <n v="2.7040000000000002"/>
    <n v="126.60428570000001"/>
    <n v="8.6229999999999993"/>
  </r>
  <r>
    <x v="3"/>
    <x v="6"/>
    <n v="1897429.36"/>
    <x v="0"/>
    <n v="55.19"/>
    <n v="2.7429999999999999"/>
    <n v="126.6066452"/>
    <n v="8.6229999999999993"/>
  </r>
  <r>
    <x v="3"/>
    <x v="7"/>
    <n v="1762539.3"/>
    <x v="0"/>
    <n v="39.909999999999997"/>
    <n v="2.7519999999999998"/>
    <n v="126.6050645"/>
    <n v="8.6229999999999993"/>
  </r>
  <r>
    <x v="3"/>
    <x v="8"/>
    <n v="1979247.12"/>
    <x v="0"/>
    <n v="48.77"/>
    <n v="2.74"/>
    <n v="126.6034839"/>
    <n v="7.8959999999999999"/>
  </r>
  <r>
    <x v="3"/>
    <x v="9"/>
    <n v="1818452.72"/>
    <x v="0"/>
    <n v="54.16"/>
    <n v="2.7730000000000001"/>
    <n v="126.6019032"/>
    <n v="7.8959999999999999"/>
  </r>
  <r>
    <x v="3"/>
    <x v="10"/>
    <n v="1851519.69"/>
    <x v="0"/>
    <n v="56.23"/>
    <n v="2.81"/>
    <n v="126.5621"/>
    <n v="7.8959999999999999"/>
  </r>
  <r>
    <x v="3"/>
    <x v="11"/>
    <n v="1802677.9"/>
    <x v="0"/>
    <n v="56.87"/>
    <n v="2.8050000000000002"/>
    <n v="126.4713333"/>
    <n v="7.8959999999999999"/>
  </r>
  <r>
    <x v="3"/>
    <x v="12"/>
    <n v="1817273.28"/>
    <x v="0"/>
    <n v="53.04"/>
    <n v="2.7869999999999999"/>
    <n v="126.3805667"/>
    <n v="7.8959999999999999"/>
  </r>
  <r>
    <x v="3"/>
    <x v="13"/>
    <n v="2000626.14"/>
    <x v="0"/>
    <n v="56.77"/>
    <n v="2.8359999999999999"/>
    <n v="126.2898"/>
    <n v="7.8959999999999999"/>
  </r>
  <r>
    <x v="3"/>
    <x v="14"/>
    <n v="1875597.28"/>
    <x v="0"/>
    <n v="62.35"/>
    <n v="2.8450000000000002"/>
    <n v="126.2085484"/>
    <n v="7.8959999999999999"/>
  </r>
  <r>
    <x v="3"/>
    <x v="15"/>
    <n v="1903752.6"/>
    <x v="0"/>
    <n v="67.400000000000006"/>
    <n v="2.82"/>
    <n v="126.1843871"/>
    <n v="7.8959999999999999"/>
  </r>
  <r>
    <x v="3"/>
    <x v="16"/>
    <n v="1857533.7"/>
    <x v="0"/>
    <n v="67.73"/>
    <n v="2.7559999999999998"/>
    <n v="126.16022580000001"/>
    <n v="7.8959999999999999"/>
  </r>
  <r>
    <x v="3"/>
    <x v="17"/>
    <n v="1903290.58"/>
    <x v="0"/>
    <n v="70.83"/>
    <n v="2.7010000000000001"/>
    <n v="126.1360645"/>
    <n v="7.8959999999999999"/>
  </r>
  <r>
    <x v="3"/>
    <x v="18"/>
    <n v="1870619.23"/>
    <x v="0"/>
    <n v="78.45"/>
    <n v="2.6680000000000001"/>
    <n v="126.1119032"/>
    <n v="7.8959999999999999"/>
  </r>
  <r>
    <x v="3"/>
    <x v="19"/>
    <n v="1929736.35"/>
    <x v="0"/>
    <n v="81.53"/>
    <n v="2.6349999999999998"/>
    <n v="126.114"/>
    <n v="7.8959999999999999"/>
  </r>
  <r>
    <x v="3"/>
    <x v="20"/>
    <n v="1846651.95"/>
    <x v="0"/>
    <n v="81.099999999999994"/>
    <n v="2.6539999999999999"/>
    <n v="126.1266"/>
    <n v="7.8959999999999999"/>
  </r>
  <r>
    <x v="3"/>
    <x v="21"/>
    <n v="1881337.21"/>
    <x v="0"/>
    <n v="73.66"/>
    <n v="2.6680000000000001"/>
    <n v="126.1392"/>
    <n v="7.3719999999999999"/>
  </r>
  <r>
    <x v="3"/>
    <x v="22"/>
    <n v="1812208.22"/>
    <x v="0"/>
    <n v="80.349999999999994"/>
    <n v="2.637"/>
    <n v="126.15179999999999"/>
    <n v="7.3719999999999999"/>
  </r>
  <r>
    <x v="3"/>
    <x v="23"/>
    <n v="1898427.66"/>
    <x v="0"/>
    <n v="78.53"/>
    <n v="2.621"/>
    <n v="126.1498065"/>
    <n v="7.3719999999999999"/>
  </r>
  <r>
    <x v="3"/>
    <x v="24"/>
    <n v="1848426.78"/>
    <x v="0"/>
    <n v="79.78"/>
    <n v="2.6120000000000001"/>
    <n v="126.1283548"/>
    <n v="7.3719999999999999"/>
  </r>
  <r>
    <x v="3"/>
    <x v="25"/>
    <n v="1796637.61"/>
    <x v="0"/>
    <n v="80.7"/>
    <n v="2.65"/>
    <n v="126.1069032"/>
    <n v="7.3719999999999999"/>
  </r>
  <r>
    <x v="3"/>
    <x v="26"/>
    <n v="1907638.58"/>
    <x v="0"/>
    <n v="76.53"/>
    <n v="2.64"/>
    <n v="126.0854516"/>
    <n v="7.3719999999999999"/>
  </r>
  <r>
    <x v="3"/>
    <x v="27"/>
    <n v="2007050.75"/>
    <x v="0"/>
    <n v="78.08"/>
    <n v="2.698"/>
    <n v="126.06399999999999"/>
    <n v="7.3719999999999999"/>
  </r>
  <r>
    <x v="3"/>
    <x v="28"/>
    <n v="1997181.09"/>
    <x v="0"/>
    <n v="78.83"/>
    <n v="2.6709999999999998"/>
    <n v="126.0766452"/>
    <n v="7.3719999999999999"/>
  </r>
  <r>
    <x v="3"/>
    <x v="29"/>
    <n v="1848403.92"/>
    <x v="0"/>
    <n v="74.44"/>
    <n v="2.621"/>
    <n v="126.0892903"/>
    <n v="7.3719999999999999"/>
  </r>
  <r>
    <x v="3"/>
    <x v="30"/>
    <n v="1935857.58"/>
    <x v="0"/>
    <n v="76.8"/>
    <n v="2.5840000000000001"/>
    <n v="126.1019355"/>
    <n v="7.3719999999999999"/>
  </r>
  <r>
    <x v="3"/>
    <x v="31"/>
    <n v="1865820.81"/>
    <x v="1"/>
    <n v="73.540000000000006"/>
    <n v="2.5739999999999998"/>
    <n v="126.1145806"/>
    <n v="7.3719999999999999"/>
  </r>
  <r>
    <x v="3"/>
    <x v="32"/>
    <n v="1899959.61"/>
    <x v="0"/>
    <n v="64.91"/>
    <n v="2.5939999999999999"/>
    <n v="126.1454667"/>
    <n v="7.3719999999999999"/>
  </r>
  <r>
    <x v="3"/>
    <x v="33"/>
    <n v="1810684.68"/>
    <x v="0"/>
    <n v="60.96"/>
    <n v="2.6419999999999999"/>
    <n v="126.1900333"/>
    <n v="7.3719999999999999"/>
  </r>
  <r>
    <x v="3"/>
    <x v="34"/>
    <n v="1842821.02"/>
    <x v="0"/>
    <n v="63.96"/>
    <n v="2.6190000000000002"/>
    <n v="126.2346"/>
    <n v="7.1269999999999998"/>
  </r>
  <r>
    <x v="3"/>
    <x v="35"/>
    <n v="1951494.85"/>
    <x v="0"/>
    <n v="67.73"/>
    <n v="2.645"/>
    <n v="126.2791667"/>
    <n v="7.1269999999999998"/>
  </r>
  <r>
    <x v="3"/>
    <x v="36"/>
    <n v="1867345.09"/>
    <x v="0"/>
    <n v="62.03"/>
    <n v="2.7320000000000002"/>
    <n v="126.32667739999999"/>
    <n v="7.1269999999999998"/>
  </r>
  <r>
    <x v="3"/>
    <x v="37"/>
    <n v="1927610.06"/>
    <x v="0"/>
    <n v="64.17"/>
    <n v="2.7360000000000002"/>
    <n v="126.3815484"/>
    <n v="7.1269999999999998"/>
  </r>
  <r>
    <x v="3"/>
    <x v="38"/>
    <n v="1933333"/>
    <x v="0"/>
    <n v="56.94"/>
    <n v="2.718"/>
    <n v="126.43641940000001"/>
    <n v="7.1269999999999998"/>
  </r>
  <r>
    <x v="3"/>
    <x v="39"/>
    <n v="2013115.79"/>
    <x v="0"/>
    <n v="51.6"/>
    <n v="2.6989999999999998"/>
    <n v="126.4912903"/>
    <n v="7.1269999999999998"/>
  </r>
  <r>
    <x v="3"/>
    <x v="40"/>
    <n v="1999794.26"/>
    <x v="0"/>
    <n v="52.65"/>
    <n v="2.7410000000000001"/>
    <n v="126.54616129999999"/>
    <n v="7.1269999999999998"/>
  </r>
  <r>
    <x v="3"/>
    <x v="41"/>
    <n v="2097809.4"/>
    <x v="0"/>
    <n v="48.05"/>
    <n v="2.78"/>
    <n v="126.60720000000001"/>
    <n v="7.1269999999999998"/>
  </r>
  <r>
    <x v="3"/>
    <x v="42"/>
    <n v="2789469.45"/>
    <x v="1"/>
    <n v="48.08"/>
    <n v="2.7519999999999998"/>
    <n v="126.66926669999999"/>
    <n v="7.1269999999999998"/>
  </r>
  <r>
    <x v="3"/>
    <x v="43"/>
    <n v="2102530.17"/>
    <x v="0"/>
    <n v="46.4"/>
    <n v="2.7269999999999999"/>
    <n v="126.7313333"/>
    <n v="7.1269999999999998"/>
  </r>
  <r>
    <x v="3"/>
    <x v="44"/>
    <n v="2302504.86"/>
    <x v="0"/>
    <n v="42.4"/>
    <n v="2.86"/>
    <n v="126.79340000000001"/>
    <n v="7.1269999999999998"/>
  </r>
  <r>
    <x v="3"/>
    <x v="45"/>
    <n v="2740057.14"/>
    <x v="0"/>
    <n v="46.57"/>
    <n v="2.8839999999999999"/>
    <n v="126.8794839"/>
    <n v="7.1269999999999998"/>
  </r>
  <r>
    <x v="3"/>
    <x v="46"/>
    <n v="3526713.39"/>
    <x v="0"/>
    <n v="43.21"/>
    <n v="2.887"/>
    <n v="126.9835806"/>
    <n v="7.1269999999999998"/>
  </r>
  <r>
    <x v="3"/>
    <x v="47"/>
    <n v="1794868.74"/>
    <x v="1"/>
    <n v="38.090000000000003"/>
    <n v="2.9550000000000001"/>
    <n v="127.0876774"/>
    <n v="7.1269999999999998"/>
  </r>
  <r>
    <x v="3"/>
    <x v="48"/>
    <n v="1862476.27"/>
    <x v="0"/>
    <n v="39.340000000000003"/>
    <n v="2.98"/>
    <n v="127.1917742"/>
    <n v="6.51"/>
  </r>
  <r>
    <x v="3"/>
    <x v="49"/>
    <n v="1865502.46"/>
    <x v="0"/>
    <n v="31.6"/>
    <n v="2.992"/>
    <n v="127.30093549999999"/>
    <n v="6.51"/>
  </r>
  <r>
    <x v="3"/>
    <x v="50"/>
    <n v="1886393.94"/>
    <x v="0"/>
    <n v="38.340000000000003"/>
    <n v="3.0169999999999999"/>
    <n v="127.4404839"/>
    <n v="6.51"/>
  </r>
  <r>
    <x v="3"/>
    <x v="51"/>
    <n v="1814240.85"/>
    <x v="0"/>
    <n v="40.6"/>
    <n v="3.0219999999999998"/>
    <n v="127.5800323"/>
    <n v="6.51"/>
  </r>
  <r>
    <x v="3"/>
    <x v="52"/>
    <n v="2119086.04"/>
    <x v="0"/>
    <n v="34.61"/>
    <n v="2.996"/>
    <n v="127.7195806"/>
    <n v="6.51"/>
  </r>
  <r>
    <x v="3"/>
    <x v="53"/>
    <n v="2187847.29"/>
    <x v="1"/>
    <n v="33.29"/>
    <n v="3.0329999999999999"/>
    <n v="127.859129"/>
    <n v="6.51"/>
  </r>
  <r>
    <x v="3"/>
    <x v="54"/>
    <n v="2316495.56"/>
    <x v="0"/>
    <n v="48.17"/>
    <n v="3.0579999999999998"/>
    <n v="127.99525"/>
    <n v="6.51"/>
  </r>
  <r>
    <x v="3"/>
    <x v="55"/>
    <n v="2078094.69"/>
    <x v="0"/>
    <n v="49"/>
    <n v="3.0870000000000002"/>
    <n v="128.13"/>
    <n v="6.51"/>
  </r>
  <r>
    <x v="3"/>
    <x v="56"/>
    <n v="2103455.75"/>
    <x v="0"/>
    <n v="46.56"/>
    <n v="3.3050000000000002"/>
    <n v="128.26474999999999"/>
    <n v="6.51"/>
  </r>
  <r>
    <x v="3"/>
    <x v="57"/>
    <n v="2039818.41"/>
    <x v="0"/>
    <n v="50.93"/>
    <n v="3.4609999999999999"/>
    <n v="128.39949999999999"/>
    <n v="6.51"/>
  </r>
  <r>
    <x v="3"/>
    <x v="58"/>
    <n v="2116475.38"/>
    <x v="0"/>
    <n v="51.86"/>
    <n v="3.4950000000000001"/>
    <n v="128.5121935"/>
    <n v="6.51"/>
  </r>
  <r>
    <x v="3"/>
    <x v="59"/>
    <n v="1944164.32"/>
    <x v="0"/>
    <n v="59.1"/>
    <n v="3.48"/>
    <n v="128.61606449999999"/>
    <n v="6.51"/>
  </r>
  <r>
    <x v="3"/>
    <x v="60"/>
    <n v="1900246.47"/>
    <x v="0"/>
    <n v="56.99"/>
    <n v="3.5209999999999999"/>
    <n v="128.71993549999999"/>
    <n v="5.9459999999999997"/>
  </r>
  <r>
    <x v="3"/>
    <x v="61"/>
    <n v="2074953.46"/>
    <x v="0"/>
    <n v="62.61"/>
    <n v="3.605"/>
    <n v="128.82380649999999"/>
    <n v="5.9459999999999997"/>
  </r>
  <r>
    <x v="3"/>
    <x v="62"/>
    <n v="1960587.76"/>
    <x v="0"/>
    <n v="62.34"/>
    <n v="3.7240000000000002"/>
    <n v="128.9107333"/>
    <n v="5.9459999999999997"/>
  </r>
  <r>
    <x v="3"/>
    <x v="63"/>
    <n v="2220600.7599999998"/>
    <x v="0"/>
    <n v="68.8"/>
    <n v="3.7810000000000001"/>
    <n v="128.95529999999999"/>
    <n v="5.9459999999999997"/>
  </r>
  <r>
    <x v="3"/>
    <x v="64"/>
    <n v="1878167.44"/>
    <x v="0"/>
    <n v="64.22"/>
    <n v="3.7810000000000001"/>
    <n v="128.99986670000001"/>
    <n v="5.9459999999999997"/>
  </r>
  <r>
    <x v="3"/>
    <x v="65"/>
    <n v="2063682.76"/>
    <x v="0"/>
    <n v="63.41"/>
    <n v="3.8660000000000001"/>
    <n v="129.04443330000001"/>
    <n v="5.9459999999999997"/>
  </r>
  <r>
    <x v="3"/>
    <x v="66"/>
    <n v="2002362.37"/>
    <x v="0"/>
    <n v="70.650000000000006"/>
    <n v="3.8719999999999999"/>
    <n v="129.089"/>
    <n v="5.9459999999999997"/>
  </r>
  <r>
    <x v="3"/>
    <x v="67"/>
    <n v="2015563.48"/>
    <x v="0"/>
    <n v="70.489999999999995"/>
    <n v="3.8809999999999998"/>
    <n v="129.07567739999999"/>
    <n v="5.9459999999999997"/>
  </r>
  <r>
    <x v="3"/>
    <x v="68"/>
    <n v="1986597.95"/>
    <x v="0"/>
    <n v="73.650000000000006"/>
    <n v="3.7709999999999999"/>
    <n v="129.06235480000001"/>
    <n v="5.9459999999999997"/>
  </r>
  <r>
    <x v="3"/>
    <x v="69"/>
    <n v="2065377.15"/>
    <x v="0"/>
    <n v="78.260000000000005"/>
    <n v="3.6829999999999998"/>
    <n v="129.04903229999999"/>
    <n v="5.9459999999999997"/>
  </r>
  <r>
    <x v="3"/>
    <x v="70"/>
    <n v="2073951.38"/>
    <x v="0"/>
    <n v="80.05"/>
    <n v="3.64"/>
    <n v="129.03570970000001"/>
    <n v="5.9459999999999997"/>
  </r>
  <r>
    <x v="3"/>
    <x v="71"/>
    <n v="2141210.62"/>
    <x v="0"/>
    <n v="83.51"/>
    <n v="3.6179999999999999"/>
    <n v="129.04320000000001"/>
    <n v="5.9459999999999997"/>
  </r>
  <r>
    <x v="3"/>
    <x v="72"/>
    <n v="2008344.92"/>
    <x v="0"/>
    <n v="81.849999999999994"/>
    <n v="3.57"/>
    <n v="129.06630000000001"/>
    <n v="5.9459999999999997"/>
  </r>
  <r>
    <x v="3"/>
    <x v="73"/>
    <n v="2051533.53"/>
    <x v="0"/>
    <n v="84.54"/>
    <n v="3.504"/>
    <n v="129.08940000000001"/>
    <n v="5.6440000000000001"/>
  </r>
  <r>
    <x v="3"/>
    <x v="74"/>
    <n v="2066541.86"/>
    <x v="0"/>
    <n v="84.59"/>
    <n v="3.4689999999999999"/>
    <n v="129.11250000000001"/>
    <n v="5.6440000000000001"/>
  </r>
  <r>
    <x v="3"/>
    <x v="75"/>
    <n v="2049046.95"/>
    <x v="0"/>
    <n v="83.27"/>
    <n v="3.5630000000000002"/>
    <n v="129.13383870000001"/>
    <n v="5.6440000000000001"/>
  </r>
  <r>
    <x v="3"/>
    <x v="76"/>
    <n v="2036231.39"/>
    <x v="0"/>
    <n v="82.84"/>
    <n v="3.6269999999999998"/>
    <n v="129.1507742"/>
    <n v="5.6440000000000001"/>
  </r>
  <r>
    <x v="3"/>
    <x v="77"/>
    <n v="1989674.07"/>
    <x v="0"/>
    <n v="84.36"/>
    <n v="3.6589999999999998"/>
    <n v="129.16770969999999"/>
    <n v="5.6440000000000001"/>
  </r>
  <r>
    <x v="3"/>
    <x v="78"/>
    <n v="2160057.39"/>
    <x v="0"/>
    <n v="86.09"/>
    <n v="3.6619999999999999"/>
    <n v="129.18464520000001"/>
    <n v="5.6440000000000001"/>
  </r>
  <r>
    <x v="3"/>
    <x v="79"/>
    <n v="2105668.7400000002"/>
    <x v="0"/>
    <n v="82.98"/>
    <n v="3.617"/>
    <n v="129.2015806"/>
    <n v="5.6440000000000001"/>
  </r>
  <r>
    <x v="3"/>
    <x v="80"/>
    <n v="2232892.1"/>
    <x v="0"/>
    <n v="82.77"/>
    <n v="3.55"/>
    <n v="129.24058059999999"/>
    <n v="5.6440000000000001"/>
  </r>
  <r>
    <x v="3"/>
    <x v="81"/>
    <n v="1988490.21"/>
    <x v="0"/>
    <n v="81.47"/>
    <n v="3.5230000000000001"/>
    <n v="129.28325810000001"/>
    <n v="5.6440000000000001"/>
  </r>
  <r>
    <x v="3"/>
    <x v="82"/>
    <n v="2078420.31"/>
    <x v="0"/>
    <n v="77.989999999999995"/>
    <n v="3.5329999999999999"/>
    <n v="129.32593550000001"/>
    <n v="5.6440000000000001"/>
  </r>
  <r>
    <x v="3"/>
    <x v="83"/>
    <n v="2093139.01"/>
    <x v="1"/>
    <n v="73.34"/>
    <n v="3.5539999999999998"/>
    <n v="129.36861289999999"/>
    <n v="5.6440000000000001"/>
  </r>
  <r>
    <x v="3"/>
    <x v="84"/>
    <n v="2075577.33"/>
    <x v="0"/>
    <n v="72.760000000000005"/>
    <n v="3.532"/>
    <n v="129.4306"/>
    <n v="5.6440000000000001"/>
  </r>
  <r>
    <x v="3"/>
    <x v="85"/>
    <n v="2031406.41"/>
    <x v="0"/>
    <n v="69.23"/>
    <n v="3.4729999999999999"/>
    <n v="129.51833329999999"/>
    <n v="5.6440000000000001"/>
  </r>
  <r>
    <x v="3"/>
    <x v="86"/>
    <n v="1929486.63"/>
    <x v="0"/>
    <n v="72.150000000000006"/>
    <n v="3.371"/>
    <n v="129.60606670000001"/>
    <n v="5.6440000000000001"/>
  </r>
  <r>
    <x v="3"/>
    <x v="87"/>
    <n v="2166737.65"/>
    <x v="0"/>
    <n v="65.790000000000006"/>
    <n v="3.2989999999999999"/>
    <n v="129.69380000000001"/>
    <n v="5.1429999999999998"/>
  </r>
  <r>
    <x v="3"/>
    <x v="88"/>
    <n v="2074548.85"/>
    <x v="0"/>
    <n v="63.75"/>
    <n v="3.2829999999999999"/>
    <n v="129.77064519999999"/>
    <n v="5.1429999999999998"/>
  </r>
  <r>
    <x v="3"/>
    <x v="89"/>
    <n v="2207742.13"/>
    <x v="0"/>
    <n v="64.790000000000006"/>
    <n v="3.3610000000000002"/>
    <n v="129.78216130000001"/>
    <n v="5.1429999999999998"/>
  </r>
  <r>
    <x v="3"/>
    <x v="90"/>
    <n v="2151659.59"/>
    <x v="0"/>
    <n v="55.31"/>
    <n v="3.3620000000000001"/>
    <n v="129.79367740000001"/>
    <n v="5.1429999999999998"/>
  </r>
  <r>
    <x v="3"/>
    <x v="91"/>
    <n v="2281217.31"/>
    <x v="0"/>
    <n v="49.86"/>
    <n v="3.3220000000000001"/>
    <n v="129.8051935"/>
    <n v="5.1429999999999998"/>
  </r>
  <r>
    <x v="3"/>
    <x v="92"/>
    <n v="2203028.96"/>
    <x v="0"/>
    <n v="47.12"/>
    <n v="3.286"/>
    <n v="129.81670969999999"/>
    <n v="5.1429999999999998"/>
  </r>
  <r>
    <x v="3"/>
    <x v="93"/>
    <n v="2243946.59"/>
    <x v="0"/>
    <n v="50.44"/>
    <n v="3.294"/>
    <n v="129.8268333"/>
    <n v="5.1429999999999998"/>
  </r>
  <r>
    <x v="3"/>
    <x v="94"/>
    <n v="3004702.33"/>
    <x v="1"/>
    <n v="47.96"/>
    <n v="3.2250000000000001"/>
    <n v="129.8364"/>
    <n v="5.1429999999999998"/>
  </r>
  <r>
    <x v="3"/>
    <x v="95"/>
    <n v="2180999.2599999998"/>
    <x v="0"/>
    <n v="38.71"/>
    <n v="3.1760000000000002"/>
    <n v="129.84596669999999"/>
    <n v="5.1429999999999998"/>
  </r>
  <r>
    <x v="3"/>
    <x v="96"/>
    <n v="2508955.2400000002"/>
    <x v="0"/>
    <n v="31.64"/>
    <n v="3.153"/>
    <n v="129.85553329999999"/>
    <n v="5.1429999999999998"/>
  </r>
  <r>
    <x v="3"/>
    <x v="97"/>
    <n v="2771397.17"/>
    <x v="0"/>
    <n v="36.44"/>
    <n v="3.149"/>
    <n v="129.8980645"/>
    <n v="5.1429999999999998"/>
  </r>
  <r>
    <x v="3"/>
    <x v="98"/>
    <n v="3676388.98"/>
    <x v="0"/>
    <n v="35.92"/>
    <n v="3.1030000000000002"/>
    <n v="129.98454839999999"/>
    <n v="5.1429999999999998"/>
  </r>
  <r>
    <x v="3"/>
    <x v="99"/>
    <n v="2007105.86"/>
    <x v="1"/>
    <n v="36.89"/>
    <n v="3.1190000000000002"/>
    <n v="130.07103230000001"/>
    <n v="5.1429999999999998"/>
  </r>
  <r>
    <x v="3"/>
    <x v="100"/>
    <n v="2047766.07"/>
    <x v="0"/>
    <n v="38.64"/>
    <n v="3.1579999999999999"/>
    <n v="130.15751610000001"/>
    <n v="4.6070000000000002"/>
  </r>
  <r>
    <x v="3"/>
    <x v="101"/>
    <n v="1941676.61"/>
    <x v="0"/>
    <n v="34.409999999999997"/>
    <n v="3.2629999999999999"/>
    <n v="130.244"/>
    <n v="4.6070000000000002"/>
  </r>
  <r>
    <x v="3"/>
    <x v="102"/>
    <n v="2005097.76"/>
    <x v="0"/>
    <n v="42.09"/>
    <n v="3.2730000000000001"/>
    <n v="130.27922580000001"/>
    <n v="4.6070000000000002"/>
  </r>
  <r>
    <x v="3"/>
    <x v="103"/>
    <n v="1928720.51"/>
    <x v="0"/>
    <n v="40.31"/>
    <n v="3.29"/>
    <n v="130.31445160000001"/>
    <n v="4.6070000000000002"/>
  </r>
  <r>
    <x v="3"/>
    <x v="104"/>
    <n v="2173373.91"/>
    <x v="0"/>
    <n v="41.81"/>
    <n v="3.3540000000000001"/>
    <n v="130.34967739999999"/>
    <n v="4.6070000000000002"/>
  </r>
  <r>
    <x v="3"/>
    <x v="105"/>
    <n v="2374660.64"/>
    <x v="1"/>
    <n v="33"/>
    <n v="3.411"/>
    <n v="130.3849032"/>
    <n v="4.6070000000000002"/>
  </r>
  <r>
    <x v="3"/>
    <x v="106"/>
    <n v="2427640.17"/>
    <x v="0"/>
    <n v="34.19"/>
    <n v="3.4929999999999999"/>
    <n v="130.45462069999999"/>
    <n v="4.6070000000000002"/>
  </r>
  <r>
    <x v="3"/>
    <x v="107"/>
    <n v="2226662.17"/>
    <x v="0"/>
    <n v="41.31"/>
    <n v="3.5409999999999999"/>
    <n v="130.55020690000001"/>
    <n v="4.6070000000000002"/>
  </r>
  <r>
    <x v="3"/>
    <x v="108"/>
    <n v="2206319.9"/>
    <x v="0"/>
    <n v="50.38"/>
    <n v="3.6190000000000002"/>
    <n v="130.64579309999999"/>
    <n v="4.6070000000000002"/>
  </r>
  <r>
    <x v="3"/>
    <x v="109"/>
    <n v="2202450.81"/>
    <x v="0"/>
    <n v="53.63"/>
    <n v="3.6669999999999998"/>
    <n v="130.74137930000001"/>
    <n v="4.6070000000000002"/>
  </r>
  <r>
    <x v="3"/>
    <x v="110"/>
    <n v="2214967.44"/>
    <x v="0"/>
    <n v="59.81"/>
    <n v="3.7069999999999999"/>
    <n v="130.82619349999999"/>
    <n v="4.6070000000000002"/>
  </r>
  <r>
    <x v="3"/>
    <x v="111"/>
    <n v="2091592.54"/>
    <x v="0"/>
    <n v="59.07"/>
    <n v="3.7589999999999999"/>
    <n v="130.89664519999999"/>
    <n v="4.6070000000000002"/>
  </r>
  <r>
    <x v="3"/>
    <x v="112"/>
    <n v="2089381.77"/>
    <x v="0"/>
    <n v="72.63"/>
    <n v="3.82"/>
    <n v="130.96709680000001"/>
    <n v="4.6070000000000002"/>
  </r>
  <r>
    <x v="3"/>
    <x v="113"/>
    <n v="2470206.13"/>
    <x v="0"/>
    <n v="67.69"/>
    <n v="3.8639999999999999"/>
    <n v="131.03754839999999"/>
    <n v="4.3079999999999998"/>
  </r>
  <r>
    <x v="3"/>
    <x v="114"/>
    <n v="2105301.39"/>
    <x v="0"/>
    <n v="68.69"/>
    <n v="3.8809999999999998"/>
    <n v="131.108"/>
    <n v="4.3079999999999998"/>
  </r>
  <r>
    <x v="3"/>
    <x v="115"/>
    <n v="2144336.89"/>
    <x v="0"/>
    <n v="68.599999999999994"/>
    <n v="3.8639999999999999"/>
    <n v="131.11733330000001"/>
    <n v="4.3079999999999998"/>
  </r>
  <r>
    <x v="3"/>
    <x v="116"/>
    <n v="2064065.66"/>
    <x v="0"/>
    <n v="76.47"/>
    <n v="3.81"/>
    <n v="131.12666669999999"/>
    <n v="4.3079999999999998"/>
  </r>
  <r>
    <x v="3"/>
    <x v="117"/>
    <n v="2196968.33"/>
    <x v="0"/>
    <n v="80.14"/>
    <n v="3.7469999999999999"/>
    <n v="131.136"/>
    <n v="4.3079999999999998"/>
  </r>
  <r>
    <x v="3"/>
    <x v="118"/>
    <n v="2127661.17"/>
    <x v="0"/>
    <n v="67.64"/>
    <n v="3.6850000000000001"/>
    <n v="131.1453333"/>
    <n v="4.3079999999999998"/>
  </r>
  <r>
    <x v="3"/>
    <x v="119"/>
    <n v="2207214.81"/>
    <x v="0"/>
    <n v="68.430000000000007"/>
    <n v="3.62"/>
    <n v="131.09832259999999"/>
    <n v="4.3079999999999998"/>
  </r>
  <r>
    <x v="3"/>
    <x v="120"/>
    <n v="2154137.67"/>
    <x v="0"/>
    <n v="77.47"/>
    <n v="3.5510000000000002"/>
    <n v="131.02877419999999"/>
    <n v="4.3079999999999998"/>
  </r>
  <r>
    <x v="3"/>
    <x v="121"/>
    <n v="2179360.94"/>
    <x v="0"/>
    <n v="77.41"/>
    <n v="3.4830000000000001"/>
    <n v="130.95922580000001"/>
    <n v="4.3079999999999998"/>
  </r>
  <r>
    <x v="3"/>
    <x v="122"/>
    <n v="2245257.1800000002"/>
    <x v="0"/>
    <n v="78.11"/>
    <n v="3.4329999999999998"/>
    <n v="130.88967740000001"/>
    <n v="4.3079999999999998"/>
  </r>
  <r>
    <x v="3"/>
    <x v="123"/>
    <n v="2234190.9300000002"/>
    <x v="0"/>
    <n v="80.94"/>
    <n v="3.3719999999999999"/>
    <n v="130.82953330000001"/>
    <n v="4.3079999999999998"/>
  </r>
  <r>
    <x v="3"/>
    <x v="124"/>
    <n v="2197299.65"/>
    <x v="0"/>
    <n v="81.63"/>
    <n v="3.3290000000000002"/>
    <n v="130.7929"/>
    <n v="4.3079999999999998"/>
  </r>
  <r>
    <x v="3"/>
    <x v="125"/>
    <n v="2128362.92"/>
    <x v="0"/>
    <n v="84.23"/>
    <n v="3.2570000000000001"/>
    <n v="130.7562667"/>
    <n v="4.3079999999999998"/>
  </r>
  <r>
    <x v="3"/>
    <x v="126"/>
    <n v="2224499.2799999998"/>
    <x v="0"/>
    <n v="80.37"/>
    <n v="3.1869999999999998"/>
    <n v="130.7196333"/>
    <n v="4.077"/>
  </r>
  <r>
    <x v="3"/>
    <x v="127"/>
    <n v="2100252.61"/>
    <x v="0"/>
    <n v="76.86"/>
    <n v="3.2240000000000002"/>
    <n v="130.68299999999999"/>
    <n v="4.077"/>
  </r>
  <r>
    <x v="3"/>
    <x v="128"/>
    <n v="2175563.69"/>
    <x v="0"/>
    <n v="79.14"/>
    <n v="3.2629999999999999"/>
    <n v="130.70129030000001"/>
    <n v="4.077"/>
  </r>
  <r>
    <x v="3"/>
    <x v="129"/>
    <n v="2048613.65"/>
    <x v="0"/>
    <n v="81.06"/>
    <n v="3.3559999999999999"/>
    <n v="130.7195806"/>
    <n v="4.077"/>
  </r>
  <r>
    <x v="3"/>
    <x v="130"/>
    <n v="2174514.13"/>
    <x v="0"/>
    <n v="83.86"/>
    <n v="3.3740000000000001"/>
    <n v="130.73787100000001"/>
    <n v="4.077"/>
  </r>
  <r>
    <x v="3"/>
    <x v="131"/>
    <n v="2193367.69"/>
    <x v="0"/>
    <n v="83.21"/>
    <n v="3.476"/>
    <n v="130.7561613"/>
    <n v="4.077"/>
  </r>
  <r>
    <x v="3"/>
    <x v="132"/>
    <n v="2283540.2999999998"/>
    <x v="0"/>
    <n v="81.41"/>
    <n v="3.552"/>
    <n v="130.79096770000001"/>
    <n v="4.077"/>
  </r>
  <r>
    <x v="3"/>
    <x v="133"/>
    <n v="2125241.6800000002"/>
    <x v="0"/>
    <n v="75.760000000000005"/>
    <n v="3.61"/>
    <n v="130.8381613"/>
    <n v="4.077"/>
  </r>
  <r>
    <x v="3"/>
    <x v="134"/>
    <n v="2081181.35"/>
    <x v="0"/>
    <n v="76.47"/>
    <n v="3.6459999999999999"/>
    <n v="130.88535479999999"/>
    <n v="4.077"/>
  </r>
  <r>
    <x v="3"/>
    <x v="135"/>
    <n v="2125104.7200000002"/>
    <x v="1"/>
    <n v="82.09"/>
    <n v="3.7090000000000001"/>
    <n v="130.9325484"/>
    <n v="4.077"/>
  </r>
  <r>
    <x v="3"/>
    <x v="136"/>
    <n v="2117854.6"/>
    <x v="0"/>
    <n v="68.2"/>
    <n v="3.706"/>
    <n v="130.97766669999999"/>
    <n v="4.077"/>
  </r>
  <r>
    <x v="3"/>
    <x v="137"/>
    <n v="2119438.5299999998"/>
    <x v="0"/>
    <n v="68.97"/>
    <n v="3.7210000000000001"/>
    <n v="131.01033330000001"/>
    <n v="4.077"/>
  </r>
  <r>
    <x v="3"/>
    <x v="138"/>
    <n v="2027620.23"/>
    <x v="0"/>
    <n v="71.739999999999995"/>
    <n v="3.6659999999999999"/>
    <n v="131.04300000000001"/>
    <n v="4.077"/>
  </r>
  <r>
    <x v="3"/>
    <x v="139"/>
    <n v="2209835.4300000002"/>
    <x v="0"/>
    <n v="63.07"/>
    <n v="3.62"/>
    <n v="131.0756667"/>
    <n v="3.879"/>
  </r>
  <r>
    <x v="3"/>
    <x v="140"/>
    <n v="2133026.0699999998"/>
    <x v="0"/>
    <n v="57.11"/>
    <n v="3.6030000000000002"/>
    <n v="131.1083333"/>
    <n v="3.879"/>
  </r>
  <r>
    <x v="3"/>
    <x v="141"/>
    <n v="2097266.85"/>
    <x v="0"/>
    <n v="64.459999999999994"/>
    <n v="3.61"/>
    <n v="131.14996769999999"/>
    <n v="3.879"/>
  </r>
  <r>
    <x v="3"/>
    <x v="142"/>
    <n v="2149594.46"/>
    <x v="0"/>
    <n v="63.64"/>
    <n v="3.5139999999999998"/>
    <n v="131.19309680000001"/>
    <n v="3.879"/>
  </r>
  <r>
    <x v="4"/>
    <x v="0"/>
    <n v="317173.09999999998"/>
    <x v="0"/>
    <n v="39.700000000000003"/>
    <n v="2.5720000000000001"/>
    <n v="211.65397160000001"/>
    <n v="6.5659999999999998"/>
  </r>
  <r>
    <x v="4"/>
    <x v="1"/>
    <n v="311825.7"/>
    <x v="1"/>
    <n v="39.81"/>
    <n v="2.548"/>
    <n v="211.8004698"/>
    <n v="6.5659999999999998"/>
  </r>
  <r>
    <x v="4"/>
    <x v="2"/>
    <n v="303447.57"/>
    <x v="0"/>
    <n v="41.14"/>
    <n v="2.5139999999999998"/>
    <n v="211.84712830000001"/>
    <n v="6.5659999999999998"/>
  </r>
  <r>
    <x v="4"/>
    <x v="3"/>
    <n v="270281.63"/>
    <x v="0"/>
    <n v="46.7"/>
    <n v="2.5609999999999999"/>
    <n v="211.87714679999999"/>
    <n v="6.5659999999999998"/>
  </r>
  <r>
    <x v="4"/>
    <x v="4"/>
    <n v="288855.71000000002"/>
    <x v="0"/>
    <n v="48.89"/>
    <n v="2.625"/>
    <n v="211.9071653"/>
    <n v="6.5659999999999998"/>
  </r>
  <r>
    <x v="4"/>
    <x v="5"/>
    <n v="297293.59000000003"/>
    <x v="0"/>
    <n v="58.5"/>
    <n v="2.6669999999999998"/>
    <n v="211.93718390000001"/>
    <n v="6.5659999999999998"/>
  </r>
  <r>
    <x v="4"/>
    <x v="6"/>
    <n v="281706.40999999997"/>
    <x v="0"/>
    <n v="55.46"/>
    <n v="2.72"/>
    <n v="211.77089699999999"/>
    <n v="6.5659999999999998"/>
  </r>
  <r>
    <x v="4"/>
    <x v="7"/>
    <n v="273282.96999999997"/>
    <x v="0"/>
    <n v="52.47"/>
    <n v="2.7320000000000002"/>
    <n v="211.57189249999999"/>
    <n v="6.5659999999999998"/>
  </r>
  <r>
    <x v="4"/>
    <x v="8"/>
    <n v="331406"/>
    <x v="0"/>
    <n v="63.18"/>
    <n v="2.7189999999999999"/>
    <n v="211.37288799999999"/>
    <n v="6.4649999999999999"/>
  </r>
  <r>
    <x v="4"/>
    <x v="9"/>
    <n v="328020.49"/>
    <x v="0"/>
    <n v="65.19"/>
    <n v="2.77"/>
    <n v="211.17388349999999"/>
    <n v="6.4649999999999999"/>
  </r>
  <r>
    <x v="4"/>
    <x v="10"/>
    <n v="306858.69"/>
    <x v="0"/>
    <n v="65.3"/>
    <n v="2.8079999999999998"/>
    <n v="211.0388528"/>
    <n v="6.4649999999999999"/>
  </r>
  <r>
    <x v="4"/>
    <x v="11"/>
    <n v="288839.73"/>
    <x v="0"/>
    <n v="65.13"/>
    <n v="2.7949999999999999"/>
    <n v="210.98912039999999"/>
    <n v="6.4649999999999999"/>
  </r>
  <r>
    <x v="4"/>
    <x v="12"/>
    <n v="298697.84000000003"/>
    <x v="0"/>
    <n v="67.53"/>
    <n v="2.78"/>
    <n v="210.93938800000001"/>
    <n v="6.4649999999999999"/>
  </r>
  <r>
    <x v="4"/>
    <x v="13"/>
    <n v="333522.59999999998"/>
    <x v="0"/>
    <n v="71.53"/>
    <n v="2.835"/>
    <n v="210.8896556"/>
    <n v="6.4649999999999999"/>
  </r>
  <r>
    <x v="4"/>
    <x v="14"/>
    <n v="296673.77"/>
    <x v="0"/>
    <n v="74.790000000000006"/>
    <n v="2.8540000000000001"/>
    <n v="210.8872772"/>
    <n v="6.4649999999999999"/>
  </r>
  <r>
    <x v="4"/>
    <x v="15"/>
    <n v="301615.49"/>
    <x v="0"/>
    <n v="75.2"/>
    <n v="2.8260000000000001"/>
    <n v="211.16902300000001"/>
    <n v="6.4649999999999999"/>
  </r>
  <r>
    <x v="4"/>
    <x v="16"/>
    <n v="310013.11"/>
    <x v="0"/>
    <n v="79.81"/>
    <n v="2.7589999999999999"/>
    <n v="211.45076879999999"/>
    <n v="6.4649999999999999"/>
  </r>
  <r>
    <x v="4"/>
    <x v="17"/>
    <n v="337825.89"/>
    <x v="0"/>
    <n v="79.540000000000006"/>
    <n v="2.7050000000000001"/>
    <n v="211.7325146"/>
    <n v="6.4649999999999999"/>
  </r>
  <r>
    <x v="4"/>
    <x v="18"/>
    <n v="296641.90999999997"/>
    <x v="0"/>
    <n v="80.7"/>
    <n v="2.6680000000000001"/>
    <n v="212.01426050000001"/>
    <n v="6.4649999999999999"/>
  </r>
  <r>
    <x v="4"/>
    <x v="19"/>
    <n v="313795.59999999998"/>
    <x v="0"/>
    <n v="83.91"/>
    <n v="2.637"/>
    <n v="212.01197690000001"/>
    <n v="6.4649999999999999"/>
  </r>
  <r>
    <x v="4"/>
    <x v="20"/>
    <n v="295257.3"/>
    <x v="0"/>
    <n v="83.72"/>
    <n v="2.653"/>
    <n v="211.89608150000001"/>
    <n v="6.4649999999999999"/>
  </r>
  <r>
    <x v="4"/>
    <x v="21"/>
    <n v="305993.27"/>
    <x v="0"/>
    <n v="81.25"/>
    <n v="2.669"/>
    <n v="211.78018610000001"/>
    <n v="6.4960000000000004"/>
  </r>
  <r>
    <x v="4"/>
    <x v="22"/>
    <n v="291808.87"/>
    <x v="0"/>
    <n v="81.14"/>
    <n v="2.6419999999999999"/>
    <n v="211.66429070000001"/>
    <n v="6.4960000000000004"/>
  </r>
  <r>
    <x v="4"/>
    <x v="23"/>
    <n v="280701.7"/>
    <x v="0"/>
    <n v="83.98"/>
    <n v="2.6230000000000002"/>
    <n v="211.65611229999999"/>
    <n v="6.4960000000000004"/>
  </r>
  <r>
    <x v="4"/>
    <x v="24"/>
    <n v="274742.63"/>
    <x v="0"/>
    <n v="83.66"/>
    <n v="2.6080000000000001"/>
    <n v="211.79155650000001"/>
    <n v="6.4960000000000004"/>
  </r>
  <r>
    <x v="4"/>
    <x v="25"/>
    <n v="268929.03000000003"/>
    <x v="0"/>
    <n v="82.46"/>
    <n v="2.64"/>
    <n v="211.92700060000001"/>
    <n v="6.4960000000000004"/>
  </r>
  <r>
    <x v="4"/>
    <x v="26"/>
    <n v="303043.02"/>
    <x v="0"/>
    <n v="86.1"/>
    <n v="2.6269999999999998"/>
    <n v="212.06244469999999"/>
    <n v="6.4960000000000004"/>
  </r>
  <r>
    <x v="4"/>
    <x v="27"/>
    <n v="286477.34999999998"/>
    <x v="0"/>
    <n v="87.41"/>
    <n v="2.6920000000000002"/>
    <n v="212.19788890000001"/>
    <n v="6.4960000000000004"/>
  </r>
  <r>
    <x v="4"/>
    <x v="28"/>
    <n v="287205.38"/>
    <x v="0"/>
    <n v="87.71"/>
    <n v="2.6640000000000001"/>
    <n v="212.16089840000001"/>
    <n v="6.4960000000000004"/>
  </r>
  <r>
    <x v="4"/>
    <x v="29"/>
    <n v="288519.75"/>
    <x v="0"/>
    <n v="87.05"/>
    <n v="2.6190000000000002"/>
    <n v="212.123908"/>
    <n v="6.4960000000000004"/>
  </r>
  <r>
    <x v="4"/>
    <x v="30"/>
    <n v="323798"/>
    <x v="0"/>
    <n v="84.06"/>
    <n v="2.577"/>
    <n v="212.08691759999999"/>
    <n v="6.4960000000000004"/>
  </r>
  <r>
    <x v="4"/>
    <x v="31"/>
    <n v="306533.08"/>
    <x v="1"/>
    <n v="79.86"/>
    <n v="2.5649999999999999"/>
    <n v="212.04992709999999"/>
    <n v="6.4960000000000004"/>
  </r>
  <r>
    <x v="4"/>
    <x v="32"/>
    <n v="282558.65000000002"/>
    <x v="0"/>
    <n v="82.28"/>
    <n v="2.5819999999999999"/>
    <n v="212.07693459999999"/>
    <n v="6.4960000000000004"/>
  </r>
  <r>
    <x v="4"/>
    <x v="33"/>
    <n v="293131.58"/>
    <x v="0"/>
    <n v="78.53"/>
    <n v="2.6240000000000001"/>
    <n v="212.1519404"/>
    <n v="6.4960000000000004"/>
  </r>
  <r>
    <x v="4"/>
    <x v="34"/>
    <n v="283178.12"/>
    <x v="0"/>
    <n v="71.099999999999994"/>
    <n v="2.6030000000000002"/>
    <n v="212.22694630000001"/>
    <n v="6.7679999999999998"/>
  </r>
  <r>
    <x v="4"/>
    <x v="35"/>
    <n v="290494.84999999998"/>
    <x v="0"/>
    <n v="64.989999999999995"/>
    <n v="2.633"/>
    <n v="212.30195219999999"/>
    <n v="6.7679999999999998"/>
  </r>
  <r>
    <x v="4"/>
    <x v="36"/>
    <n v="280681.2"/>
    <x v="0"/>
    <n v="68.11"/>
    <n v="2.72"/>
    <n v="212.3691867"/>
    <n v="6.7679999999999998"/>
  </r>
  <r>
    <x v="4"/>
    <x v="37"/>
    <n v="284988.27"/>
    <x v="0"/>
    <n v="70.959999999999994"/>
    <n v="2.7250000000000001"/>
    <n v="212.4169928"/>
    <n v="6.7679999999999998"/>
  </r>
  <r>
    <x v="4"/>
    <x v="38"/>
    <n v="278031.81"/>
    <x v="0"/>
    <n v="70.58"/>
    <n v="2.7160000000000002"/>
    <n v="212.464799"/>
    <n v="6.7679999999999998"/>
  </r>
  <r>
    <x v="4"/>
    <x v="39"/>
    <n v="325310.3"/>
    <x v="0"/>
    <n v="58.88"/>
    <n v="2.6890000000000001"/>
    <n v="212.5126051"/>
    <n v="6.7679999999999998"/>
  </r>
  <r>
    <x v="4"/>
    <x v="40"/>
    <n v="301827.36"/>
    <x v="0"/>
    <n v="62.37"/>
    <n v="2.7280000000000002"/>
    <n v="212.5604113"/>
    <n v="6.7679999999999998"/>
  </r>
  <r>
    <x v="4"/>
    <x v="41"/>
    <n v="297384.81"/>
    <x v="0"/>
    <n v="52.52"/>
    <n v="2.7709999999999999"/>
    <n v="212.44548700000001"/>
    <n v="6.7679999999999998"/>
  </r>
  <r>
    <x v="4"/>
    <x v="42"/>
    <n v="488362.61"/>
    <x v="1"/>
    <n v="66.150000000000006"/>
    <n v="2.7349999999999999"/>
    <n v="212.30344099999999"/>
    <n v="6.7679999999999998"/>
  </r>
  <r>
    <x v="4"/>
    <x v="43"/>
    <n v="344490.88"/>
    <x v="0"/>
    <n v="51.31"/>
    <n v="2.7080000000000002"/>
    <n v="212.16139509999999"/>
    <n v="6.7679999999999998"/>
  </r>
  <r>
    <x v="4"/>
    <x v="44"/>
    <n v="352811.53"/>
    <x v="0"/>
    <n v="48.27"/>
    <n v="2.843"/>
    <n v="212.0193491"/>
    <n v="6.7679999999999998"/>
  </r>
  <r>
    <x v="4"/>
    <x v="45"/>
    <n v="367801.19"/>
    <x v="0"/>
    <n v="51.61"/>
    <n v="2.8690000000000002"/>
    <n v="211.95808149999999"/>
    <n v="6.7679999999999998"/>
  </r>
  <r>
    <x v="4"/>
    <x v="46"/>
    <n v="466010.25"/>
    <x v="0"/>
    <n v="55.01"/>
    <n v="2.8860000000000001"/>
    <n v="211.9573978"/>
    <n v="6.7679999999999998"/>
  </r>
  <r>
    <x v="4"/>
    <x v="47"/>
    <n v="298180.18"/>
    <x v="1"/>
    <n v="49.79"/>
    <n v="2.9430000000000001"/>
    <n v="211.95671419999999"/>
    <n v="6.7679999999999998"/>
  </r>
  <r>
    <x v="4"/>
    <x v="48"/>
    <n v="286347.26"/>
    <x v="0"/>
    <n v="48.3"/>
    <n v="2.976"/>
    <n v="211.9560305"/>
    <n v="6.6340000000000003"/>
  </r>
  <r>
    <x v="4"/>
    <x v="49"/>
    <n v="260636.71"/>
    <x v="0"/>
    <n v="37.74"/>
    <n v="2.9830000000000001"/>
    <n v="212.00851399999999"/>
    <n v="6.6340000000000003"/>
  </r>
  <r>
    <x v="4"/>
    <x v="50"/>
    <n v="275313.34000000003"/>
    <x v="0"/>
    <n v="45.41"/>
    <n v="3.016"/>
    <n v="212.38000120000001"/>
    <n v="6.6340000000000003"/>
  </r>
  <r>
    <x v="4"/>
    <x v="51"/>
    <n v="279088.39"/>
    <x v="0"/>
    <n v="44.5"/>
    <n v="3.01"/>
    <n v="212.7514884"/>
    <n v="6.6340000000000003"/>
  </r>
  <r>
    <x v="4"/>
    <x v="52"/>
    <n v="329613.2"/>
    <x v="0"/>
    <n v="41.67"/>
    <n v="2.9889999999999999"/>
    <n v="213.1229755"/>
    <n v="6.6340000000000003"/>
  </r>
  <r>
    <x v="4"/>
    <x v="53"/>
    <n v="311590.53999999998"/>
    <x v="1"/>
    <n v="38.25"/>
    <n v="3.0219999999999998"/>
    <n v="213.49446270000001"/>
    <n v="6.6340000000000003"/>
  </r>
  <r>
    <x v="4"/>
    <x v="54"/>
    <n v="356622.61"/>
    <x v="0"/>
    <n v="58.83"/>
    <n v="3.0449999999999999"/>
    <n v="213.8068304"/>
    <n v="6.6340000000000003"/>
  </r>
  <r>
    <x v="4"/>
    <x v="55"/>
    <n v="294659.5"/>
    <x v="0"/>
    <n v="63.35"/>
    <n v="3.0649999999999999"/>
    <n v="214.09555030000001"/>
    <n v="6.6340000000000003"/>
  </r>
  <r>
    <x v="4"/>
    <x v="56"/>
    <n v="329033.65999999997"/>
    <x v="0"/>
    <n v="60.35"/>
    <n v="3.2879999999999998"/>
    <n v="214.3842702"/>
    <n v="6.6340000000000003"/>
  </r>
  <r>
    <x v="4"/>
    <x v="57"/>
    <n v="293098.09999999998"/>
    <x v="0"/>
    <n v="55.74"/>
    <n v="3.4590000000000001"/>
    <n v="214.67299009999999"/>
    <n v="6.6340000000000003"/>
  </r>
  <r>
    <x v="4"/>
    <x v="58"/>
    <n v="312177.67"/>
    <x v="0"/>
    <n v="64.31"/>
    <n v="3.488"/>
    <n v="214.92573390000001"/>
    <n v="6.6340000000000003"/>
  </r>
  <r>
    <x v="4"/>
    <x v="59"/>
    <n v="294732.5"/>
    <x v="0"/>
    <n v="70.709999999999994"/>
    <n v="3.4729999999999999"/>
    <n v="215.16408720000001"/>
    <n v="6.6340000000000003"/>
  </r>
  <r>
    <x v="4"/>
    <x v="60"/>
    <n v="314316.55"/>
    <x v="0"/>
    <n v="61.5"/>
    <n v="3.524"/>
    <n v="215.40244060000001"/>
    <n v="6.4889999999999999"/>
  </r>
  <r>
    <x v="4"/>
    <x v="61"/>
    <n v="307333.62"/>
    <x v="0"/>
    <n v="69.64"/>
    <n v="3.6219999999999999"/>
    <n v="215.64079390000001"/>
    <n v="6.4889999999999999"/>
  </r>
  <r>
    <x v="4"/>
    <x v="62"/>
    <n v="307913.58"/>
    <x v="0"/>
    <n v="72.02"/>
    <n v="3.7429999999999999"/>
    <n v="215.8592673"/>
    <n v="6.4889999999999999"/>
  </r>
  <r>
    <x v="4"/>
    <x v="63"/>
    <n v="328415.44"/>
    <x v="0"/>
    <n v="74.34"/>
    <n v="3.8069999999999999"/>
    <n v="216.02804069999999"/>
    <n v="6.4889999999999999"/>
  </r>
  <r>
    <x v="4"/>
    <x v="64"/>
    <n v="307291.56"/>
    <x v="0"/>
    <n v="74.75"/>
    <n v="3.81"/>
    <n v="216.19681420000001"/>
    <n v="6.4889999999999999"/>
  </r>
  <r>
    <x v="4"/>
    <x v="65"/>
    <n v="322904.68"/>
    <x v="0"/>
    <n v="66.27"/>
    <n v="3.9060000000000001"/>
    <n v="216.36558769999999"/>
    <n v="6.4889999999999999"/>
  </r>
  <r>
    <x v="4"/>
    <x v="66"/>
    <n v="290930.01"/>
    <x v="0"/>
    <n v="77.38"/>
    <n v="3.899"/>
    <n v="216.53436110000001"/>
    <n v="6.4889999999999999"/>
  </r>
  <r>
    <x v="4"/>
    <x v="67"/>
    <n v="299614.33"/>
    <x v="0"/>
    <n v="71.37"/>
    <n v="3.907"/>
    <n v="216.3023847"/>
    <n v="6.4889999999999999"/>
  </r>
  <r>
    <x v="4"/>
    <x v="68"/>
    <n v="297149.69"/>
    <x v="0"/>
    <n v="80.14"/>
    <n v="3.786"/>
    <n v="216.0704083"/>
    <n v="6.4889999999999999"/>
  </r>
  <r>
    <x v="4"/>
    <x v="69"/>
    <n v="329183.92"/>
    <x v="0"/>
    <n v="83.81"/>
    <n v="3.6989999999999998"/>
    <n v="215.83843189999999"/>
    <n v="6.4889999999999999"/>
  </r>
  <r>
    <x v="4"/>
    <x v="70"/>
    <n v="304984.14"/>
    <x v="0"/>
    <n v="83.61"/>
    <n v="3.6480000000000001"/>
    <n v="215.60645550000001"/>
    <n v="6.4889999999999999"/>
  </r>
  <r>
    <x v="4"/>
    <x v="71"/>
    <n v="304811.82"/>
    <x v="0"/>
    <n v="86.84"/>
    <n v="3.637"/>
    <n v="215.560463"/>
    <n v="6.4889999999999999"/>
  </r>
  <r>
    <x v="4"/>
    <x v="72"/>
    <n v="302881.64"/>
    <x v="0"/>
    <n v="84.76"/>
    <n v="3.5939999999999999"/>
    <n v="215.6539583"/>
    <n v="6.4889999999999999"/>
  </r>
  <r>
    <x v="4"/>
    <x v="73"/>
    <n v="327093.89"/>
    <x v="0"/>
    <n v="85.81"/>
    <n v="3.524"/>
    <n v="215.74745369999999"/>
    <n v="6.5289999999999999"/>
  </r>
  <r>
    <x v="4"/>
    <x v="74"/>
    <n v="310804.93"/>
    <x v="0"/>
    <n v="86.64"/>
    <n v="3.48"/>
    <n v="215.84094909999999"/>
    <n v="6.5289999999999999"/>
  </r>
  <r>
    <x v="4"/>
    <x v="75"/>
    <n v="283248.62"/>
    <x v="0"/>
    <n v="88.64"/>
    <n v="3.5750000000000002"/>
    <n v="215.9250696"/>
    <n v="6.5289999999999999"/>
  </r>
  <r>
    <x v="4"/>
    <x v="76"/>
    <n v="292539.73"/>
    <x v="0"/>
    <n v="86.97"/>
    <n v="3.6509999999999998"/>
    <n v="215.98575299999999"/>
    <n v="6.5289999999999999"/>
  </r>
  <r>
    <x v="4"/>
    <x v="77"/>
    <n v="275142.17"/>
    <x v="0"/>
    <n v="89.42"/>
    <n v="3.6819999999999999"/>
    <n v="216.0464364"/>
    <n v="6.5289999999999999"/>
  </r>
  <r>
    <x v="4"/>
    <x v="78"/>
    <n v="317738.56"/>
    <x v="0"/>
    <n v="91.07"/>
    <n v="3.6840000000000002"/>
    <n v="216.10711979999999"/>
    <n v="6.5289999999999999"/>
  </r>
  <r>
    <x v="4"/>
    <x v="79"/>
    <n v="289886.15999999997"/>
    <x v="0"/>
    <n v="90.16"/>
    <n v="3.6379999999999999"/>
    <n v="216.16780320000001"/>
    <n v="6.5289999999999999"/>
  </r>
  <r>
    <x v="4"/>
    <x v="80"/>
    <n v="303643.84000000003"/>
    <x v="0"/>
    <n v="89.35"/>
    <n v="3.5539999999999998"/>
    <n v="216.23118550000001"/>
    <n v="6.5289999999999999"/>
  </r>
  <r>
    <x v="4"/>
    <x v="81"/>
    <n v="310338.17"/>
    <x v="0"/>
    <n v="89.18"/>
    <n v="3.5230000000000001"/>
    <n v="216.29501759999999"/>
    <n v="6.5289999999999999"/>
  </r>
  <r>
    <x v="4"/>
    <x v="82"/>
    <n v="315645.53000000003"/>
    <x v="0"/>
    <n v="90.38"/>
    <n v="3.5329999999999999"/>
    <n v="216.3588498"/>
    <n v="6.5289999999999999"/>
  </r>
  <r>
    <x v="4"/>
    <x v="83"/>
    <n v="321110.21999999997"/>
    <x v="1"/>
    <n v="79.040000000000006"/>
    <n v="3.5459999999999998"/>
    <n v="216.42268189999999"/>
    <n v="6.5289999999999999"/>
  </r>
  <r>
    <x v="4"/>
    <x v="84"/>
    <n v="278529.71000000002"/>
    <x v="0"/>
    <n v="83.55"/>
    <n v="3.5259999999999998"/>
    <n v="216.60330830000001"/>
    <n v="6.5289999999999999"/>
  </r>
  <r>
    <x v="4"/>
    <x v="85"/>
    <n v="291024.98"/>
    <x v="0"/>
    <n v="78.010000000000005"/>
    <n v="3.4670000000000001"/>
    <n v="216.9396605"/>
    <n v="6.5289999999999999"/>
  </r>
  <r>
    <x v="4"/>
    <x v="86"/>
    <n v="292315.38"/>
    <x v="0"/>
    <n v="81.16"/>
    <n v="3.355"/>
    <n v="217.2760127"/>
    <n v="6.5289999999999999"/>
  </r>
  <r>
    <x v="4"/>
    <x v="87"/>
    <n v="309111.46999999997"/>
    <x v="0"/>
    <n v="71.64"/>
    <n v="3.2850000000000001"/>
    <n v="217.61236479999999"/>
    <n v="6.3"/>
  </r>
  <r>
    <x v="4"/>
    <x v="88"/>
    <n v="286117.71999999997"/>
    <x v="0"/>
    <n v="72.36"/>
    <n v="3.274"/>
    <n v="217.92374580000001"/>
    <n v="6.3"/>
  </r>
  <r>
    <x v="4"/>
    <x v="89"/>
    <n v="306069.18"/>
    <x v="0"/>
    <n v="66.900000000000006"/>
    <n v="3.3530000000000002"/>
    <n v="218.0852999"/>
    <n v="6.3"/>
  </r>
  <r>
    <x v="4"/>
    <x v="90"/>
    <n v="307035.11"/>
    <x v="0"/>
    <n v="69.27"/>
    <n v="3.3719999999999999"/>
    <n v="218.24685389999999"/>
    <n v="6.3"/>
  </r>
  <r>
    <x v="4"/>
    <x v="91"/>
    <n v="353652.23"/>
    <x v="0"/>
    <n v="56.71"/>
    <n v="3.3319999999999999"/>
    <n v="218.40840800000001"/>
    <n v="6.3"/>
  </r>
  <r>
    <x v="4"/>
    <x v="92"/>
    <n v="311906.7"/>
    <x v="0"/>
    <n v="60.71"/>
    <n v="3.2970000000000002"/>
    <n v="218.5699621"/>
    <n v="6.3"/>
  </r>
  <r>
    <x v="4"/>
    <x v="93"/>
    <n v="307944.37"/>
    <x v="0"/>
    <n v="64.33"/>
    <n v="3.3079999999999998"/>
    <n v="218.79391200000001"/>
    <n v="6.3"/>
  </r>
  <r>
    <x v="4"/>
    <x v="94"/>
    <n v="507900.07"/>
    <x v="1"/>
    <n v="61.93"/>
    <n v="3.2360000000000002"/>
    <n v="219.04282040000001"/>
    <n v="6.3"/>
  </r>
  <r>
    <x v="4"/>
    <x v="95"/>
    <n v="376225.61"/>
    <x v="0"/>
    <n v="51.14"/>
    <n v="3.1720000000000002"/>
    <n v="219.29172869999999"/>
    <n v="6.3"/>
  </r>
  <r>
    <x v="4"/>
    <x v="96"/>
    <n v="367433.77"/>
    <x v="0"/>
    <n v="44.12"/>
    <n v="3.1579999999999999"/>
    <n v="219.540637"/>
    <n v="6.3"/>
  </r>
  <r>
    <x v="4"/>
    <x v="97"/>
    <n v="379530.3"/>
    <x v="0"/>
    <n v="54.42"/>
    <n v="3.1589999999999998"/>
    <n v="219.75962659999999"/>
    <n v="6.3"/>
  </r>
  <r>
    <x v="4"/>
    <x v="98"/>
    <n v="458562.24"/>
    <x v="0"/>
    <n v="50.33"/>
    <n v="3.1120000000000001"/>
    <n v="219.9387246"/>
    <n v="6.3"/>
  </r>
  <r>
    <x v="4"/>
    <x v="99"/>
    <n v="349624.88"/>
    <x v="1"/>
    <n v="45.62"/>
    <n v="3.129"/>
    <n v="220.11782260000001"/>
    <n v="6.3"/>
  </r>
  <r>
    <x v="4"/>
    <x v="100"/>
    <n v="312078.71000000002"/>
    <x v="0"/>
    <n v="50.21"/>
    <n v="3.157"/>
    <n v="220.2969205"/>
    <n v="5.9429999999999996"/>
  </r>
  <r>
    <x v="4"/>
    <x v="101"/>
    <n v="291454.52"/>
    <x v="0"/>
    <n v="48.86"/>
    <n v="3.2610000000000001"/>
    <n v="220.47601850000001"/>
    <n v="5.9429999999999996"/>
  </r>
  <r>
    <x v="4"/>
    <x v="102"/>
    <n v="287523.98"/>
    <x v="0"/>
    <n v="54.65"/>
    <n v="3.2679999999999998"/>
    <n v="220.56941040000001"/>
    <n v="5.9429999999999996"/>
  </r>
  <r>
    <x v="4"/>
    <x v="103"/>
    <n v="295974.21999999997"/>
    <x v="0"/>
    <n v="54.63"/>
    <n v="3.29"/>
    <n v="220.66280230000001"/>
    <n v="5.9429999999999996"/>
  </r>
  <r>
    <x v="4"/>
    <x v="104"/>
    <n v="333948"/>
    <x v="0"/>
    <n v="57.35"/>
    <n v="3.36"/>
    <n v="220.75619409999999"/>
    <n v="5.9429999999999996"/>
  </r>
  <r>
    <x v="4"/>
    <x v="105"/>
    <n v="349239.88"/>
    <x v="1"/>
    <n v="48.57"/>
    <n v="3.4089999999999998"/>
    <n v="220.84958599999999"/>
    <n v="5.9429999999999996"/>
  </r>
  <r>
    <x v="4"/>
    <x v="106"/>
    <n v="356427.98"/>
    <x v="0"/>
    <n v="48.25"/>
    <n v="3.51"/>
    <n v="221.0106341"/>
    <n v="5.9429999999999996"/>
  </r>
  <r>
    <x v="4"/>
    <x v="107"/>
    <n v="312220.46999999997"/>
    <x v="0"/>
    <n v="57.75"/>
    <n v="3.5550000000000002"/>
    <n v="221.2224243"/>
    <n v="5.9429999999999996"/>
  </r>
  <r>
    <x v="4"/>
    <x v="108"/>
    <n v="359206.21"/>
    <x v="0"/>
    <n v="60.66"/>
    <n v="3.63"/>
    <n v="221.43421459999999"/>
    <n v="5.9429999999999996"/>
  </r>
  <r>
    <x v="4"/>
    <x v="109"/>
    <n v="347295.6"/>
    <x v="0"/>
    <n v="57.69"/>
    <n v="3.669"/>
    <n v="221.64600479999999"/>
    <n v="5.9429999999999996"/>
  </r>
  <r>
    <x v="4"/>
    <x v="110"/>
    <n v="339392.54"/>
    <x v="0"/>
    <n v="63.55"/>
    <n v="3.734"/>
    <n v="221.79897130000001"/>
    <n v="5.9429999999999996"/>
  </r>
  <r>
    <x v="4"/>
    <x v="111"/>
    <n v="321299.99"/>
    <x v="0"/>
    <n v="64.44"/>
    <n v="3.7869999999999999"/>
    <n v="221.8735063"/>
    <n v="5.9429999999999996"/>
  </r>
  <r>
    <x v="4"/>
    <x v="112"/>
    <n v="331318.73"/>
    <x v="0"/>
    <n v="67.760000000000005"/>
    <n v="3.8450000000000002"/>
    <n v="221.94804120000001"/>
    <n v="5.9429999999999996"/>
  </r>
  <r>
    <x v="4"/>
    <x v="113"/>
    <n v="402985.7"/>
    <x v="0"/>
    <n v="70.400000000000006"/>
    <n v="3.891"/>
    <n v="222.0225762"/>
    <n v="5.8010000000000002"/>
  </r>
  <r>
    <x v="4"/>
    <x v="114"/>
    <n v="351832.03"/>
    <x v="0"/>
    <n v="70.56"/>
    <n v="3.891"/>
    <n v="222.09711110000001"/>
    <n v="5.8010000000000002"/>
  </r>
  <r>
    <x v="4"/>
    <x v="115"/>
    <n v="330063.06"/>
    <x v="0"/>
    <n v="67.33"/>
    <n v="3.8769999999999998"/>
    <n v="222.15123149999999"/>
    <n v="5.8010000000000002"/>
  </r>
  <r>
    <x v="4"/>
    <x v="116"/>
    <n v="324839.74"/>
    <x v="0"/>
    <n v="68.959999999999994"/>
    <n v="3.8140000000000001"/>
    <n v="222.20535190000001"/>
    <n v="5.8010000000000002"/>
  </r>
  <r>
    <x v="4"/>
    <x v="117"/>
    <n v="360932.69"/>
    <x v="0"/>
    <n v="77.099999999999994"/>
    <n v="3.7490000000000001"/>
    <n v="222.2594722"/>
    <n v="5.8010000000000002"/>
  </r>
  <r>
    <x v="4"/>
    <x v="118"/>
    <n v="333870.52"/>
    <x v="0"/>
    <n v="73.45"/>
    <n v="3.6880000000000002"/>
    <n v="222.31359259999999"/>
    <n v="5.8010000000000002"/>
  </r>
  <r>
    <x v="4"/>
    <x v="119"/>
    <n v="336189.66"/>
    <x v="0"/>
    <n v="70.45"/>
    <n v="3.63"/>
    <n v="222.330443"/>
    <n v="5.8010000000000002"/>
  </r>
  <r>
    <x v="4"/>
    <x v="120"/>
    <n v="341994.48"/>
    <x v="0"/>
    <n v="78.23"/>
    <n v="3.5609999999999999"/>
    <n v="222.3323853"/>
    <n v="5.8010000000000002"/>
  </r>
  <r>
    <x v="4"/>
    <x v="121"/>
    <n v="359867.8"/>
    <x v="0"/>
    <n v="79.72"/>
    <n v="3.5009999999999999"/>
    <n v="222.33432769999999"/>
    <n v="5.8010000000000002"/>
  </r>
  <r>
    <x v="4"/>
    <x v="122"/>
    <n v="341704.59"/>
    <x v="0"/>
    <n v="81.02"/>
    <n v="3.452"/>
    <n v="222.33627000000001"/>
    <n v="5.8010000000000002"/>
  </r>
  <r>
    <x v="4"/>
    <x v="123"/>
    <n v="327383.64"/>
    <x v="0"/>
    <n v="81.64"/>
    <n v="3.3929999999999998"/>
    <n v="222.34929009999999"/>
    <n v="5.8010000000000002"/>
  </r>
  <r>
    <x v="4"/>
    <x v="124"/>
    <n v="325041.68"/>
    <x v="0"/>
    <n v="80.569999999999993"/>
    <n v="3.3460000000000001"/>
    <n v="222.3900046"/>
    <n v="5.8010000000000002"/>
  </r>
  <r>
    <x v="4"/>
    <x v="125"/>
    <n v="329658.09999999998"/>
    <x v="0"/>
    <n v="87.08"/>
    <n v="3.286"/>
    <n v="222.4307191"/>
    <n v="5.8010000000000002"/>
  </r>
  <r>
    <x v="4"/>
    <x v="126"/>
    <n v="341214.43"/>
    <x v="0"/>
    <n v="82.35"/>
    <n v="3.2269999999999999"/>
    <n v="222.47143360000001"/>
    <n v="5.6029999999999998"/>
  </r>
  <r>
    <x v="4"/>
    <x v="127"/>
    <n v="316203.64"/>
    <x v="0"/>
    <n v="80.78"/>
    <n v="3.2559999999999998"/>
    <n v="222.51214809999999"/>
    <n v="5.6029999999999998"/>
  </r>
  <r>
    <x v="4"/>
    <x v="128"/>
    <n v="321205.12"/>
    <x v="0"/>
    <n v="81.05"/>
    <n v="3.3109999999999999"/>
    <n v="222.52093579999999"/>
    <n v="5.6029999999999998"/>
  </r>
  <r>
    <x v="4"/>
    <x v="129"/>
    <n v="306827.36"/>
    <x v="0"/>
    <n v="85.06"/>
    <n v="3.407"/>
    <n v="222.52972339999999"/>
    <n v="5.6029999999999998"/>
  </r>
  <r>
    <x v="4"/>
    <x v="130"/>
    <n v="324195.17"/>
    <x v="0"/>
    <n v="86.91"/>
    <n v="3.4169999999999998"/>
    <n v="222.53851109999999"/>
    <n v="5.6029999999999998"/>
  </r>
  <r>
    <x v="4"/>
    <x v="131"/>
    <n v="306759.7"/>
    <x v="0"/>
    <n v="86.96"/>
    <n v="3.4940000000000002"/>
    <n v="222.5472987"/>
    <n v="5.6029999999999998"/>
  </r>
  <r>
    <x v="4"/>
    <x v="132"/>
    <n v="314014.18"/>
    <x v="0"/>
    <n v="87.52"/>
    <n v="3.5710000000000002"/>
    <n v="222.62767529999999"/>
    <n v="5.6029999999999998"/>
  </r>
  <r>
    <x v="4"/>
    <x v="133"/>
    <n v="320831.35999999999"/>
    <x v="0"/>
    <n v="79.45"/>
    <n v="3.62"/>
    <n v="222.76174370000001"/>
    <n v="5.6029999999999998"/>
  </r>
  <r>
    <x v="4"/>
    <x v="134"/>
    <n v="344642.01"/>
    <x v="0"/>
    <n v="84.25"/>
    <n v="3.6379999999999999"/>
    <n v="222.8958121"/>
    <n v="5.6029999999999998"/>
  </r>
  <r>
    <x v="4"/>
    <x v="135"/>
    <n v="350648.91"/>
    <x v="1"/>
    <n v="86.3"/>
    <n v="3.73"/>
    <n v="223.02988049999999"/>
    <n v="5.6029999999999998"/>
  </r>
  <r>
    <x v="4"/>
    <x v="136"/>
    <n v="299800.67"/>
    <x v="0"/>
    <n v="76.650000000000006"/>
    <n v="3.7170000000000001"/>
    <n v="223.17341669999999"/>
    <n v="5.6029999999999998"/>
  </r>
  <r>
    <x v="4"/>
    <x v="137"/>
    <n v="307306.76"/>
    <x v="0"/>
    <n v="71.09"/>
    <n v="3.7210000000000001"/>
    <n v="223.37375929999999"/>
    <n v="5.6029999999999998"/>
  </r>
  <r>
    <x v="4"/>
    <x v="138"/>
    <n v="310141.68"/>
    <x v="0"/>
    <n v="78.33"/>
    <n v="3.6659999999999999"/>
    <n v="223.57410189999999"/>
    <n v="5.6029999999999998"/>
  </r>
  <r>
    <x v="4"/>
    <x v="139"/>
    <n v="343048.29"/>
    <x v="0"/>
    <n v="71.17"/>
    <n v="3.617"/>
    <n v="223.77444439999999"/>
    <n v="5.4219999999999997"/>
  </r>
  <r>
    <x v="4"/>
    <x v="140"/>
    <n v="325345.40999999997"/>
    <x v="0"/>
    <n v="66.239999999999995"/>
    <n v="3.601"/>
    <n v="223.97478699999999"/>
    <n v="5.4219999999999997"/>
  </r>
  <r>
    <x v="4"/>
    <x v="141"/>
    <n v="313358.15000000002"/>
    <x v="0"/>
    <n v="69.17"/>
    <n v="3.5939999999999999"/>
    <n v="224.0192873"/>
    <n v="5.4219999999999997"/>
  </r>
  <r>
    <x v="4"/>
    <x v="142"/>
    <n v="319550.77"/>
    <x v="0"/>
    <n v="71.7"/>
    <n v="3.5059999999999998"/>
    <n v="224.0378139"/>
    <n v="5.4219999999999997"/>
  </r>
  <r>
    <x v="5"/>
    <x v="0"/>
    <n v="1652635.1"/>
    <x v="0"/>
    <n v="40.43"/>
    <n v="2.5720000000000001"/>
    <n v="212.62235179999999"/>
    <n v="7.2590000000000003"/>
  </r>
  <r>
    <x v="5"/>
    <x v="1"/>
    <n v="1606283.86"/>
    <x v="1"/>
    <n v="40.57"/>
    <n v="2.548"/>
    <n v="212.77004249999999"/>
    <n v="7.2590000000000003"/>
  </r>
  <r>
    <x v="5"/>
    <x v="2"/>
    <n v="1567138.07"/>
    <x v="0"/>
    <n v="43.58"/>
    <n v="2.5139999999999998"/>
    <n v="212.8161546"/>
    <n v="7.2590000000000003"/>
  </r>
  <r>
    <x v="5"/>
    <x v="3"/>
    <n v="1432953.21"/>
    <x v="0"/>
    <n v="47.1"/>
    <n v="2.5609999999999999"/>
    <n v="212.845337"/>
    <n v="7.2590000000000003"/>
  </r>
  <r>
    <x v="5"/>
    <x v="4"/>
    <n v="1601348.82"/>
    <x v="0"/>
    <n v="49.63"/>
    <n v="2.625"/>
    <n v="212.8745193"/>
    <n v="7.2590000000000003"/>
  </r>
  <r>
    <x v="5"/>
    <x v="5"/>
    <n v="1558621.36"/>
    <x v="0"/>
    <n v="58.82"/>
    <n v="2.6669999999999998"/>
    <n v="212.9037017"/>
    <n v="7.2590000000000003"/>
  </r>
  <r>
    <x v="5"/>
    <x v="6"/>
    <n v="1693058.91"/>
    <x v="0"/>
    <n v="56.55"/>
    <n v="2.72"/>
    <n v="212.73519350000001"/>
    <n v="7.2590000000000003"/>
  </r>
  <r>
    <x v="5"/>
    <x v="7"/>
    <n v="1472033.38"/>
    <x v="0"/>
    <n v="53.74"/>
    <n v="2.7320000000000002"/>
    <n v="212.533737"/>
    <n v="7.2590000000000003"/>
  </r>
  <r>
    <x v="5"/>
    <x v="8"/>
    <n v="1770333.9"/>
    <x v="0"/>
    <n v="64.94"/>
    <n v="2.7189999999999999"/>
    <n v="212.3322805"/>
    <n v="7.0919999999999996"/>
  </r>
  <r>
    <x v="5"/>
    <x v="9"/>
    <n v="1667181.82"/>
    <x v="0"/>
    <n v="66.150000000000006"/>
    <n v="2.77"/>
    <n v="212.1308239"/>
    <n v="7.0919999999999996"/>
  </r>
  <r>
    <x v="5"/>
    <x v="10"/>
    <n v="1519846.36"/>
    <x v="0"/>
    <n v="65.680000000000007"/>
    <n v="2.8079999999999998"/>
    <n v="211.99427650000001"/>
    <n v="7.0919999999999996"/>
  </r>
  <r>
    <x v="5"/>
    <x v="11"/>
    <n v="1540435.99"/>
    <x v="0"/>
    <n v="64.11"/>
    <n v="2.7949999999999999"/>
    <n v="211.94427450000001"/>
    <n v="7.0919999999999996"/>
  </r>
  <r>
    <x v="5"/>
    <x v="12"/>
    <n v="1498080.16"/>
    <x v="0"/>
    <n v="68.91"/>
    <n v="2.78"/>
    <n v="211.8942725"/>
    <n v="7.0919999999999996"/>
  </r>
  <r>
    <x v="5"/>
    <x v="13"/>
    <n v="1619920.04"/>
    <x v="0"/>
    <n v="73.680000000000007"/>
    <n v="2.835"/>
    <n v="211.84427059999999"/>
    <n v="7.0919999999999996"/>
  </r>
  <r>
    <x v="5"/>
    <x v="14"/>
    <n v="1524059.4"/>
    <x v="0"/>
    <n v="74.95"/>
    <n v="2.8540000000000001"/>
    <n v="211.8421769"/>
    <n v="7.0919999999999996"/>
  </r>
  <r>
    <x v="5"/>
    <x v="15"/>
    <n v="1531938.44"/>
    <x v="0"/>
    <n v="74.8"/>
    <n v="2.8260000000000001"/>
    <n v="212.12753240000001"/>
    <n v="7.0919999999999996"/>
  </r>
  <r>
    <x v="5"/>
    <x v="16"/>
    <n v="1644470.66"/>
    <x v="0"/>
    <n v="78.89"/>
    <n v="2.7589999999999999"/>
    <n v="212.41288800000001"/>
    <n v="7.0919999999999996"/>
  </r>
  <r>
    <x v="5"/>
    <x v="17"/>
    <n v="1857380.09"/>
    <x v="0"/>
    <n v="79.44"/>
    <n v="2.7050000000000001"/>
    <n v="212.69824360000001"/>
    <n v="7.0919999999999996"/>
  </r>
  <r>
    <x v="5"/>
    <x v="18"/>
    <n v="1685652.35"/>
    <x v="0"/>
    <n v="81.81"/>
    <n v="2.6680000000000001"/>
    <n v="212.98359919999999"/>
    <n v="7.0919999999999996"/>
  </r>
  <r>
    <x v="5"/>
    <x v="19"/>
    <n v="1677248.24"/>
    <x v="0"/>
    <n v="83.89"/>
    <n v="2.637"/>
    <n v="212.9813843"/>
    <n v="7.0919999999999996"/>
  </r>
  <r>
    <x v="5"/>
    <x v="20"/>
    <n v="1640681.88"/>
    <x v="0"/>
    <n v="84.2"/>
    <n v="2.653"/>
    <n v="212.86414120000001"/>
    <n v="7.0919999999999996"/>
  </r>
  <r>
    <x v="5"/>
    <x v="21"/>
    <n v="1759777.25"/>
    <x v="0"/>
    <n v="80.34"/>
    <n v="2.669"/>
    <n v="212.74689799999999"/>
    <n v="6.9729999999999999"/>
  </r>
  <r>
    <x v="5"/>
    <x v="22"/>
    <n v="1690317.99"/>
    <x v="0"/>
    <n v="80.930000000000007"/>
    <n v="2.6419999999999999"/>
    <n v="212.62965489999999"/>
    <n v="6.9729999999999999"/>
  </r>
  <r>
    <x v="5"/>
    <x v="23"/>
    <n v="1560120.8"/>
    <x v="0"/>
    <n v="83.75"/>
    <n v="2.6230000000000002"/>
    <n v="212.62121629999999"/>
    <n v="6.9729999999999999"/>
  </r>
  <r>
    <x v="5"/>
    <x v="24"/>
    <n v="1585240.92"/>
    <x v="0"/>
    <n v="83.9"/>
    <n v="2.6080000000000001"/>
    <n v="212.75785049999999"/>
    <n v="6.9729999999999999"/>
  </r>
  <r>
    <x v="5"/>
    <x v="25"/>
    <n v="1532308.78"/>
    <x v="0"/>
    <n v="81.37"/>
    <n v="2.64"/>
    <n v="212.8944846"/>
    <n v="6.9729999999999999"/>
  </r>
  <r>
    <x v="5"/>
    <x v="26"/>
    <n v="1633241.59"/>
    <x v="0"/>
    <n v="86.61"/>
    <n v="2.6269999999999998"/>
    <n v="213.0311188"/>
    <n v="6.9729999999999999"/>
  </r>
  <r>
    <x v="5"/>
    <x v="27"/>
    <n v="1547654.98"/>
    <x v="0"/>
    <n v="86.83"/>
    <n v="2.6920000000000002"/>
    <n v="213.16775290000001"/>
    <n v="6.9729999999999999"/>
  </r>
  <r>
    <x v="5"/>
    <x v="28"/>
    <n v="1539930.5"/>
    <x v="0"/>
    <n v="87.36"/>
    <n v="2.6640000000000001"/>
    <n v="213.12914269999999"/>
    <n v="6.9729999999999999"/>
  </r>
  <r>
    <x v="5"/>
    <x v="29"/>
    <n v="1450766.12"/>
    <x v="0"/>
    <n v="85.71"/>
    <n v="2.6190000000000002"/>
    <n v="213.0905324"/>
    <n v="6.9729999999999999"/>
  </r>
  <r>
    <x v="5"/>
    <x v="30"/>
    <n v="1510925.32"/>
    <x v="0"/>
    <n v="82.15"/>
    <n v="2.577"/>
    <n v="213.05192220000001"/>
    <n v="6.9729999999999999"/>
  </r>
  <r>
    <x v="5"/>
    <x v="31"/>
    <n v="1424225.44"/>
    <x v="1"/>
    <n v="78.78"/>
    <n v="2.5649999999999999"/>
    <n v="213.01331200000001"/>
    <n v="6.9729999999999999"/>
  </r>
  <r>
    <x v="5"/>
    <x v="32"/>
    <n v="1308537.75"/>
    <x v="0"/>
    <n v="81.78"/>
    <n v="2.5819999999999999"/>
    <n v="213.0398643"/>
    <n v="6.9729999999999999"/>
  </r>
  <r>
    <x v="5"/>
    <x v="33"/>
    <n v="1275591.8400000001"/>
    <x v="0"/>
    <n v="76.489999999999995"/>
    <n v="2.6240000000000001"/>
    <n v="213.11528860000001"/>
    <n v="6.9729999999999999"/>
  </r>
  <r>
    <x v="5"/>
    <x v="34"/>
    <n v="1328468.8899999999"/>
    <x v="0"/>
    <n v="70.69"/>
    <n v="2.6030000000000002"/>
    <n v="213.19071289999999"/>
    <n v="7.0069999999999997"/>
  </r>
  <r>
    <x v="5"/>
    <x v="35"/>
    <n v="1360317.9"/>
    <x v="0"/>
    <n v="65.209999999999994"/>
    <n v="2.633"/>
    <n v="213.2661373"/>
    <n v="7.0069999999999997"/>
  </r>
  <r>
    <x v="5"/>
    <x v="36"/>
    <n v="1344580.92"/>
    <x v="0"/>
    <n v="68.930000000000007"/>
    <n v="2.72"/>
    <n v="213.33379769999999"/>
    <n v="7.0069999999999997"/>
  </r>
  <r>
    <x v="5"/>
    <x v="37"/>
    <n v="1332716.53"/>
    <x v="0"/>
    <n v="70.97"/>
    <n v="2.7250000000000001"/>
    <n v="213.38204859999999"/>
    <n v="7.0069999999999997"/>
  </r>
  <r>
    <x v="5"/>
    <x v="38"/>
    <n v="1385323.7"/>
    <x v="0"/>
    <n v="70.39"/>
    <n v="2.7160000000000002"/>
    <n v="213.4302994"/>
    <n v="7.0069999999999997"/>
  </r>
  <r>
    <x v="5"/>
    <x v="39"/>
    <n v="1505442.15"/>
    <x v="0"/>
    <n v="59.9"/>
    <n v="2.6890000000000001"/>
    <n v="213.47855029999999"/>
    <n v="7.0069999999999997"/>
  </r>
  <r>
    <x v="5"/>
    <x v="40"/>
    <n v="1495536.46"/>
    <x v="0"/>
    <n v="62.11"/>
    <n v="2.7280000000000002"/>
    <n v="213.5268011"/>
    <n v="7.0069999999999997"/>
  </r>
  <r>
    <x v="5"/>
    <x v="41"/>
    <n v="1518841.45"/>
    <x v="0"/>
    <n v="52.99"/>
    <n v="2.7709999999999999"/>
    <n v="213.41074119999999"/>
    <n v="7.0069999999999997"/>
  </r>
  <r>
    <x v="5"/>
    <x v="42"/>
    <n v="2267452.4"/>
    <x v="1"/>
    <n v="65.790000000000006"/>
    <n v="2.7349999999999999"/>
    <n v="213.26729610000001"/>
    <n v="7.0069999999999997"/>
  </r>
  <r>
    <x v="5"/>
    <x v="43"/>
    <n v="1677067.24"/>
    <x v="0"/>
    <n v="52.3"/>
    <n v="2.7080000000000002"/>
    <n v="213.123851"/>
    <n v="7.0069999999999997"/>
  </r>
  <r>
    <x v="5"/>
    <x v="44"/>
    <n v="1834737.58"/>
    <x v="0"/>
    <n v="48.46"/>
    <n v="2.843"/>
    <n v="212.98040589999999"/>
    <n v="7.0069999999999997"/>
  </r>
  <r>
    <x v="5"/>
    <x v="45"/>
    <n v="2090268.95"/>
    <x v="0"/>
    <n v="52.24"/>
    <n v="2.8690000000000002"/>
    <n v="212.918049"/>
    <n v="7.0069999999999997"/>
  </r>
  <r>
    <x v="5"/>
    <x v="46"/>
    <n v="2727575.18"/>
    <x v="0"/>
    <n v="55.07"/>
    <n v="2.8860000000000001"/>
    <n v="212.91650820000001"/>
    <n v="7.0069999999999997"/>
  </r>
  <r>
    <x v="5"/>
    <x v="47"/>
    <n v="1464050.02"/>
    <x v="1"/>
    <n v="49.14"/>
    <n v="2.9430000000000001"/>
    <n v="212.91496739999999"/>
    <n v="7.0069999999999997"/>
  </r>
  <r>
    <x v="5"/>
    <x v="48"/>
    <n v="1350441.68"/>
    <x v="0"/>
    <n v="47.78"/>
    <n v="2.976"/>
    <n v="212.91342660000001"/>
    <n v="6.8579999999999997"/>
  </r>
  <r>
    <x v="5"/>
    <x v="49"/>
    <n v="1306194.55"/>
    <x v="0"/>
    <n v="38.369999999999997"/>
    <n v="2.9830000000000001"/>
    <n v="212.96558820000001"/>
    <n v="6.8579999999999997"/>
  </r>
  <r>
    <x v="5"/>
    <x v="50"/>
    <n v="1261253.18"/>
    <x v="0"/>
    <n v="46.2"/>
    <n v="3.016"/>
    <n v="213.3399647"/>
    <n v="6.8579999999999997"/>
  </r>
  <r>
    <x v="5"/>
    <x v="51"/>
    <n v="1287034.7"/>
    <x v="0"/>
    <n v="44.98"/>
    <n v="3.01"/>
    <n v="213.71434120000001"/>
    <n v="6.8579999999999997"/>
  </r>
  <r>
    <x v="5"/>
    <x v="52"/>
    <n v="1514999.17"/>
    <x v="0"/>
    <n v="40.590000000000003"/>
    <n v="2.9889999999999999"/>
    <n v="214.0887176"/>
    <n v="6.8579999999999997"/>
  </r>
  <r>
    <x v="5"/>
    <x v="53"/>
    <n v="1486920.17"/>
    <x v="1"/>
    <n v="39.380000000000003"/>
    <n v="3.0219999999999998"/>
    <n v="214.46309410000001"/>
    <n v="6.8579999999999997"/>
  </r>
  <r>
    <x v="5"/>
    <x v="54"/>
    <n v="1572117.54"/>
    <x v="0"/>
    <n v="59.61"/>
    <n v="3.0449999999999999"/>
    <n v="214.7775231"/>
    <n v="6.8579999999999997"/>
  </r>
  <r>
    <x v="5"/>
    <x v="55"/>
    <n v="1422600.43"/>
    <x v="0"/>
    <n v="62.86"/>
    <n v="3.0649999999999999"/>
    <n v="215.06797309999999"/>
    <n v="6.8579999999999997"/>
  </r>
  <r>
    <x v="5"/>
    <x v="56"/>
    <n v="1502617.99"/>
    <x v="0"/>
    <n v="60.45"/>
    <n v="3.2879999999999998"/>
    <n v="215.35842310000001"/>
    <n v="6.8579999999999997"/>
  </r>
  <r>
    <x v="5"/>
    <x v="57"/>
    <n v="1494497.39"/>
    <x v="0"/>
    <n v="57.71"/>
    <n v="3.4590000000000001"/>
    <n v="215.6488731"/>
    <n v="6.8579999999999997"/>
  </r>
  <r>
    <x v="5"/>
    <x v="58"/>
    <n v="1685375.47"/>
    <x v="0"/>
    <n v="65.069999999999993"/>
    <n v="3.488"/>
    <n v="215.9035078"/>
    <n v="6.8579999999999997"/>
  </r>
  <r>
    <x v="5"/>
    <x v="59"/>
    <n v="1438465.81"/>
    <x v="0"/>
    <n v="70.83"/>
    <n v="3.4729999999999999"/>
    <n v="216.1438163"/>
    <n v="6.8579999999999997"/>
  </r>
  <r>
    <x v="5"/>
    <x v="60"/>
    <n v="1459276.77"/>
    <x v="0"/>
    <n v="62.25"/>
    <n v="3.524"/>
    <n v="216.38412489999999"/>
    <n v="6.8550000000000004"/>
  </r>
  <r>
    <x v="5"/>
    <x v="61"/>
    <n v="1534594"/>
    <x v="0"/>
    <n v="70.349999999999994"/>
    <n v="3.6219999999999999"/>
    <n v="216.62443339999999"/>
    <n v="6.8550000000000004"/>
  </r>
  <r>
    <x v="5"/>
    <x v="62"/>
    <n v="1448797.02"/>
    <x v="0"/>
    <n v="73.17"/>
    <n v="3.7429999999999999"/>
    <n v="216.84466269999999"/>
    <n v="6.8550000000000004"/>
  </r>
  <r>
    <x v="5"/>
    <x v="63"/>
    <n v="1639358.93"/>
    <x v="0"/>
    <n v="74.239999999999995"/>
    <n v="3.8069999999999999"/>
    <n v="217.01469410000001"/>
    <n v="6.8550000000000004"/>
  </r>
  <r>
    <x v="5"/>
    <x v="64"/>
    <n v="1479249.9"/>
    <x v="0"/>
    <n v="75.27"/>
    <n v="3.81"/>
    <n v="217.18472550000001"/>
    <n v="6.8550000000000004"/>
  </r>
  <r>
    <x v="5"/>
    <x v="65"/>
    <n v="1504651.57"/>
    <x v="0"/>
    <n v="65.42"/>
    <n v="3.9060000000000001"/>
    <n v="217.35475690000001"/>
    <n v="6.8550000000000004"/>
  </r>
  <r>
    <x v="5"/>
    <x v="66"/>
    <n v="1453185.65"/>
    <x v="0"/>
    <n v="76.95"/>
    <n v="3.899"/>
    <n v="217.52478819999999"/>
    <n v="6.8550000000000004"/>
  </r>
  <r>
    <x v="5"/>
    <x v="67"/>
    <n v="1382783.83"/>
    <x v="0"/>
    <n v="72.010000000000005"/>
    <n v="3.907"/>
    <n v="217.28960950000001"/>
    <n v="6.8550000000000004"/>
  </r>
  <r>
    <x v="5"/>
    <x v="68"/>
    <n v="1523979.11"/>
    <x v="0"/>
    <n v="80.83"/>
    <n v="3.786"/>
    <n v="217.05443070000001"/>
    <n v="6.8550000000000004"/>
  </r>
  <r>
    <x v="5"/>
    <x v="69"/>
    <n v="1705506.29"/>
    <x v="0"/>
    <n v="84.01"/>
    <n v="3.6989999999999998"/>
    <n v="216.81925200000001"/>
    <n v="6.8550000000000004"/>
  </r>
  <r>
    <x v="5"/>
    <x v="70"/>
    <n v="1598643.65"/>
    <x v="0"/>
    <n v="84.49"/>
    <n v="3.6480000000000001"/>
    <n v="216.58407320000001"/>
    <n v="6.8550000000000004"/>
  </r>
  <r>
    <x v="5"/>
    <x v="71"/>
    <n v="1622150.33"/>
    <x v="0"/>
    <n v="87.08"/>
    <n v="3.637"/>
    <n v="216.53716159999999"/>
    <n v="6.8550000000000004"/>
  </r>
  <r>
    <x v="5"/>
    <x v="72"/>
    <n v="1543365.9"/>
    <x v="0"/>
    <n v="85.51"/>
    <n v="3.5939999999999999"/>
    <n v="216.63145019999999"/>
    <n v="6.8550000000000004"/>
  </r>
  <r>
    <x v="5"/>
    <x v="73"/>
    <n v="1694551.15"/>
    <x v="0"/>
    <n v="87"/>
    <n v="3.524"/>
    <n v="216.72573879999999"/>
    <n v="6.9249999999999998"/>
  </r>
  <r>
    <x v="5"/>
    <x v="74"/>
    <n v="1709373.62"/>
    <x v="0"/>
    <n v="88.36"/>
    <n v="3.48"/>
    <n v="216.82002750000001"/>
    <n v="6.9249999999999998"/>
  </r>
  <r>
    <x v="5"/>
    <x v="75"/>
    <n v="1526801.24"/>
    <x v="0"/>
    <n v="88.93"/>
    <n v="3.5750000000000002"/>
    <n v="216.90447320000001"/>
    <n v="6.9249999999999998"/>
  </r>
  <r>
    <x v="5"/>
    <x v="76"/>
    <n v="1526506.08"/>
    <x v="0"/>
    <n v="88.06"/>
    <n v="3.6509999999999998"/>
    <n v="216.96431200000001"/>
    <n v="6.9249999999999998"/>
  </r>
  <r>
    <x v="5"/>
    <x v="77"/>
    <n v="1483991.05"/>
    <x v="0"/>
    <n v="90.22"/>
    <n v="3.6819999999999999"/>
    <n v="217.02415070000001"/>
    <n v="6.9249999999999998"/>
  </r>
  <r>
    <x v="5"/>
    <x v="78"/>
    <n v="1601584.57"/>
    <x v="0"/>
    <n v="91.46"/>
    <n v="3.6840000000000002"/>
    <n v="217.08398940000001"/>
    <n v="6.9249999999999998"/>
  </r>
  <r>
    <x v="5"/>
    <x v="79"/>
    <n v="1484995.38"/>
    <x v="0"/>
    <n v="90.49"/>
    <n v="3.6379999999999999"/>
    <n v="217.14382810000001"/>
    <n v="6.9249999999999998"/>
  </r>
  <r>
    <x v="5"/>
    <x v="80"/>
    <n v="1493544.04"/>
    <x v="0"/>
    <n v="89.26"/>
    <n v="3.5539999999999998"/>
    <n v="217.20696620000001"/>
    <n v="6.9249999999999998"/>
  </r>
  <r>
    <x v="5"/>
    <x v="81"/>
    <n v="1420405.41"/>
    <x v="0"/>
    <n v="90.07"/>
    <n v="3.5230000000000001"/>
    <n v="217.27065429999999"/>
    <n v="6.9249999999999998"/>
  </r>
  <r>
    <x v="5"/>
    <x v="82"/>
    <n v="1481618.74"/>
    <x v="0"/>
    <n v="91.22"/>
    <n v="3.5329999999999999"/>
    <n v="217.3343423"/>
    <n v="6.9249999999999998"/>
  </r>
  <r>
    <x v="5"/>
    <x v="83"/>
    <n v="1483574.38"/>
    <x v="1"/>
    <n v="80.209999999999994"/>
    <n v="3.5459999999999998"/>
    <n v="217.39803040000001"/>
    <n v="6.9249999999999998"/>
  </r>
  <r>
    <x v="5"/>
    <x v="84"/>
    <n v="1351407.79"/>
    <x v="0"/>
    <n v="84.94"/>
    <n v="3.5259999999999998"/>
    <n v="217.57975060000001"/>
    <n v="6.9249999999999998"/>
  </r>
  <r>
    <x v="5"/>
    <x v="85"/>
    <n v="1336044.75"/>
    <x v="0"/>
    <n v="78.489999999999995"/>
    <n v="3.4670000000000001"/>
    <n v="217.91884709999999"/>
    <n v="6.9249999999999998"/>
  </r>
  <r>
    <x v="5"/>
    <x v="86"/>
    <n v="1307551.92"/>
    <x v="0"/>
    <n v="82.51"/>
    <n v="3.355"/>
    <n v="218.25794350000001"/>
    <n v="6.9249999999999998"/>
  </r>
  <r>
    <x v="5"/>
    <x v="87"/>
    <n v="1481739.2"/>
    <x v="0"/>
    <n v="74.099999999999994"/>
    <n v="3.2850000000000001"/>
    <n v="218.59703999999999"/>
    <n v="6.5510000000000002"/>
  </r>
  <r>
    <x v="5"/>
    <x v="88"/>
    <n v="1386520.99"/>
    <x v="0"/>
    <n v="71.239999999999995"/>
    <n v="3.274"/>
    <n v="218.91098439999999"/>
    <n v="6.5510000000000002"/>
  </r>
  <r>
    <x v="5"/>
    <x v="89"/>
    <n v="1417922.37"/>
    <x v="0"/>
    <n v="68.53"/>
    <n v="3.3530000000000002"/>
    <n v="219.07401669999999"/>
    <n v="6.5510000000000002"/>
  </r>
  <r>
    <x v="5"/>
    <x v="90"/>
    <n v="1419445.12"/>
    <x v="0"/>
    <n v="69.510000000000005"/>
    <n v="3.3719999999999999"/>
    <n v="219.23704900000001"/>
    <n v="6.5510000000000002"/>
  </r>
  <r>
    <x v="5"/>
    <x v="91"/>
    <n v="1523420.38"/>
    <x v="0"/>
    <n v="58.54"/>
    <n v="3.3319999999999999"/>
    <n v="219.40008119999999"/>
    <n v="6.5510000000000002"/>
  </r>
  <r>
    <x v="5"/>
    <x v="92"/>
    <n v="1536176.54"/>
    <x v="0"/>
    <n v="61.33"/>
    <n v="3.2970000000000002"/>
    <n v="219.56311349999999"/>
    <n v="6.5510000000000002"/>
  </r>
  <r>
    <x v="5"/>
    <x v="93"/>
    <n v="1524390.07"/>
    <x v="0"/>
    <n v="63.89"/>
    <n v="3.3079999999999998"/>
    <n v="219.78971369999999"/>
    <n v="6.5510000000000002"/>
  </r>
  <r>
    <x v="5"/>
    <x v="94"/>
    <n v="2249811.5499999998"/>
    <x v="1"/>
    <n v="62.78"/>
    <n v="3.2360000000000002"/>
    <n v="220.04174119999999"/>
    <n v="6.5510000000000002"/>
  </r>
  <r>
    <x v="5"/>
    <x v="95"/>
    <n v="1688531.34"/>
    <x v="0"/>
    <n v="51.18"/>
    <n v="3.1720000000000002"/>
    <n v="220.29376859999999"/>
    <n v="6.5510000000000002"/>
  </r>
  <r>
    <x v="5"/>
    <x v="96"/>
    <n v="1903385.14"/>
    <x v="0"/>
    <n v="43.64"/>
    <n v="3.1579999999999999"/>
    <n v="220.54579609999999"/>
    <n v="6.5510000000000002"/>
  </r>
  <r>
    <x v="5"/>
    <x v="97"/>
    <n v="2034695.56"/>
    <x v="0"/>
    <n v="53.27"/>
    <n v="3.1589999999999998"/>
    <n v="220.7671856"/>
    <n v="6.5510000000000002"/>
  </r>
  <r>
    <x v="5"/>
    <x v="98"/>
    <n v="2644633.02"/>
    <x v="0"/>
    <n v="49.45"/>
    <n v="3.1120000000000001"/>
    <n v="220.94772449999999"/>
    <n v="6.5510000000000002"/>
  </r>
  <r>
    <x v="5"/>
    <x v="99"/>
    <n v="1598080.52"/>
    <x v="1"/>
    <n v="46.8"/>
    <n v="3.129"/>
    <n v="221.12826340000001"/>
    <n v="6.5510000000000002"/>
  </r>
  <r>
    <x v="5"/>
    <x v="100"/>
    <n v="1395339.71"/>
    <x v="0"/>
    <n v="50.82"/>
    <n v="3.157"/>
    <n v="221.3088023"/>
    <n v="6.1319999999999997"/>
  </r>
  <r>
    <x v="5"/>
    <x v="101"/>
    <n v="1344243.17"/>
    <x v="0"/>
    <n v="48.33"/>
    <n v="3.2610000000000001"/>
    <n v="221.48934120000001"/>
    <n v="6.1319999999999997"/>
  </r>
  <r>
    <x v="5"/>
    <x v="102"/>
    <n v="1326255.7"/>
    <x v="0"/>
    <n v="55.37"/>
    <n v="3.2679999999999998"/>
    <n v="221.5831306"/>
    <n v="6.1319999999999997"/>
  </r>
  <r>
    <x v="5"/>
    <x v="103"/>
    <n v="1315610.6599999999"/>
    <x v="0"/>
    <n v="53.95"/>
    <n v="3.29"/>
    <n v="221.6769199"/>
    <n v="6.1319999999999997"/>
  </r>
  <r>
    <x v="5"/>
    <x v="104"/>
    <n v="1496305.78"/>
    <x v="0"/>
    <n v="57.45"/>
    <n v="3.36"/>
    <n v="221.77070929999999"/>
    <n v="6.1319999999999997"/>
  </r>
  <r>
    <x v="5"/>
    <x v="105"/>
    <n v="1620603.92"/>
    <x v="1"/>
    <n v="48.58"/>
    <n v="3.4089999999999998"/>
    <n v="221.86449870000001"/>
    <n v="6.1319999999999997"/>
  </r>
  <r>
    <x v="5"/>
    <x v="106"/>
    <n v="1632616.09"/>
    <x v="0"/>
    <n v="49.03"/>
    <n v="3.51"/>
    <n v="222.02635900000001"/>
    <n v="6.1319999999999997"/>
  </r>
  <r>
    <x v="5"/>
    <x v="107"/>
    <n v="1465187.71"/>
    <x v="0"/>
    <n v="59.17"/>
    <n v="3.5550000000000002"/>
    <n v="222.23927259999999"/>
    <n v="6.1319999999999997"/>
  </r>
  <r>
    <x v="5"/>
    <x v="108"/>
    <n v="1550385.65"/>
    <x v="0"/>
    <n v="60.32"/>
    <n v="3.63"/>
    <n v="222.4521862"/>
    <n v="6.1319999999999997"/>
  </r>
  <r>
    <x v="5"/>
    <x v="109"/>
    <n v="1569304.4"/>
    <x v="0"/>
    <n v="57.89"/>
    <n v="3.669"/>
    <n v="222.66509980000001"/>
    <n v="6.1319999999999997"/>
  </r>
  <r>
    <x v="5"/>
    <x v="110"/>
    <n v="1748010.29"/>
    <x v="0"/>
    <n v="62.8"/>
    <n v="3.734"/>
    <n v="222.8186603"/>
    <n v="6.1319999999999997"/>
  </r>
  <r>
    <x v="5"/>
    <x v="111"/>
    <n v="1495143.62"/>
    <x v="0"/>
    <n v="63.71"/>
    <n v="3.7869999999999999"/>
    <n v="222.89308349999999"/>
    <n v="6.1319999999999997"/>
  </r>
  <r>
    <x v="5"/>
    <x v="112"/>
    <n v="1508933.26"/>
    <x v="0"/>
    <n v="67.91"/>
    <n v="3.8450000000000002"/>
    <n v="222.96750660000001"/>
    <n v="6.1319999999999997"/>
  </r>
  <r>
    <x v="5"/>
    <x v="113"/>
    <n v="1840131.19"/>
    <x v="0"/>
    <n v="71.599999999999994"/>
    <n v="3.891"/>
    <n v="223.04192979999999"/>
    <n v="5.9640000000000004"/>
  </r>
  <r>
    <x v="5"/>
    <x v="114"/>
    <n v="1616394.45"/>
    <x v="0"/>
    <n v="71.290000000000006"/>
    <n v="3.891"/>
    <n v="223.11635290000001"/>
    <n v="5.9640000000000004"/>
  </r>
  <r>
    <x v="5"/>
    <x v="115"/>
    <n v="1456073.24"/>
    <x v="0"/>
    <n v="68.64"/>
    <n v="3.8769999999999998"/>
    <n v="223.17092"/>
    <n v="5.9640000000000004"/>
  </r>
  <r>
    <x v="5"/>
    <x v="116"/>
    <n v="1456221.1"/>
    <x v="0"/>
    <n v="71.5"/>
    <n v="3.8140000000000001"/>
    <n v="223.22548710000001"/>
    <n v="5.9640000000000004"/>
  </r>
  <r>
    <x v="5"/>
    <x v="117"/>
    <n v="1543461.12"/>
    <x v="0"/>
    <n v="77.66"/>
    <n v="3.7490000000000001"/>
    <n v="223.2800541"/>
    <n v="5.9640000000000004"/>
  </r>
  <r>
    <x v="5"/>
    <x v="118"/>
    <n v="1517075.67"/>
    <x v="0"/>
    <n v="72.66"/>
    <n v="3.6880000000000002"/>
    <n v="223.33462119999999"/>
    <n v="5.9640000000000004"/>
  </r>
  <r>
    <x v="5"/>
    <x v="119"/>
    <n v="1513635.64"/>
    <x v="0"/>
    <n v="70.5"/>
    <n v="3.63"/>
    <n v="223.35119280000001"/>
    <n v="5.9640000000000004"/>
  </r>
  <r>
    <x v="5"/>
    <x v="120"/>
    <n v="1603793.42"/>
    <x v="0"/>
    <n v="78.47"/>
    <n v="3.5609999999999999"/>
    <n v="223.35256620000001"/>
    <n v="5.9640000000000004"/>
  </r>
  <r>
    <x v="5"/>
    <x v="121"/>
    <n v="1681121.38"/>
    <x v="0"/>
    <n v="80.39"/>
    <n v="3.5009999999999999"/>
    <n v="223.35393970000001"/>
    <n v="5.9640000000000004"/>
  </r>
  <r>
    <x v="5"/>
    <x v="122"/>
    <n v="1696619.52"/>
    <x v="0"/>
    <n v="80.5"/>
    <n v="3.452"/>
    <n v="223.35531309999999"/>
    <n v="5.9640000000000004"/>
  </r>
  <r>
    <x v="5"/>
    <x v="123"/>
    <n v="1642247.48"/>
    <x v="0"/>
    <n v="82.1"/>
    <n v="3.3929999999999998"/>
    <n v="223.3680933"/>
    <n v="5.9640000000000004"/>
  </r>
  <r>
    <x v="5"/>
    <x v="124"/>
    <n v="1618272.25"/>
    <x v="0"/>
    <n v="81.2"/>
    <n v="3.3460000000000001"/>
    <n v="223.40939059999999"/>
    <n v="5.9640000000000004"/>
  </r>
  <r>
    <x v="5"/>
    <x v="125"/>
    <n v="1648863.46"/>
    <x v="0"/>
    <n v="87.35"/>
    <n v="3.286"/>
    <n v="223.4506878"/>
    <n v="5.9640000000000004"/>
  </r>
  <r>
    <x v="5"/>
    <x v="126"/>
    <n v="1876359.39"/>
    <x v="0"/>
    <n v="82.95"/>
    <n v="3.2269999999999999"/>
    <n v="223.49198509999999"/>
    <n v="5.6680000000000001"/>
  </r>
  <r>
    <x v="5"/>
    <x v="127"/>
    <n v="1588142.26"/>
    <x v="0"/>
    <n v="80.27"/>
    <n v="3.2559999999999998"/>
    <n v="223.53328239999999"/>
    <n v="5.6680000000000001"/>
  </r>
  <r>
    <x v="5"/>
    <x v="128"/>
    <n v="1574361.97"/>
    <x v="0"/>
    <n v="81.569999999999993"/>
    <n v="3.3109999999999999"/>
    <n v="223.5424501"/>
    <n v="5.6680000000000001"/>
  </r>
  <r>
    <x v="5"/>
    <x v="129"/>
    <n v="1513229.16"/>
    <x v="0"/>
    <n v="85.78"/>
    <n v="3.407"/>
    <n v="223.5516178"/>
    <n v="5.6680000000000001"/>
  </r>
  <r>
    <x v="5"/>
    <x v="130"/>
    <n v="1627274.93"/>
    <x v="0"/>
    <n v="87.55"/>
    <n v="3.4169999999999998"/>
    <n v="223.5607856"/>
    <n v="5.6680000000000001"/>
  </r>
  <r>
    <x v="5"/>
    <x v="131"/>
    <n v="1588380.73"/>
    <x v="0"/>
    <n v="87.04"/>
    <n v="3.4940000000000002"/>
    <n v="223.56995330000001"/>
    <n v="5.6680000000000001"/>
  </r>
  <r>
    <x v="5"/>
    <x v="132"/>
    <n v="1543049.52"/>
    <x v="0"/>
    <n v="87.53"/>
    <n v="3.5710000000000002"/>
    <n v="223.65102239999999"/>
    <n v="5.6680000000000001"/>
  </r>
  <r>
    <x v="5"/>
    <x v="133"/>
    <n v="1501095.49"/>
    <x v="0"/>
    <n v="79.03"/>
    <n v="3.62"/>
    <n v="223.78601750000001"/>
    <n v="5.6680000000000001"/>
  </r>
  <r>
    <x v="5"/>
    <x v="134"/>
    <n v="1577439.81"/>
    <x v="0"/>
    <n v="83.58"/>
    <n v="3.6379999999999999"/>
    <n v="223.92101249999999"/>
    <n v="5.6680000000000001"/>
  </r>
  <r>
    <x v="5"/>
    <x v="135"/>
    <n v="1608077.01"/>
    <x v="1"/>
    <n v="86.33"/>
    <n v="3.73"/>
    <n v="224.05600759999999"/>
    <n v="5.6680000000000001"/>
  </r>
  <r>
    <x v="5"/>
    <x v="136"/>
    <n v="1375166.86"/>
    <x v="0"/>
    <n v="76.41"/>
    <n v="3.7170000000000001"/>
    <n v="224.20046780000001"/>
    <n v="5.6680000000000001"/>
  </r>
  <r>
    <x v="5"/>
    <x v="137"/>
    <n v="1425603.65"/>
    <x v="0"/>
    <n v="70.81"/>
    <n v="3.7210000000000001"/>
    <n v="224.4017192"/>
    <n v="5.6680000000000001"/>
  </r>
  <r>
    <x v="5"/>
    <x v="138"/>
    <n v="1369131.46"/>
    <x v="0"/>
    <n v="77.819999999999993"/>
    <n v="3.6659999999999999"/>
    <n v="224.60297059999999"/>
    <n v="5.6680000000000001"/>
  </r>
  <r>
    <x v="5"/>
    <x v="139"/>
    <n v="1518177.71"/>
    <x v="0"/>
    <n v="70.84"/>
    <n v="3.617"/>
    <n v="224.80422200000001"/>
    <n v="5.3289999999999997"/>
  </r>
  <r>
    <x v="5"/>
    <x v="140"/>
    <n v="1459396.84"/>
    <x v="0"/>
    <n v="65.430000000000007"/>
    <n v="3.601"/>
    <n v="225.00547330000001"/>
    <n v="5.3289999999999997"/>
  </r>
  <r>
    <x v="5"/>
    <x v="141"/>
    <n v="1436883.99"/>
    <x v="0"/>
    <n v="69.680000000000007"/>
    <n v="3.5939999999999999"/>
    <n v="225.05010129999999"/>
    <n v="5.3289999999999997"/>
  </r>
  <r>
    <x v="5"/>
    <x v="142"/>
    <n v="1431426.34"/>
    <x v="0"/>
    <n v="72.34"/>
    <n v="3.5059999999999998"/>
    <n v="225.0686254"/>
    <n v="5.3289999999999997"/>
  </r>
  <r>
    <x v="6"/>
    <x v="0"/>
    <n v="496725.44"/>
    <x v="0"/>
    <n v="10.53"/>
    <n v="2.58"/>
    <n v="189.38169740000001"/>
    <n v="9.0139999999999993"/>
  </r>
  <r>
    <x v="6"/>
    <x v="1"/>
    <n v="524104.92"/>
    <x v="1"/>
    <n v="25.9"/>
    <n v="2.5720000000000001"/>
    <n v="189.46427249999999"/>
    <n v="9.0139999999999993"/>
  </r>
  <r>
    <x v="6"/>
    <x v="2"/>
    <n v="506760.54"/>
    <x v="0"/>
    <n v="27.28"/>
    <n v="2.5499999999999998"/>
    <n v="189.53409980000001"/>
    <n v="9.0139999999999993"/>
  </r>
  <r>
    <x v="6"/>
    <x v="3"/>
    <n v="496083.24"/>
    <x v="0"/>
    <n v="24.91"/>
    <n v="2.5859999999999999"/>
    <n v="189.6018023"/>
    <n v="9.0139999999999993"/>
  </r>
  <r>
    <x v="6"/>
    <x v="4"/>
    <n v="491419.55"/>
    <x v="0"/>
    <n v="35.86"/>
    <n v="2.62"/>
    <n v="189.66950489999999"/>
    <n v="9.0139999999999993"/>
  </r>
  <r>
    <x v="6"/>
    <x v="5"/>
    <n v="480452.1"/>
    <x v="0"/>
    <n v="27.25"/>
    <n v="2.6840000000000002"/>
    <n v="189.73720750000001"/>
    <n v="9.0139999999999993"/>
  </r>
  <r>
    <x v="6"/>
    <x v="6"/>
    <n v="574450.23"/>
    <x v="0"/>
    <n v="29.04"/>
    <n v="2.6920000000000002"/>
    <n v="189.734262"/>
    <n v="9.0139999999999993"/>
  </r>
  <r>
    <x v="6"/>
    <x v="7"/>
    <n v="514731.6"/>
    <x v="0"/>
    <n v="23.33"/>
    <n v="2.7170000000000001"/>
    <n v="189.71954170000001"/>
    <n v="9.0139999999999993"/>
  </r>
  <r>
    <x v="6"/>
    <x v="8"/>
    <n v="561145.14"/>
    <x v="0"/>
    <n v="38.26"/>
    <n v="2.7250000000000001"/>
    <n v="189.70482150000001"/>
    <n v="8.9629999999999992"/>
  </r>
  <r>
    <x v="6"/>
    <x v="9"/>
    <n v="484263.25"/>
    <x v="0"/>
    <n v="33.79"/>
    <n v="2.75"/>
    <n v="189.69010119999999"/>
    <n v="8.9629999999999992"/>
  </r>
  <r>
    <x v="6"/>
    <x v="10"/>
    <n v="406228.19"/>
    <x v="0"/>
    <n v="41.89"/>
    <n v="2.7650000000000001"/>
    <n v="189.66288449999999"/>
    <n v="8.9629999999999992"/>
  </r>
  <r>
    <x v="6"/>
    <x v="11"/>
    <n v="404751.25"/>
    <x v="0"/>
    <n v="43.07"/>
    <n v="2.7759999999999998"/>
    <n v="189.6190057"/>
    <n v="8.9629999999999992"/>
  </r>
  <r>
    <x v="6"/>
    <x v="12"/>
    <n v="373655.61"/>
    <x v="0"/>
    <n v="38.99"/>
    <n v="2.766"/>
    <n v="189.57512700000001"/>
    <n v="8.9629999999999992"/>
  </r>
  <r>
    <x v="6"/>
    <x v="13"/>
    <n v="395453.83"/>
    <x v="0"/>
    <n v="40.07"/>
    <n v="2.7709999999999999"/>
    <n v="189.53124829999999"/>
    <n v="8.9629999999999992"/>
  </r>
  <r>
    <x v="6"/>
    <x v="14"/>
    <n v="372673.61"/>
    <x v="0"/>
    <n v="41.41"/>
    <n v="2.7879999999999998"/>
    <n v="189.49041159999999"/>
    <n v="8.9629999999999992"/>
  </r>
  <r>
    <x v="6"/>
    <x v="15"/>
    <n v="395195.65"/>
    <x v="0"/>
    <n v="46.6"/>
    <n v="2.7759999999999998"/>
    <n v="189.467827"/>
    <n v="8.9629999999999992"/>
  </r>
  <r>
    <x v="6"/>
    <x v="16"/>
    <n v="442734.55"/>
    <x v="0"/>
    <n v="54.24"/>
    <n v="2.7370000000000001"/>
    <n v="189.44524250000001"/>
    <n v="8.9629999999999992"/>
  </r>
  <r>
    <x v="6"/>
    <x v="17"/>
    <n v="509183.22"/>
    <x v="0"/>
    <n v="53.63"/>
    <n v="2.7"/>
    <n v="189.42265800000001"/>
    <n v="8.9629999999999992"/>
  </r>
  <r>
    <x v="6"/>
    <x v="18"/>
    <n v="498580.87"/>
    <x v="0"/>
    <n v="63.59"/>
    <n v="2.6840000000000002"/>
    <n v="189.4000734"/>
    <n v="8.9629999999999992"/>
  </r>
  <r>
    <x v="6"/>
    <x v="19"/>
    <n v="481144.09"/>
    <x v="0"/>
    <n v="52.7"/>
    <n v="2.6739999999999999"/>
    <n v="189.41852589999999"/>
    <n v="8.9629999999999992"/>
  </r>
  <r>
    <x v="6"/>
    <x v="20"/>
    <n v="553714.87"/>
    <x v="0"/>
    <n v="59.94"/>
    <n v="2.7149999999999999"/>
    <n v="189.4533931"/>
    <n v="8.9629999999999992"/>
  </r>
  <r>
    <x v="6"/>
    <x v="21"/>
    <n v="575570.77"/>
    <x v="0"/>
    <n v="61.31"/>
    <n v="2.7280000000000002"/>
    <n v="189.48826030000001"/>
    <n v="9.0169999999999995"/>
  </r>
  <r>
    <x v="6"/>
    <x v="22"/>
    <n v="593462.34"/>
    <x v="0"/>
    <n v="58"/>
    <n v="2.7109999999999999"/>
    <n v="189.52312760000001"/>
    <n v="9.0169999999999995"/>
  </r>
  <r>
    <x v="6"/>
    <x v="23"/>
    <n v="557166.35"/>
    <x v="0"/>
    <n v="62.19"/>
    <n v="2.6989999999999998"/>
    <n v="189.6125456"/>
    <n v="9.0169999999999995"/>
  </r>
  <r>
    <x v="6"/>
    <x v="24"/>
    <n v="570231.21"/>
    <x v="0"/>
    <n v="64.64"/>
    <n v="2.6909999999999998"/>
    <n v="189.774698"/>
    <n v="9.0169999999999995"/>
  </r>
  <r>
    <x v="6"/>
    <x v="25"/>
    <n v="603547.16"/>
    <x v="0"/>
    <n v="66.069999999999993"/>
    <n v="2.69"/>
    <n v="189.9368504"/>
    <n v="9.0169999999999995"/>
  </r>
  <r>
    <x v="6"/>
    <x v="26"/>
    <n v="643854.17000000004"/>
    <x v="0"/>
    <n v="61.7"/>
    <n v="2.69"/>
    <n v="190.09900279999999"/>
    <n v="9.0169999999999995"/>
  </r>
  <r>
    <x v="6"/>
    <x v="27"/>
    <n v="598185.4"/>
    <x v="0"/>
    <n v="60.13"/>
    <n v="2.7229999999999999"/>
    <n v="190.26115519999999"/>
    <n v="9.0169999999999995"/>
  </r>
  <r>
    <x v="6"/>
    <x v="28"/>
    <n v="582353.17000000004"/>
    <x v="0"/>
    <n v="59.59"/>
    <n v="2.7320000000000002"/>
    <n v="190.29482369999999"/>
    <n v="9.0169999999999995"/>
  </r>
  <r>
    <x v="6"/>
    <x v="29"/>
    <n v="554309.24"/>
    <x v="0"/>
    <n v="57.57"/>
    <n v="2.7309999999999999"/>
    <n v="190.3284922"/>
    <n v="9.0169999999999995"/>
  </r>
  <r>
    <x v="6"/>
    <x v="30"/>
    <n v="532765.05000000005"/>
    <x v="0"/>
    <n v="49.84"/>
    <n v="2.7730000000000001"/>
    <n v="190.3621607"/>
    <n v="9.0169999999999995"/>
  </r>
  <r>
    <x v="6"/>
    <x v="31"/>
    <n v="535769.31999999995"/>
    <x v="1"/>
    <n v="48.5"/>
    <n v="2.78"/>
    <n v="190.3958293"/>
    <n v="9.0169999999999995"/>
  </r>
  <r>
    <x v="6"/>
    <x v="32"/>
    <n v="489408.53"/>
    <x v="0"/>
    <n v="48.56"/>
    <n v="2.8"/>
    <n v="190.46882869999999"/>
    <n v="9.0169999999999995"/>
  </r>
  <r>
    <x v="6"/>
    <x v="33"/>
    <n v="488008.83"/>
    <x v="0"/>
    <n v="47.55"/>
    <n v="2.7930000000000001"/>
    <n v="190.5713264"/>
    <n v="9.0169999999999995"/>
  </r>
  <r>
    <x v="6"/>
    <x v="34"/>
    <n v="448998.73"/>
    <x v="0"/>
    <n v="49.99"/>
    <n v="2.7589999999999999"/>
    <n v="190.67382409999999"/>
    <n v="9.1370000000000005"/>
  </r>
  <r>
    <x v="6"/>
    <x v="35"/>
    <n v="480239.88"/>
    <x v="0"/>
    <n v="44.13"/>
    <n v="2.7450000000000001"/>
    <n v="190.77632180000001"/>
    <n v="9.1370000000000005"/>
  </r>
  <r>
    <x v="6"/>
    <x v="36"/>
    <n v="463370.48"/>
    <x v="0"/>
    <n v="35.86"/>
    <n v="2.762"/>
    <n v="190.8623087"/>
    <n v="9.1370000000000005"/>
  </r>
  <r>
    <x v="6"/>
    <x v="37"/>
    <n v="472450.81"/>
    <x v="0"/>
    <n v="36.840000000000003"/>
    <n v="2.762"/>
    <n v="190.9070184"/>
    <n v="9.1370000000000005"/>
  </r>
  <r>
    <x v="6"/>
    <x v="38"/>
    <n v="465493.15"/>
    <x v="0"/>
    <n v="34.78"/>
    <n v="2.7480000000000002"/>
    <n v="190.951728"/>
    <n v="9.1370000000000005"/>
  </r>
  <r>
    <x v="6"/>
    <x v="39"/>
    <n v="480512.44"/>
    <x v="0"/>
    <n v="49.44"/>
    <n v="2.7290000000000001"/>
    <n v="190.9964377"/>
    <n v="9.1370000000000005"/>
  </r>
  <r>
    <x v="6"/>
    <x v="40"/>
    <n v="507584.29"/>
    <x v="0"/>
    <n v="22.12"/>
    <n v="2.7370000000000001"/>
    <n v="191.0411474"/>
    <n v="9.1370000000000005"/>
  </r>
  <r>
    <x v="6"/>
    <x v="41"/>
    <n v="482528.36"/>
    <x v="0"/>
    <n v="25.56"/>
    <n v="2.758"/>
    <n v="191.03121719999999"/>
    <n v="9.1370000000000005"/>
  </r>
  <r>
    <x v="6"/>
    <x v="42"/>
    <n v="835189.26"/>
    <x v="1"/>
    <n v="17.95"/>
    <n v="2.742"/>
    <n v="191.0121805"/>
    <n v="9.1370000000000005"/>
  </r>
  <r>
    <x v="6"/>
    <x v="43"/>
    <n v="552811.62"/>
    <x v="0"/>
    <n v="21.88"/>
    <n v="2.7120000000000002"/>
    <n v="190.99314369999999"/>
    <n v="9.1370000000000005"/>
  </r>
  <r>
    <x v="6"/>
    <x v="44"/>
    <n v="599730.06999999995"/>
    <x v="0"/>
    <n v="24.24"/>
    <n v="2.7280000000000002"/>
    <n v="190.97410690000001"/>
    <n v="9.1370000000000005"/>
  </r>
  <r>
    <x v="6"/>
    <x v="45"/>
    <n v="716388.81"/>
    <x v="0"/>
    <n v="20.74"/>
    <n v="2.778"/>
    <n v="191.0303376"/>
    <n v="9.1370000000000005"/>
  </r>
  <r>
    <x v="6"/>
    <x v="46"/>
    <n v="1045124.88"/>
    <x v="0"/>
    <n v="26.04"/>
    <n v="2.7810000000000001"/>
    <n v="191.14301889999999"/>
    <n v="9.1370000000000005"/>
  </r>
  <r>
    <x v="6"/>
    <x v="47"/>
    <n v="729572.08"/>
    <x v="1"/>
    <n v="13.76"/>
    <n v="2.8290000000000002"/>
    <n v="191.25570020000001"/>
    <n v="9.1370000000000005"/>
  </r>
  <r>
    <x v="6"/>
    <x v="48"/>
    <n v="661163.93999999994"/>
    <x v="0"/>
    <n v="10.09"/>
    <n v="2.8820000000000001"/>
    <n v="191.3683815"/>
    <n v="8.8179999999999996"/>
  </r>
  <r>
    <x v="6"/>
    <x v="49"/>
    <n v="547384.9"/>
    <x v="0"/>
    <n v="11.32"/>
    <n v="2.911"/>
    <n v="191.47849389999999"/>
    <n v="8.8179999999999996"/>
  </r>
  <r>
    <x v="6"/>
    <x v="50"/>
    <n v="521539.46"/>
    <x v="0"/>
    <n v="25.4"/>
    <n v="2.9729999999999999"/>
    <n v="191.57319240000001"/>
    <n v="8.8179999999999996"/>
  </r>
  <r>
    <x v="6"/>
    <x v="51"/>
    <n v="513372.17"/>
    <x v="0"/>
    <n v="10.11"/>
    <n v="3.008"/>
    <n v="191.667891"/>
    <n v="8.8179999999999996"/>
  </r>
  <r>
    <x v="6"/>
    <x v="52"/>
    <n v="558027.77"/>
    <x v="0"/>
    <n v="-2.06"/>
    <n v="3.0110000000000001"/>
    <n v="191.76258949999999"/>
    <n v="8.8179999999999996"/>
  </r>
  <r>
    <x v="6"/>
    <x v="53"/>
    <n v="559903.13"/>
    <x v="1"/>
    <n v="10.24"/>
    <n v="3.0369999999999999"/>
    <n v="191.85728810000001"/>
    <n v="8.8179999999999996"/>
  </r>
  <r>
    <x v="6"/>
    <x v="54"/>
    <n v="572387.47"/>
    <x v="0"/>
    <n v="17.3"/>
    <n v="3.0510000000000002"/>
    <n v="191.9178331"/>
    <n v="8.8179999999999996"/>
  </r>
  <r>
    <x v="6"/>
    <x v="55"/>
    <n v="546690.84"/>
    <x v="0"/>
    <n v="17.46"/>
    <n v="3.101"/>
    <n v="191.9647167"/>
    <n v="8.8179999999999996"/>
  </r>
  <r>
    <x v="6"/>
    <x v="56"/>
    <n v="551378.39"/>
    <x v="0"/>
    <n v="21.84"/>
    <n v="3.2320000000000002"/>
    <n v="192.01160039999999"/>
    <n v="8.8179999999999996"/>
  </r>
  <r>
    <x v="6"/>
    <x v="57"/>
    <n v="558963.82999999996"/>
    <x v="0"/>
    <n v="20.7"/>
    <n v="3.3719999999999999"/>
    <n v="192.05848399999999"/>
    <n v="8.8179999999999996"/>
  </r>
  <r>
    <x v="6"/>
    <x v="58"/>
    <n v="635014.68999999994"/>
    <x v="0"/>
    <n v="27.69"/>
    <n v="3.4060000000000001"/>
    <n v="192.12379809999999"/>
    <n v="8.8179999999999996"/>
  </r>
  <r>
    <x v="6"/>
    <x v="59"/>
    <n v="559061.57999999996"/>
    <x v="0"/>
    <n v="25.69"/>
    <n v="3.4140000000000001"/>
    <n v="192.1964844"/>
    <n v="8.8179999999999996"/>
  </r>
  <r>
    <x v="6"/>
    <x v="60"/>
    <n v="513409.67"/>
    <x v="0"/>
    <n v="24.83"/>
    <n v="3.4609999999999999"/>
    <n v="192.26917069999999"/>
    <n v="8.5950000000000006"/>
  </r>
  <r>
    <x v="6"/>
    <x v="61"/>
    <n v="500552.16"/>
    <x v="0"/>
    <n v="30.64"/>
    <n v="3.532"/>
    <n v="192.3418571"/>
    <n v="8.5950000000000006"/>
  </r>
  <r>
    <x v="6"/>
    <x v="62"/>
    <n v="423380.14"/>
    <x v="0"/>
    <n v="27.79"/>
    <n v="3.6110000000000002"/>
    <n v="192.42259540000001"/>
    <n v="8.5950000000000006"/>
  </r>
  <r>
    <x v="6"/>
    <x v="63"/>
    <n v="466594.89"/>
    <x v="0"/>
    <n v="31.84"/>
    <n v="3.6360000000000001"/>
    <n v="192.5234638"/>
    <n v="8.5950000000000006"/>
  </r>
  <r>
    <x v="6"/>
    <x v="64"/>
    <n v="410429.73"/>
    <x v="0"/>
    <n v="26.79"/>
    <n v="3.6629999999999998"/>
    <n v="192.6243322"/>
    <n v="8.5950000000000006"/>
  </r>
  <r>
    <x v="6"/>
    <x v="65"/>
    <n v="407012.47"/>
    <x v="0"/>
    <n v="26.54"/>
    <n v="3.7349999999999999"/>
    <n v="192.72520059999999"/>
    <n v="8.5950000000000006"/>
  </r>
  <r>
    <x v="6"/>
    <x v="66"/>
    <n v="414094.05"/>
    <x v="0"/>
    <n v="36.61"/>
    <n v="3.7669999999999999"/>
    <n v="192.82606899999999"/>
    <n v="8.5950000000000006"/>
  </r>
  <r>
    <x v="6"/>
    <x v="67"/>
    <n v="424670.98"/>
    <x v="0"/>
    <n v="36.159999999999997"/>
    <n v="3.8279999999999998"/>
    <n v="192.83131700000001"/>
    <n v="8.5950000000000006"/>
  </r>
  <r>
    <x v="6"/>
    <x v="68"/>
    <n v="457216.87"/>
    <x v="0"/>
    <n v="37.51"/>
    <n v="3.7949999999999999"/>
    <n v="192.8365651"/>
    <n v="8.5950000000000006"/>
  </r>
  <r>
    <x v="6"/>
    <x v="69"/>
    <n v="542295.37"/>
    <x v="0"/>
    <n v="45.77"/>
    <n v="3.7629999999999999"/>
    <n v="192.8418131"/>
    <n v="8.5950000000000006"/>
  </r>
  <r>
    <x v="6"/>
    <x v="70"/>
    <n v="621099.94999999995"/>
    <x v="0"/>
    <n v="53.3"/>
    <n v="3.7349999999999999"/>
    <n v="192.84706120000001"/>
    <n v="8.5950000000000006"/>
  </r>
  <r>
    <x v="6"/>
    <x v="71"/>
    <n v="610991.35"/>
    <x v="0"/>
    <n v="48.79"/>
    <n v="3.6970000000000001"/>
    <n v="192.90347589999999"/>
    <n v="8.5950000000000006"/>
  </r>
  <r>
    <x v="6"/>
    <x v="72"/>
    <n v="640043.97"/>
    <x v="0"/>
    <n v="46.85"/>
    <n v="3.661"/>
    <n v="192.9982655"/>
    <n v="8.5950000000000006"/>
  </r>
  <r>
    <x v="6"/>
    <x v="73"/>
    <n v="704344.21"/>
    <x v="0"/>
    <n v="58.54"/>
    <n v="3.597"/>
    <n v="193.09305520000001"/>
    <n v="8.6219999999999999"/>
  </r>
  <r>
    <x v="6"/>
    <x v="74"/>
    <n v="761793.94"/>
    <x v="0"/>
    <n v="59.08"/>
    <n v="3.54"/>
    <n v="193.18784479999999"/>
    <n v="8.6219999999999999"/>
  </r>
  <r>
    <x v="6"/>
    <x v="75"/>
    <n v="642748.21"/>
    <x v="0"/>
    <n v="54.37"/>
    <n v="3.532"/>
    <n v="193.3125484"/>
    <n v="8.6219999999999999"/>
  </r>
  <r>
    <x v="6"/>
    <x v="76"/>
    <n v="688043.96"/>
    <x v="0"/>
    <n v="56.22"/>
    <n v="3.5449999999999999"/>
    <n v="193.51203670000001"/>
    <n v="8.6219999999999999"/>
  </r>
  <r>
    <x v="6"/>
    <x v="77"/>
    <n v="653382.62"/>
    <x v="0"/>
    <n v="56.66"/>
    <n v="3.5470000000000002"/>
    <n v="193.71152499999999"/>
    <n v="8.6219999999999999"/>
  </r>
  <r>
    <x v="6"/>
    <x v="78"/>
    <n v="695392.84"/>
    <x v="0"/>
    <n v="55.91"/>
    <n v="3.5539999999999998"/>
    <n v="193.91101330000001"/>
    <n v="8.6219999999999999"/>
  </r>
  <r>
    <x v="6"/>
    <x v="79"/>
    <n v="670670.46"/>
    <x v="0"/>
    <n v="54.56"/>
    <n v="3.5419999999999998"/>
    <n v="194.11050169999999"/>
    <n v="8.6219999999999999"/>
  </r>
  <r>
    <x v="6"/>
    <x v="80"/>
    <n v="645156.21"/>
    <x v="0"/>
    <n v="56.06"/>
    <n v="3.4990000000000001"/>
    <n v="194.25006339999999"/>
    <n v="8.6219999999999999"/>
  </r>
  <r>
    <x v="6"/>
    <x v="81"/>
    <n v="629994.47"/>
    <x v="0"/>
    <n v="57.6"/>
    <n v="3.4849999999999999"/>
    <n v="194.37963740000001"/>
    <n v="8.6219999999999999"/>
  </r>
  <r>
    <x v="6"/>
    <x v="82"/>
    <n v="592355.24"/>
    <x v="0"/>
    <n v="53.4"/>
    <n v="3.5110000000000001"/>
    <n v="194.5092113"/>
    <n v="8.6219999999999999"/>
  </r>
  <r>
    <x v="6"/>
    <x v="83"/>
    <n v="613135.23"/>
    <x v="1"/>
    <n v="45.61"/>
    <n v="3.5659999999999998"/>
    <n v="194.6387853"/>
    <n v="8.6219999999999999"/>
  </r>
  <r>
    <x v="6"/>
    <x v="84"/>
    <n v="558981.44999999995"/>
    <x v="0"/>
    <n v="43.67"/>
    <n v="3.5960000000000001"/>
    <n v="194.7419707"/>
    <n v="8.6219999999999999"/>
  </r>
  <r>
    <x v="6"/>
    <x v="85"/>
    <n v="536144.81000000006"/>
    <x v="0"/>
    <n v="43.67"/>
    <n v="3.581"/>
    <n v="194.8099713"/>
    <n v="8.6219999999999999"/>
  </r>
  <r>
    <x v="6"/>
    <x v="86"/>
    <n v="488880.26"/>
    <x v="0"/>
    <n v="47.34"/>
    <n v="3.5379999999999998"/>
    <n v="194.87797180000001"/>
    <n v="8.6219999999999999"/>
  </r>
  <r>
    <x v="6"/>
    <x v="87"/>
    <n v="525866.36"/>
    <x v="0"/>
    <n v="40.65"/>
    <n v="3.4980000000000002"/>
    <n v="194.94597239999999"/>
    <n v="8.5129999999999999"/>
  </r>
  <r>
    <x v="6"/>
    <x v="88"/>
    <n v="501959.19"/>
    <x v="0"/>
    <n v="32.65"/>
    <n v="3.4910000000000001"/>
    <n v="195.0261012"/>
    <n v="8.5129999999999999"/>
  </r>
  <r>
    <x v="6"/>
    <x v="89"/>
    <n v="558691.43000000005"/>
    <x v="0"/>
    <n v="37.49"/>
    <n v="3.548"/>
    <n v="195.17899940000001"/>
    <n v="8.5129999999999999"/>
  </r>
  <r>
    <x v="6"/>
    <x v="90"/>
    <n v="527339.52000000002"/>
    <x v="0"/>
    <n v="28.82"/>
    <n v="3.55"/>
    <n v="195.33189770000001"/>
    <n v="8.5129999999999999"/>
  </r>
  <r>
    <x v="6"/>
    <x v="91"/>
    <n v="564536.01"/>
    <x v="0"/>
    <n v="23.41"/>
    <n v="3.5270000000000001"/>
    <n v="195.48479589999999"/>
    <n v="8.5129999999999999"/>
  </r>
  <r>
    <x v="6"/>
    <x v="92"/>
    <n v="556015.59"/>
    <x v="0"/>
    <n v="19.53"/>
    <n v="3.5049999999999999"/>
    <n v="195.6376941"/>
    <n v="8.5129999999999999"/>
  </r>
  <r>
    <x v="6"/>
    <x v="93"/>
    <n v="539826.56000000006"/>
    <x v="0"/>
    <n v="29.53"/>
    <n v="3.4790000000000001"/>
    <n v="195.7184713"/>
    <n v="8.5129999999999999"/>
  </r>
  <r>
    <x v="6"/>
    <x v="94"/>
    <n v="949075.87"/>
    <x v="1"/>
    <n v="27.6"/>
    <n v="3.4239999999999999"/>
    <n v="195.7704"/>
    <n v="8.5129999999999999"/>
  </r>
  <r>
    <x v="6"/>
    <x v="95"/>
    <n v="591907.88"/>
    <x v="0"/>
    <n v="20.38"/>
    <n v="3.3780000000000001"/>
    <n v="195.82232870000001"/>
    <n v="8.5129999999999999"/>
  </r>
  <r>
    <x v="6"/>
    <x v="96"/>
    <n v="653845.44999999995"/>
    <x v="0"/>
    <n v="11.17"/>
    <n v="3.331"/>
    <n v="195.8742575"/>
    <n v="8.5129999999999999"/>
  </r>
  <r>
    <x v="6"/>
    <x v="97"/>
    <n v="720242.19"/>
    <x v="0"/>
    <n v="15.2"/>
    <n v="3.266"/>
    <n v="195.98416850000001"/>
    <n v="8.5129999999999999"/>
  </r>
  <r>
    <x v="6"/>
    <x v="98"/>
    <n v="1059715.27"/>
    <x v="0"/>
    <n v="12.19"/>
    <n v="3.173"/>
    <n v="196.17138929999999"/>
    <n v="8.5129999999999999"/>
  </r>
  <r>
    <x v="6"/>
    <x v="99"/>
    <n v="815915.52000000002"/>
    <x v="1"/>
    <n v="15.56"/>
    <n v="3.1190000000000002"/>
    <n v="196.35861009999999"/>
    <n v="8.5129999999999999"/>
  </r>
  <r>
    <x v="6"/>
    <x v="100"/>
    <n v="713117.66"/>
    <x v="0"/>
    <n v="18.670000000000002"/>
    <n v="3.0950000000000002"/>
    <n v="196.5458309"/>
    <n v="8.2560000000000002"/>
  </r>
  <r>
    <x v="6"/>
    <x v="101"/>
    <n v="593875.46"/>
    <x v="0"/>
    <n v="7.46"/>
    <n v="3.077"/>
    <n v="196.7330517"/>
    <n v="8.2560000000000002"/>
  </r>
  <r>
    <x v="6"/>
    <x v="102"/>
    <n v="578002.85"/>
    <x v="0"/>
    <n v="27.41"/>
    <n v="3.0550000000000002"/>
    <n v="196.77966520000001"/>
    <n v="8.2560000000000002"/>
  </r>
  <r>
    <x v="6"/>
    <x v="103"/>
    <n v="541037.98"/>
    <x v="0"/>
    <n v="26.9"/>
    <n v="3.0379999999999998"/>
    <n v="196.82627859999999"/>
    <n v="8.2560000000000002"/>
  </r>
  <r>
    <x v="6"/>
    <x v="104"/>
    <n v="580453.31999999995"/>
    <x v="0"/>
    <n v="22.2"/>
    <n v="3.0310000000000001"/>
    <n v="196.8728921"/>
    <n v="8.2560000000000002"/>
  </r>
  <r>
    <x v="6"/>
    <x v="105"/>
    <n v="563460.77"/>
    <x v="1"/>
    <n v="18.79"/>
    <n v="3.1030000000000002"/>
    <n v="196.91950560000001"/>
    <n v="8.2560000000000002"/>
  </r>
  <r>
    <x v="6"/>
    <x v="106"/>
    <n v="620908.18000000005"/>
    <x v="0"/>
    <n v="27.03"/>
    <n v="3.113"/>
    <n v="196.9432711"/>
    <n v="8.2560000000000002"/>
  </r>
  <r>
    <x v="6"/>
    <x v="107"/>
    <n v="603041.14"/>
    <x v="0"/>
    <n v="24.41"/>
    <n v="3.129"/>
    <n v="196.9499007"/>
    <n v="8.2560000000000002"/>
  </r>
  <r>
    <x v="6"/>
    <x v="108"/>
    <n v="551058.13"/>
    <x v="0"/>
    <n v="21.64"/>
    <n v="3.1909999999999998"/>
    <n v="196.9565303"/>
    <n v="8.2560000000000002"/>
  </r>
  <r>
    <x v="6"/>
    <x v="109"/>
    <n v="579166.5"/>
    <x v="0"/>
    <n v="30.1"/>
    <n v="3.286"/>
    <n v="196.96315989999999"/>
    <n v="8.2560000000000002"/>
  </r>
  <r>
    <x v="6"/>
    <x v="110"/>
    <n v="669205.73"/>
    <x v="0"/>
    <n v="37.29"/>
    <n v="3.4860000000000002"/>
    <n v="197.0457208"/>
    <n v="8.2560000000000002"/>
  </r>
  <r>
    <x v="6"/>
    <x v="111"/>
    <n v="615997.29"/>
    <x v="0"/>
    <n v="35.06"/>
    <n v="3.6640000000000001"/>
    <n v="197.22952340000001"/>
    <n v="8.2560000000000002"/>
  </r>
  <r>
    <x v="6"/>
    <x v="112"/>
    <n v="583322.19999999995"/>
    <x v="0"/>
    <n v="44.99"/>
    <n v="3.75"/>
    <n v="197.41332589999999"/>
    <n v="8.2560000000000002"/>
  </r>
  <r>
    <x v="6"/>
    <x v="113"/>
    <n v="621425.98"/>
    <x v="0"/>
    <n v="44.29"/>
    <n v="3.8540000000000001"/>
    <n v="197.5971285"/>
    <n v="8.09"/>
  </r>
  <r>
    <x v="6"/>
    <x v="114"/>
    <n v="517420.23"/>
    <x v="0"/>
    <n v="41.43"/>
    <n v="3.9009999999999998"/>
    <n v="197.78093100000001"/>
    <n v="8.09"/>
  </r>
  <r>
    <x v="6"/>
    <x v="115"/>
    <n v="457340.06"/>
    <x v="0"/>
    <n v="39.299999999999997"/>
    <n v="3.9359999999999999"/>
    <n v="197.72273849999999"/>
    <n v="8.09"/>
  </r>
  <r>
    <x v="6"/>
    <x v="116"/>
    <n v="467827.75"/>
    <x v="0"/>
    <n v="51.49"/>
    <n v="3.927"/>
    <n v="197.664546"/>
    <n v="8.09"/>
  </r>
  <r>
    <x v="6"/>
    <x v="117"/>
    <n v="465198.89"/>
    <x v="0"/>
    <n v="45.38"/>
    <n v="3.903"/>
    <n v="197.60635339999999"/>
    <n v="8.09"/>
  </r>
  <r>
    <x v="6"/>
    <x v="118"/>
    <n v="460397.41"/>
    <x v="0"/>
    <n v="48.54"/>
    <n v="3.87"/>
    <n v="197.5481609"/>
    <n v="8.09"/>
  </r>
  <r>
    <x v="6"/>
    <x v="119"/>
    <n v="468428.3"/>
    <x v="0"/>
    <n v="49.41"/>
    <n v="3.8370000000000002"/>
    <n v="197.5553137"/>
    <n v="8.09"/>
  </r>
  <r>
    <x v="6"/>
    <x v="120"/>
    <n v="532739.77"/>
    <x v="0"/>
    <n v="50.6"/>
    <n v="3.8039999999999998"/>
    <n v="197.5886046"/>
    <n v="8.09"/>
  </r>
  <r>
    <x v="6"/>
    <x v="121"/>
    <n v="598495.02"/>
    <x v="0"/>
    <n v="55.06"/>
    <n v="3.7639999999999998"/>
    <n v="197.6218954"/>
    <n v="8.09"/>
  </r>
  <r>
    <x v="6"/>
    <x v="122"/>
    <n v="642963.75"/>
    <x v="0"/>
    <n v="63.07"/>
    <n v="3.7410000000000001"/>
    <n v="197.6551863"/>
    <n v="8.09"/>
  </r>
  <r>
    <x v="6"/>
    <x v="123"/>
    <n v="666942.02"/>
    <x v="0"/>
    <n v="59.33"/>
    <n v="3.7229999999999999"/>
    <n v="197.69229200000001"/>
    <n v="8.09"/>
  </r>
  <r>
    <x v="6"/>
    <x v="124"/>
    <n v="687344.68"/>
    <x v="0"/>
    <n v="63.69"/>
    <n v="3.7349999999999999"/>
    <n v="197.7389345"/>
    <n v="8.09"/>
  </r>
  <r>
    <x v="6"/>
    <x v="125"/>
    <n v="704335.41"/>
    <x v="0"/>
    <n v="68.84"/>
    <n v="3.6930000000000001"/>
    <n v="197.78557699999999"/>
    <n v="8.09"/>
  </r>
  <r>
    <x v="6"/>
    <x v="126"/>
    <n v="805642.61"/>
    <x v="0"/>
    <n v="64.67"/>
    <n v="3.6459999999999999"/>
    <n v="197.83221950000001"/>
    <n v="7.8719999999999999"/>
  </r>
  <r>
    <x v="6"/>
    <x v="127"/>
    <n v="694150.89"/>
    <x v="0"/>
    <n v="64.209999999999994"/>
    <n v="3.613"/>
    <n v="197.87886209999999"/>
    <n v="7.8719999999999999"/>
  </r>
  <r>
    <x v="6"/>
    <x v="128"/>
    <n v="686345.69"/>
    <x v="0"/>
    <n v="62.87"/>
    <n v="3.585"/>
    <n v="197.9290378"/>
    <n v="7.8719999999999999"/>
  </r>
  <r>
    <x v="6"/>
    <x v="129"/>
    <n v="686365.4"/>
    <x v="0"/>
    <n v="64.599999999999994"/>
    <n v="3.57"/>
    <n v="197.97921360000001"/>
    <n v="7.8719999999999999"/>
  </r>
  <r>
    <x v="6"/>
    <x v="130"/>
    <n v="680954.81"/>
    <x v="0"/>
    <n v="61.83"/>
    <n v="3.528"/>
    <n v="198.02938929999999"/>
    <n v="7.8719999999999999"/>
  </r>
  <r>
    <x v="6"/>
    <x v="131"/>
    <n v="675926.3"/>
    <x v="0"/>
    <n v="63.41"/>
    <n v="3.5089999999999999"/>
    <n v="198.0795651"/>
    <n v="7.8719999999999999"/>
  </r>
  <r>
    <x v="6"/>
    <x v="132"/>
    <n v="642450.4"/>
    <x v="0"/>
    <n v="59.66"/>
    <n v="3.5449999999999999"/>
    <n v="198.1001057"/>
    <n v="7.8719999999999999"/>
  </r>
  <r>
    <x v="6"/>
    <x v="133"/>
    <n v="609099.37"/>
    <x v="0"/>
    <n v="59.27"/>
    <n v="3.5579999999999998"/>
    <n v="198.09841990000001"/>
    <n v="7.8719999999999999"/>
  </r>
  <r>
    <x v="6"/>
    <x v="134"/>
    <n v="586467.16"/>
    <x v="0"/>
    <n v="60.46"/>
    <n v="3.556"/>
    <n v="198.09673409999999"/>
    <n v="7.8719999999999999"/>
  </r>
  <r>
    <x v="6"/>
    <x v="135"/>
    <n v="597876.55000000005"/>
    <x v="1"/>
    <n v="57.84"/>
    <n v="3.5960000000000001"/>
    <n v="198.0950484"/>
    <n v="7.8719999999999999"/>
  </r>
  <r>
    <x v="6"/>
    <x v="136"/>
    <n v="541120.19999999995"/>
    <x v="0"/>
    <n v="53.66"/>
    <n v="3.6589999999999998"/>
    <n v="198.12671839999999"/>
    <n v="7.8719999999999999"/>
  </r>
  <r>
    <x v="6"/>
    <x v="137"/>
    <n v="530842.25"/>
    <x v="0"/>
    <n v="51.77"/>
    <n v="3.7650000000000001"/>
    <n v="198.35852299999999"/>
    <n v="7.8719999999999999"/>
  </r>
  <r>
    <x v="6"/>
    <x v="138"/>
    <n v="525545.76"/>
    <x v="0"/>
    <n v="50.64"/>
    <n v="3.7890000000000001"/>
    <n v="198.59032759999999"/>
    <n v="7.8719999999999999"/>
  </r>
  <r>
    <x v="6"/>
    <x v="139"/>
    <n v="505830.56"/>
    <x v="0"/>
    <n v="48.43"/>
    <n v="3.7789999999999999"/>
    <n v="198.8221322"/>
    <n v="7.5570000000000004"/>
  </r>
  <r>
    <x v="6"/>
    <x v="140"/>
    <n v="503463.93"/>
    <x v="0"/>
    <n v="41.43"/>
    <n v="3.76"/>
    <n v="199.0539368"/>
    <n v="7.5570000000000004"/>
  </r>
  <r>
    <x v="6"/>
    <x v="141"/>
    <n v="516424.83"/>
    <x v="0"/>
    <n v="43.01"/>
    <n v="3.75"/>
    <n v="199.1481963"/>
    <n v="7.5570000000000004"/>
  </r>
  <r>
    <x v="6"/>
    <x v="142"/>
    <n v="495543.28"/>
    <x v="0"/>
    <n v="42.53"/>
    <n v="3.6859999999999999"/>
    <n v="199.2195317"/>
    <n v="7.5570000000000004"/>
  </r>
  <r>
    <x v="7"/>
    <x v="0"/>
    <n v="1004137.09"/>
    <x v="0"/>
    <n v="34.14"/>
    <n v="2.5720000000000001"/>
    <n v="214.47145119999999"/>
    <n v="6.2990000000000004"/>
  </r>
  <r>
    <x v="7"/>
    <x v="1"/>
    <n v="994801.4"/>
    <x v="1"/>
    <n v="33.340000000000003"/>
    <n v="2.548"/>
    <n v="214.62141890000001"/>
    <n v="6.2990000000000004"/>
  </r>
  <r>
    <x v="7"/>
    <x v="2"/>
    <n v="963960.37"/>
    <x v="0"/>
    <n v="39.1"/>
    <n v="2.5139999999999998"/>
    <n v="214.6664878"/>
    <n v="6.2990000000000004"/>
  </r>
  <r>
    <x v="7"/>
    <x v="3"/>
    <n v="847592.11"/>
    <x v="0"/>
    <n v="37.909999999999997"/>
    <n v="2.5609999999999999"/>
    <n v="214.6940735"/>
    <n v="6.2990000000000004"/>
  </r>
  <r>
    <x v="7"/>
    <x v="4"/>
    <n v="881503.95"/>
    <x v="0"/>
    <n v="45.64"/>
    <n v="2.625"/>
    <n v="214.7216592"/>
    <n v="6.2990000000000004"/>
  </r>
  <r>
    <x v="7"/>
    <x v="5"/>
    <n v="860336.16"/>
    <x v="0"/>
    <n v="49.76"/>
    <n v="2.6669999999999998"/>
    <n v="214.74924490000001"/>
    <n v="6.2990000000000004"/>
  </r>
  <r>
    <x v="7"/>
    <x v="6"/>
    <n v="839911"/>
    <x v="0"/>
    <n v="47.26"/>
    <n v="2.72"/>
    <n v="214.5764954"/>
    <n v="6.2990000000000004"/>
  </r>
  <r>
    <x v="7"/>
    <x v="7"/>
    <n v="772539.12"/>
    <x v="0"/>
    <n v="46.51"/>
    <n v="2.7320000000000002"/>
    <n v="214.3703567"/>
    <n v="6.2990000000000004"/>
  </r>
  <r>
    <x v="7"/>
    <x v="8"/>
    <n v="914500.91"/>
    <x v="0"/>
    <n v="60.18"/>
    <n v="2.7189999999999999"/>
    <n v="214.16421800000001"/>
    <n v="6.29"/>
  </r>
  <r>
    <x v="7"/>
    <x v="9"/>
    <n v="916033.92"/>
    <x v="0"/>
    <n v="59.25"/>
    <n v="2.77"/>
    <n v="213.95807930000001"/>
    <n v="6.29"/>
  </r>
  <r>
    <x v="7"/>
    <x v="10"/>
    <n v="882917.12"/>
    <x v="0"/>
    <n v="62.66"/>
    <n v="2.8079999999999998"/>
    <n v="213.81863569999999"/>
    <n v="6.29"/>
  </r>
  <r>
    <x v="7"/>
    <x v="11"/>
    <n v="850440.26"/>
    <x v="0"/>
    <n v="56.1"/>
    <n v="2.7949999999999999"/>
    <n v="213.76811900000001"/>
    <n v="6.29"/>
  </r>
  <r>
    <x v="7"/>
    <x v="12"/>
    <n v="778672.64000000001"/>
    <x v="0"/>
    <n v="61.01"/>
    <n v="2.78"/>
    <n v="213.7176024"/>
    <n v="6.29"/>
  </r>
  <r>
    <x v="7"/>
    <x v="13"/>
    <n v="916820.96"/>
    <x v="0"/>
    <n v="62.68"/>
    <n v="2.835"/>
    <n v="213.6670857"/>
    <n v="6.29"/>
  </r>
  <r>
    <x v="7"/>
    <x v="14"/>
    <n v="873337.84"/>
    <x v="0"/>
    <n v="61.35"/>
    <n v="2.8540000000000001"/>
    <n v="213.6655355"/>
    <n v="6.29"/>
  </r>
  <r>
    <x v="7"/>
    <x v="15"/>
    <n v="818333.21"/>
    <x v="0"/>
    <n v="66.03"/>
    <n v="2.8260000000000001"/>
    <n v="213.95778390000001"/>
    <n v="6.29"/>
  </r>
  <r>
    <x v="7"/>
    <x v="16"/>
    <n v="868041.56"/>
    <x v="0"/>
    <n v="74.709999999999994"/>
    <n v="2.7589999999999999"/>
    <n v="214.25003229999999"/>
    <n v="6.29"/>
  </r>
  <r>
    <x v="7"/>
    <x v="17"/>
    <n v="958225.41"/>
    <x v="0"/>
    <n v="75.709999999999994"/>
    <n v="2.7050000000000001"/>
    <n v="214.5422806"/>
    <n v="6.29"/>
  </r>
  <r>
    <x v="7"/>
    <x v="18"/>
    <n v="914835.86"/>
    <x v="0"/>
    <n v="82.21"/>
    <n v="2.6680000000000001"/>
    <n v="214.834529"/>
    <n v="6.29"/>
  </r>
  <r>
    <x v="7"/>
    <x v="19"/>
    <n v="869922.56"/>
    <x v="0"/>
    <n v="78.790000000000006"/>
    <n v="2.637"/>
    <n v="214.8324452"/>
    <n v="6.29"/>
  </r>
  <r>
    <x v="7"/>
    <x v="20"/>
    <n v="814919.11"/>
    <x v="0"/>
    <n v="81.78"/>
    <n v="2.653"/>
    <n v="214.71262859999999"/>
    <n v="6.29"/>
  </r>
  <r>
    <x v="7"/>
    <x v="21"/>
    <n v="852333.75"/>
    <x v="0"/>
    <n v="74.78"/>
    <n v="2.669"/>
    <n v="214.59281189999999"/>
    <n v="6.3150000000000004"/>
  </r>
  <r>
    <x v="7"/>
    <x v="22"/>
    <n v="845289.77"/>
    <x v="0"/>
    <n v="72.489999999999995"/>
    <n v="2.6419999999999999"/>
    <n v="214.47299520000001"/>
    <n v="6.3150000000000004"/>
  </r>
  <r>
    <x v="7"/>
    <x v="23"/>
    <n v="848630.57"/>
    <x v="0"/>
    <n v="77.489999999999995"/>
    <n v="2.6230000000000002"/>
    <n v="214.4640599"/>
    <n v="6.3150000000000004"/>
  </r>
  <r>
    <x v="7"/>
    <x v="24"/>
    <n v="785515.88"/>
    <x v="0"/>
    <n v="78.290000000000006"/>
    <n v="2.6080000000000001"/>
    <n v="214.60296640000001"/>
    <n v="6.3150000000000004"/>
  </r>
  <r>
    <x v="7"/>
    <x v="25"/>
    <n v="787295.09"/>
    <x v="0"/>
    <n v="76.02"/>
    <n v="2.64"/>
    <n v="214.74187280000001"/>
    <n v="6.3150000000000004"/>
  </r>
  <r>
    <x v="7"/>
    <x v="26"/>
    <n v="893399.77"/>
    <x v="0"/>
    <n v="80.37"/>
    <n v="2.6269999999999998"/>
    <n v="214.8807793"/>
    <n v="6.3150000000000004"/>
  </r>
  <r>
    <x v="7"/>
    <x v="27"/>
    <n v="867919.21"/>
    <x v="0"/>
    <n v="80.11"/>
    <n v="2.6920000000000002"/>
    <n v="215.0196857"/>
    <n v="6.3150000000000004"/>
  </r>
  <r>
    <x v="7"/>
    <x v="28"/>
    <n v="870676.44"/>
    <x v="0"/>
    <n v="79.36"/>
    <n v="2.6640000000000001"/>
    <n v="214.9779825"/>
    <n v="6.3150000000000004"/>
  </r>
  <r>
    <x v="7"/>
    <x v="29"/>
    <n v="888816.78"/>
    <x v="0"/>
    <n v="74.92"/>
    <n v="2.6190000000000002"/>
    <n v="214.9362793"/>
    <n v="6.3150000000000004"/>
  </r>
  <r>
    <x v="7"/>
    <x v="30"/>
    <n v="899036.47"/>
    <x v="0"/>
    <n v="76.14"/>
    <n v="2.577"/>
    <n v="214.894576"/>
    <n v="6.3150000000000004"/>
  </r>
  <r>
    <x v="7"/>
    <x v="31"/>
    <n v="831425.2"/>
    <x v="1"/>
    <n v="74.34"/>
    <n v="2.5649999999999999"/>
    <n v="214.8528728"/>
    <n v="6.3150000000000004"/>
  </r>
  <r>
    <x v="7"/>
    <x v="32"/>
    <n v="836707.85"/>
    <x v="0"/>
    <n v="75.319999999999993"/>
    <n v="2.5819999999999999"/>
    <n v="214.87855619999999"/>
    <n v="6.3150000000000004"/>
  </r>
  <r>
    <x v="7"/>
    <x v="33"/>
    <n v="773725.08"/>
    <x v="0"/>
    <n v="72.209999999999994"/>
    <n v="2.6240000000000001"/>
    <n v="214.9547795"/>
    <n v="6.3150000000000004"/>
  </r>
  <r>
    <x v="7"/>
    <x v="34"/>
    <n v="804105.49"/>
    <x v="0"/>
    <n v="68.7"/>
    <n v="2.6030000000000002"/>
    <n v="215.0310029"/>
    <n v="6.4329999999999998"/>
  </r>
  <r>
    <x v="7"/>
    <x v="35"/>
    <n v="870349.86"/>
    <x v="0"/>
    <n v="62.94"/>
    <n v="2.633"/>
    <n v="215.10722620000001"/>
    <n v="6.4329999999999998"/>
  </r>
  <r>
    <x v="7"/>
    <x v="36"/>
    <n v="826546.96"/>
    <x v="0"/>
    <n v="62.59"/>
    <n v="2.72"/>
    <n v="215.17570000000001"/>
    <n v="6.4329999999999998"/>
  </r>
  <r>
    <x v="7"/>
    <x v="37"/>
    <n v="836419.14"/>
    <x v="0"/>
    <n v="62.86"/>
    <n v="2.7250000000000001"/>
    <n v="215.22479999999999"/>
    <n v="6.4329999999999998"/>
  </r>
  <r>
    <x v="7"/>
    <x v="38"/>
    <n v="830756.76"/>
    <x v="0"/>
    <n v="57.93"/>
    <n v="2.7160000000000002"/>
    <n v="215.2739"/>
    <n v="6.4329999999999998"/>
  </r>
  <r>
    <x v="7"/>
    <x v="39"/>
    <n v="927266.34"/>
    <x v="0"/>
    <n v="55.76"/>
    <n v="2.6890000000000001"/>
    <n v="215.32300000000001"/>
    <n v="6.4329999999999998"/>
  </r>
  <r>
    <x v="7"/>
    <x v="40"/>
    <n v="911538.98"/>
    <x v="0"/>
    <n v="54.89"/>
    <n v="2.7280000000000002"/>
    <n v="215.37209999999999"/>
    <n v="6.4329999999999998"/>
  </r>
  <r>
    <x v="7"/>
    <x v="41"/>
    <n v="885608.04"/>
    <x v="0"/>
    <n v="43.86"/>
    <n v="2.7709999999999999"/>
    <n v="215.25387140000001"/>
    <n v="6.4329999999999998"/>
  </r>
  <r>
    <x v="7"/>
    <x v="42"/>
    <n v="1261693.1599999999"/>
    <x v="1"/>
    <n v="51.07"/>
    <n v="2.7349999999999999"/>
    <n v="215.10775480000001"/>
    <n v="6.4329999999999998"/>
  </r>
  <r>
    <x v="7"/>
    <x v="43"/>
    <n v="952766.93"/>
    <x v="0"/>
    <n v="42.85"/>
    <n v="2.7080000000000002"/>
    <n v="214.96163809999999"/>
    <n v="6.4329999999999998"/>
  </r>
  <r>
    <x v="7"/>
    <x v="44"/>
    <n v="1069061.6299999999"/>
    <x v="0"/>
    <n v="42.47"/>
    <n v="2.843"/>
    <n v="214.81552139999999"/>
    <n v="6.4329999999999998"/>
  </r>
  <r>
    <x v="7"/>
    <x v="45"/>
    <n v="1220579.55"/>
    <x v="0"/>
    <n v="45.03"/>
    <n v="2.8690000000000002"/>
    <n v="214.7510843"/>
    <n v="6.4329999999999998"/>
  </r>
  <r>
    <x v="7"/>
    <x v="46"/>
    <n v="1511641.09"/>
    <x v="0"/>
    <n v="45.67"/>
    <n v="2.8860000000000001"/>
    <n v="214.7479069"/>
    <n v="6.4329999999999998"/>
  </r>
  <r>
    <x v="7"/>
    <x v="47"/>
    <n v="773586.49"/>
    <x v="1"/>
    <n v="41.47"/>
    <n v="2.9430000000000001"/>
    <n v="214.74472950000001"/>
    <n v="6.4329999999999998"/>
  </r>
  <r>
    <x v="7"/>
    <x v="48"/>
    <n v="873065.23"/>
    <x v="0"/>
    <n v="35.770000000000003"/>
    <n v="2.976"/>
    <n v="214.74155210000001"/>
    <n v="6.2619999999999996"/>
  </r>
  <r>
    <x v="7"/>
    <x v="49"/>
    <n v="809646.66"/>
    <x v="0"/>
    <n v="31.62"/>
    <n v="2.9830000000000001"/>
    <n v="214.79309910000001"/>
    <n v="6.2619999999999996"/>
  </r>
  <r>
    <x v="7"/>
    <x v="50"/>
    <n v="822668.23"/>
    <x v="0"/>
    <n v="42.06"/>
    <n v="3.016"/>
    <n v="215.17299259999999"/>
    <n v="6.2619999999999996"/>
  </r>
  <r>
    <x v="7"/>
    <x v="51"/>
    <n v="782256.66"/>
    <x v="0"/>
    <n v="39.26"/>
    <n v="3.01"/>
    <n v="215.55288619999999"/>
    <n v="6.2619999999999996"/>
  </r>
  <r>
    <x v="7"/>
    <x v="52"/>
    <n v="944594.78"/>
    <x v="0"/>
    <n v="24.48"/>
    <n v="2.9889999999999999"/>
    <n v="215.9327797"/>
    <n v="6.2619999999999996"/>
  </r>
  <r>
    <x v="7"/>
    <x v="53"/>
    <n v="996147.39"/>
    <x v="1"/>
    <n v="28.26"/>
    <n v="3.0219999999999998"/>
    <n v="216.3126733"/>
    <n v="6.2619999999999996"/>
  </r>
  <r>
    <x v="7"/>
    <x v="54"/>
    <n v="1065108.6399999999"/>
    <x v="0"/>
    <n v="50.64"/>
    <n v="3.0449999999999999"/>
    <n v="216.6310383"/>
    <n v="6.2619999999999996"/>
  </r>
  <r>
    <x v="7"/>
    <x v="55"/>
    <n v="917317.15"/>
    <x v="0"/>
    <n v="51.29"/>
    <n v="3.0649999999999999"/>
    <n v="216.92479180000001"/>
    <n v="6.2619999999999996"/>
  </r>
  <r>
    <x v="7"/>
    <x v="56"/>
    <n v="935266.43"/>
    <x v="0"/>
    <n v="53.18"/>
    <n v="3.2879999999999998"/>
    <n v="217.21854540000001"/>
    <n v="6.2619999999999996"/>
  </r>
  <r>
    <x v="7"/>
    <x v="57"/>
    <n v="900387.29"/>
    <x v="0"/>
    <n v="49.14"/>
    <n v="3.4590000000000001"/>
    <n v="217.51229900000001"/>
    <n v="6.2619999999999996"/>
  </r>
  <r>
    <x v="7"/>
    <x v="58"/>
    <n v="898289.14"/>
    <x v="0"/>
    <n v="56.68"/>
    <n v="3.488"/>
    <n v="217.77054419999999"/>
    <n v="6.2619999999999996"/>
  </r>
  <r>
    <x v="7"/>
    <x v="59"/>
    <n v="827968.36"/>
    <x v="0"/>
    <n v="59.74"/>
    <n v="3.4729999999999999"/>
    <n v="218.0145862"/>
    <n v="6.2619999999999996"/>
  </r>
  <r>
    <x v="7"/>
    <x v="60"/>
    <n v="878762.3"/>
    <x v="0"/>
    <n v="49.86"/>
    <n v="3.524"/>
    <n v="218.25862810000001"/>
    <n v="6.2969999999999997"/>
  </r>
  <r>
    <x v="7"/>
    <x v="61"/>
    <n v="949825.83"/>
    <x v="0"/>
    <n v="65.62"/>
    <n v="3.6219999999999999"/>
    <n v="218.50266999999999"/>
    <n v="6.2969999999999997"/>
  </r>
  <r>
    <x v="7"/>
    <x v="62"/>
    <n v="908278.74"/>
    <x v="0"/>
    <n v="63.55"/>
    <n v="3.7429999999999999"/>
    <n v="218.72625239999999"/>
    <n v="6.2969999999999997"/>
  </r>
  <r>
    <x v="7"/>
    <x v="63"/>
    <n v="937473.13"/>
    <x v="0"/>
    <n v="65.11"/>
    <n v="3.8069999999999999"/>
    <n v="218.89868569999999"/>
    <n v="6.2969999999999997"/>
  </r>
  <r>
    <x v="7"/>
    <x v="64"/>
    <n v="855014.77"/>
    <x v="0"/>
    <n v="62.29"/>
    <n v="3.81"/>
    <n v="219.07111900000001"/>
    <n v="6.2969999999999997"/>
  </r>
  <r>
    <x v="7"/>
    <x v="65"/>
    <n v="941457.34"/>
    <x v="0"/>
    <n v="58.92"/>
    <n v="3.9060000000000001"/>
    <n v="219.2435524"/>
    <n v="6.2969999999999997"/>
  </r>
  <r>
    <x v="7"/>
    <x v="66"/>
    <n v="895763.41"/>
    <x v="0"/>
    <n v="72.959999999999994"/>
    <n v="3.899"/>
    <n v="219.41598569999999"/>
    <n v="6.2969999999999997"/>
  </r>
  <r>
    <x v="7"/>
    <x v="67"/>
    <n v="836049.89"/>
    <x v="0"/>
    <n v="65.540000000000006"/>
    <n v="3.907"/>
    <n v="219.17469220000001"/>
    <n v="6.2969999999999997"/>
  </r>
  <r>
    <x v="7"/>
    <x v="68"/>
    <n v="857939.41"/>
    <x v="0"/>
    <n v="73.14"/>
    <n v="3.786"/>
    <n v="218.9333986"/>
    <n v="6.2969999999999997"/>
  </r>
  <r>
    <x v="7"/>
    <x v="69"/>
    <n v="929222.16"/>
    <x v="0"/>
    <n v="82.05"/>
    <n v="3.6989999999999998"/>
    <n v="218.69210509999999"/>
    <n v="6.2969999999999997"/>
  </r>
  <r>
    <x v="7"/>
    <x v="70"/>
    <n v="897309.41"/>
    <x v="0"/>
    <n v="82.21"/>
    <n v="3.6480000000000001"/>
    <n v="218.45081149999999"/>
    <n v="6.2969999999999997"/>
  </r>
  <r>
    <x v="7"/>
    <x v="71"/>
    <n v="922048.41"/>
    <x v="0"/>
    <n v="84.73"/>
    <n v="3.637"/>
    <n v="218.4021448"/>
    <n v="6.2969999999999997"/>
  </r>
  <r>
    <x v="7"/>
    <x v="72"/>
    <n v="864881.24"/>
    <x v="0"/>
    <n v="83.94"/>
    <n v="3.5939999999999999"/>
    <n v="218.4979481"/>
    <n v="6.2969999999999997"/>
  </r>
  <r>
    <x v="7"/>
    <x v="73"/>
    <n v="883683.35"/>
    <x v="0"/>
    <n v="87.26"/>
    <n v="3.524"/>
    <n v="218.5937514"/>
    <n v="6.4249999999999998"/>
  </r>
  <r>
    <x v="7"/>
    <x v="74"/>
    <n v="861965.12"/>
    <x v="0"/>
    <n v="83.57"/>
    <n v="3.48"/>
    <n v="218.6895548"/>
    <n v="6.4249999999999998"/>
  </r>
  <r>
    <x v="7"/>
    <x v="75"/>
    <n v="849925.37"/>
    <x v="0"/>
    <n v="84.26"/>
    <n v="3.5750000000000002"/>
    <n v="218.77462170000001"/>
    <n v="6.4249999999999998"/>
  </r>
  <r>
    <x v="7"/>
    <x v="76"/>
    <n v="829902.42"/>
    <x v="0"/>
    <n v="85.46"/>
    <n v="3.6509999999999998"/>
    <n v="218.83284750000001"/>
    <n v="6.4249999999999998"/>
  </r>
  <r>
    <x v="7"/>
    <x v="77"/>
    <n v="807082.19"/>
    <x v="0"/>
    <n v="86.46"/>
    <n v="3.6819999999999999"/>
    <n v="218.89107329999999"/>
    <n v="6.4249999999999998"/>
  </r>
  <r>
    <x v="7"/>
    <x v="78"/>
    <n v="892393.77"/>
    <x v="0"/>
    <n v="85.15"/>
    <n v="3.6840000000000002"/>
    <n v="218.94929909999999"/>
    <n v="6.4249999999999998"/>
  </r>
  <r>
    <x v="7"/>
    <x v="79"/>
    <n v="856796.1"/>
    <x v="0"/>
    <n v="86.05"/>
    <n v="3.6379999999999999"/>
    <n v="219.00752489999999"/>
    <n v="6.4249999999999998"/>
  </r>
  <r>
    <x v="7"/>
    <x v="80"/>
    <n v="895066.5"/>
    <x v="0"/>
    <n v="82.92"/>
    <n v="3.5539999999999998"/>
    <n v="219.07019679999999"/>
    <n v="6.4249999999999998"/>
  </r>
  <r>
    <x v="7"/>
    <x v="81"/>
    <n v="912542.82"/>
    <x v="0"/>
    <n v="84.69"/>
    <n v="3.5230000000000001"/>
    <n v="219.13360969999999"/>
    <n v="6.4249999999999998"/>
  </r>
  <r>
    <x v="7"/>
    <x v="82"/>
    <n v="891387.14"/>
    <x v="0"/>
    <n v="84.77"/>
    <n v="3.5329999999999999"/>
    <n v="219.1970226"/>
    <n v="6.4249999999999998"/>
  </r>
  <r>
    <x v="7"/>
    <x v="83"/>
    <n v="848358.09"/>
    <x v="1"/>
    <n v="69.010000000000005"/>
    <n v="3.5459999999999998"/>
    <n v="219.2604355"/>
    <n v="6.4249999999999998"/>
  </r>
  <r>
    <x v="7"/>
    <x v="84"/>
    <n v="870971.82"/>
    <x v="0"/>
    <n v="69.09"/>
    <n v="3.5259999999999998"/>
    <n v="219.44424430000001"/>
    <n v="6.4249999999999998"/>
  </r>
  <r>
    <x v="7"/>
    <x v="85"/>
    <n v="806444.29"/>
    <x v="0"/>
    <n v="68.72"/>
    <n v="3.4670000000000001"/>
    <n v="219.78858099999999"/>
    <n v="6.4249999999999998"/>
  </r>
  <r>
    <x v="7"/>
    <x v="86"/>
    <n v="809049.37"/>
    <x v="0"/>
    <n v="72.2"/>
    <n v="3.355"/>
    <n v="220.13291760000001"/>
    <n v="6.4249999999999998"/>
  </r>
  <r>
    <x v="7"/>
    <x v="87"/>
    <n v="929976.55"/>
    <x v="0"/>
    <n v="67.61"/>
    <n v="3.2850000000000001"/>
    <n v="220.4772543"/>
    <n v="6.1230000000000002"/>
  </r>
  <r>
    <x v="7"/>
    <x v="88"/>
    <n v="863188.26"/>
    <x v="0"/>
    <n v="61.74"/>
    <n v="3.274"/>
    <n v="220.79609350000001"/>
    <n v="6.1230000000000002"/>
  </r>
  <r>
    <x v="7"/>
    <x v="89"/>
    <n v="905984.49"/>
    <x v="0"/>
    <n v="59.97"/>
    <n v="3.3530000000000002"/>
    <n v="220.96194840000001"/>
    <n v="6.1230000000000002"/>
  </r>
  <r>
    <x v="7"/>
    <x v="90"/>
    <n v="876712.31"/>
    <x v="0"/>
    <n v="56.86"/>
    <n v="3.3719999999999999"/>
    <n v="221.12780319999999"/>
    <n v="6.1230000000000002"/>
  </r>
  <r>
    <x v="7"/>
    <x v="91"/>
    <n v="947815.05"/>
    <x v="0"/>
    <n v="49.68"/>
    <n v="3.3319999999999999"/>
    <n v="221.29365809999999"/>
    <n v="6.1230000000000002"/>
  </r>
  <r>
    <x v="7"/>
    <x v="92"/>
    <n v="917088.48"/>
    <x v="0"/>
    <n v="50.56"/>
    <n v="3.2970000000000002"/>
    <n v="221.45951289999999"/>
    <n v="6.1230000000000002"/>
  </r>
  <r>
    <x v="7"/>
    <x v="93"/>
    <n v="897032.19"/>
    <x v="0"/>
    <n v="51.72"/>
    <n v="3.3079999999999998"/>
    <n v="221.6911738"/>
    <n v="6.1230000000000002"/>
  </r>
  <r>
    <x v="7"/>
    <x v="94"/>
    <n v="1235163.8600000001"/>
    <x v="1"/>
    <n v="49.61"/>
    <n v="3.2360000000000002"/>
    <n v="221.94915710000001"/>
    <n v="6.1230000000000002"/>
  </r>
  <r>
    <x v="7"/>
    <x v="95"/>
    <n v="986601.46"/>
    <x v="0"/>
    <n v="40.82"/>
    <n v="3.1720000000000002"/>
    <n v="222.20714050000001"/>
    <n v="6.1230000000000002"/>
  </r>
  <r>
    <x v="7"/>
    <x v="96"/>
    <n v="1051922.95"/>
    <x v="0"/>
    <n v="30.51"/>
    <n v="3.1579999999999999"/>
    <n v="222.46512379999999"/>
    <n v="6.1230000000000002"/>
  </r>
  <r>
    <x v="7"/>
    <x v="97"/>
    <n v="1118163.94"/>
    <x v="0"/>
    <n v="39.79"/>
    <n v="3.1589999999999998"/>
    <n v="222.69109589999999"/>
    <n v="6.1230000000000002"/>
  </r>
  <r>
    <x v="7"/>
    <x v="98"/>
    <n v="1462254.05"/>
    <x v="0"/>
    <n v="38.159999999999997"/>
    <n v="3.1120000000000001"/>
    <n v="222.8743862"/>
    <n v="6.1230000000000002"/>
  </r>
  <r>
    <x v="7"/>
    <x v="99"/>
    <n v="858572.22"/>
    <x v="1"/>
    <n v="36.33"/>
    <n v="3.129"/>
    <n v="223.05767650000001"/>
    <n v="6.1230000000000002"/>
  </r>
  <r>
    <x v="7"/>
    <x v="100"/>
    <n v="872113.23"/>
    <x v="0"/>
    <n v="43.47"/>
    <n v="3.157"/>
    <n v="223.2409668"/>
    <n v="5.8250000000000002"/>
  </r>
  <r>
    <x v="7"/>
    <x v="101"/>
    <n v="817661.76"/>
    <x v="0"/>
    <n v="36.46"/>
    <n v="3.2610000000000001"/>
    <n v="223.42425710000001"/>
    <n v="5.8250000000000002"/>
  </r>
  <r>
    <x v="7"/>
    <x v="102"/>
    <n v="813954.82"/>
    <x v="0"/>
    <n v="46.81"/>
    <n v="3.2679999999999998"/>
    <n v="223.51880550000001"/>
    <n v="5.8250000000000002"/>
  </r>
  <r>
    <x v="7"/>
    <x v="103"/>
    <n v="778178.53"/>
    <x v="0"/>
    <n v="45.52"/>
    <n v="3.29"/>
    <n v="223.61335389999999"/>
    <n v="5.8250000000000002"/>
  </r>
  <r>
    <x v="7"/>
    <x v="104"/>
    <n v="927610.69"/>
    <x v="0"/>
    <n v="45.56"/>
    <n v="3.36"/>
    <n v="223.7079023"/>
    <n v="5.8250000000000002"/>
  </r>
  <r>
    <x v="7"/>
    <x v="105"/>
    <n v="1021400.42"/>
    <x v="1"/>
    <n v="35.71"/>
    <n v="3.4089999999999998"/>
    <n v="223.80245070000001"/>
    <n v="5.8250000000000002"/>
  </r>
  <r>
    <x v="7"/>
    <x v="106"/>
    <n v="1096232.8899999999"/>
    <x v="0"/>
    <n v="37.51"/>
    <n v="3.51"/>
    <n v="223.96586210000001"/>
    <n v="5.8250000000000002"/>
  </r>
  <r>
    <x v="7"/>
    <x v="107"/>
    <n v="928537.54"/>
    <x v="0"/>
    <n v="46.33"/>
    <n v="3.5550000000000002"/>
    <n v="224.1809207"/>
    <n v="5.8250000000000002"/>
  </r>
  <r>
    <x v="7"/>
    <x v="108"/>
    <n v="952264.91"/>
    <x v="0"/>
    <n v="50.95"/>
    <n v="3.63"/>
    <n v="224.39597929999999"/>
    <n v="5.8250000000000002"/>
  </r>
  <r>
    <x v="7"/>
    <x v="109"/>
    <n v="960115.56"/>
    <x v="0"/>
    <n v="49.59"/>
    <n v="3.669"/>
    <n v="224.61103790000001"/>
    <n v="5.8250000000000002"/>
  </r>
  <r>
    <x v="7"/>
    <x v="110"/>
    <n v="921178.39"/>
    <x v="0"/>
    <n v="56.63"/>
    <n v="3.734"/>
    <n v="224.7657327"/>
    <n v="5.8250000000000002"/>
  </r>
  <r>
    <x v="7"/>
    <x v="111"/>
    <n v="874223.25"/>
    <x v="0"/>
    <n v="52.9"/>
    <n v="3.7869999999999999"/>
    <n v="224.83994240000001"/>
    <n v="5.8250000000000002"/>
  </r>
  <r>
    <x v="7"/>
    <x v="112"/>
    <n v="905935.29"/>
    <x v="0"/>
    <n v="66.69"/>
    <n v="3.8450000000000002"/>
    <n v="224.9141521"/>
    <n v="5.8250000000000002"/>
  </r>
  <r>
    <x v="7"/>
    <x v="113"/>
    <n v="1046816.59"/>
    <x v="0"/>
    <n v="62.18"/>
    <n v="3.891"/>
    <n v="224.98836180000001"/>
    <n v="5.6790000000000003"/>
  </r>
  <r>
    <x v="7"/>
    <x v="114"/>
    <n v="909989.45"/>
    <x v="0"/>
    <n v="65.19"/>
    <n v="3.891"/>
    <n v="225.0625714"/>
    <n v="5.6790000000000003"/>
  </r>
  <r>
    <x v="7"/>
    <x v="115"/>
    <n v="872288.46"/>
    <x v="0"/>
    <n v="63.59"/>
    <n v="3.8769999999999998"/>
    <n v="225.11799139999999"/>
    <n v="5.6790000000000003"/>
  </r>
  <r>
    <x v="7"/>
    <x v="116"/>
    <n v="879448.25"/>
    <x v="0"/>
    <n v="70.34"/>
    <n v="3.8140000000000001"/>
    <n v="225.17341139999999"/>
    <n v="5.6790000000000003"/>
  </r>
  <r>
    <x v="7"/>
    <x v="117"/>
    <n v="937232.09"/>
    <x v="0"/>
    <n v="73.959999999999994"/>
    <n v="3.7490000000000001"/>
    <n v="225.22883139999999"/>
    <n v="5.6790000000000003"/>
  </r>
  <r>
    <x v="7"/>
    <x v="118"/>
    <n v="920128.89"/>
    <x v="0"/>
    <n v="64.959999999999994"/>
    <n v="3.6880000000000002"/>
    <n v="225.28425139999999"/>
    <n v="5.6790000000000003"/>
  </r>
  <r>
    <x v="7"/>
    <x v="119"/>
    <n v="913922.01"/>
    <x v="0"/>
    <n v="64.16"/>
    <n v="3.63"/>
    <n v="225.3002908"/>
    <n v="5.6790000000000003"/>
  </r>
  <r>
    <x v="7"/>
    <x v="120"/>
    <n v="895157.44"/>
    <x v="0"/>
    <n v="76.11"/>
    <n v="3.5609999999999999"/>
    <n v="225.30057790000001"/>
    <n v="5.6790000000000003"/>
  </r>
  <r>
    <x v="7"/>
    <x v="121"/>
    <n v="921161.2"/>
    <x v="0"/>
    <n v="78.31"/>
    <n v="3.5009999999999999"/>
    <n v="225.30086499999999"/>
    <n v="5.6790000000000003"/>
  </r>
  <r>
    <x v="7"/>
    <x v="122"/>
    <n v="928820"/>
    <x v="0"/>
    <n v="74.28"/>
    <n v="3.452"/>
    <n v="225.3011521"/>
    <n v="5.6790000000000003"/>
  </r>
  <r>
    <x v="7"/>
    <x v="123"/>
    <n v="916918.7"/>
    <x v="0"/>
    <n v="77.14"/>
    <n v="3.3929999999999998"/>
    <n v="225.3134743"/>
    <n v="5.6790000000000003"/>
  </r>
  <r>
    <x v="7"/>
    <x v="124"/>
    <n v="899449.65"/>
    <x v="0"/>
    <n v="78.849999999999994"/>
    <n v="3.3460000000000001"/>
    <n v="225.35588430000001"/>
    <n v="5.6790000000000003"/>
  </r>
  <r>
    <x v="7"/>
    <x v="125"/>
    <n v="878298.22"/>
    <x v="0"/>
    <n v="84.47"/>
    <n v="3.286"/>
    <n v="225.3982943"/>
    <n v="5.6790000000000003"/>
  </r>
  <r>
    <x v="7"/>
    <x v="126"/>
    <n v="936205.5"/>
    <x v="0"/>
    <n v="81.239999999999995"/>
    <n v="3.2269999999999999"/>
    <n v="225.44070429999999"/>
    <n v="5.4009999999999998"/>
  </r>
  <r>
    <x v="7"/>
    <x v="127"/>
    <n v="890488.01"/>
    <x v="0"/>
    <n v="78.459999999999994"/>
    <n v="3.2559999999999998"/>
    <n v="225.48311430000001"/>
    <n v="5.4009999999999998"/>
  </r>
  <r>
    <x v="7"/>
    <x v="128"/>
    <n v="888834.07"/>
    <x v="0"/>
    <n v="79.94"/>
    <n v="3.3109999999999999"/>
    <n v="225.49300779999999"/>
    <n v="5.4009999999999998"/>
  </r>
  <r>
    <x v="7"/>
    <x v="129"/>
    <n v="838227.52"/>
    <x v="0"/>
    <n v="81.709999999999994"/>
    <n v="3.407"/>
    <n v="225.50290140000001"/>
    <n v="5.4009999999999998"/>
  </r>
  <r>
    <x v="7"/>
    <x v="130"/>
    <n v="897076.73"/>
    <x v="0"/>
    <n v="85.06"/>
    <n v="3.4169999999999998"/>
    <n v="225.51279489999999"/>
    <n v="5.4009999999999998"/>
  </r>
  <r>
    <x v="7"/>
    <x v="131"/>
    <n v="930745.69"/>
    <x v="0"/>
    <n v="83.74"/>
    <n v="3.4940000000000002"/>
    <n v="225.52268849999999"/>
    <n v="5.4009999999999998"/>
  </r>
  <r>
    <x v="7"/>
    <x v="132"/>
    <n v="896613.19"/>
    <x v="0"/>
    <n v="81.209999999999994"/>
    <n v="3.5710000000000002"/>
    <n v="225.6050797"/>
    <n v="5.4009999999999998"/>
  </r>
  <r>
    <x v="7"/>
    <x v="133"/>
    <n v="936373.65"/>
    <x v="0"/>
    <n v="73.77"/>
    <n v="3.62"/>
    <n v="225.7418442"/>
    <n v="5.4009999999999998"/>
  </r>
  <r>
    <x v="7"/>
    <x v="134"/>
    <n v="976137.73"/>
    <x v="0"/>
    <n v="75.33"/>
    <n v="3.6379999999999999"/>
    <n v="225.87860879999999"/>
    <n v="5.4009999999999998"/>
  </r>
  <r>
    <x v="7"/>
    <x v="135"/>
    <n v="932160.37"/>
    <x v="1"/>
    <n v="80.87"/>
    <n v="3.73"/>
    <n v="226.01537329999999"/>
    <n v="5.4009999999999998"/>
  </r>
  <r>
    <x v="7"/>
    <x v="136"/>
    <n v="883569.38"/>
    <x v="0"/>
    <n v="67.209999999999994"/>
    <n v="3.7170000000000001"/>
    <n v="226.16159809999999"/>
    <n v="5.4009999999999998"/>
  </r>
  <r>
    <x v="7"/>
    <x v="137"/>
    <n v="857796.45"/>
    <x v="0"/>
    <n v="66.959999999999994"/>
    <n v="3.7210000000000001"/>
    <n v="226.36458479999999"/>
    <n v="5.4009999999999998"/>
  </r>
  <r>
    <x v="7"/>
    <x v="138"/>
    <n v="884724.41"/>
    <x v="0"/>
    <n v="71.099999999999994"/>
    <n v="3.6659999999999999"/>
    <n v="226.56757139999999"/>
    <n v="5.4009999999999998"/>
  </r>
  <r>
    <x v="7"/>
    <x v="139"/>
    <n v="976436.02"/>
    <x v="0"/>
    <n v="61.41"/>
    <n v="3.617"/>
    <n v="226.77055809999999"/>
    <n v="5.1239999999999997"/>
  </r>
  <r>
    <x v="7"/>
    <x v="140"/>
    <n v="927511.99"/>
    <x v="0"/>
    <n v="55.03"/>
    <n v="3.601"/>
    <n v="226.97354480000001"/>
    <n v="5.1239999999999997"/>
  </r>
  <r>
    <x v="7"/>
    <x v="141"/>
    <n v="900309.75"/>
    <x v="0"/>
    <n v="62.99"/>
    <n v="3.5939999999999999"/>
    <n v="227.01841659999999"/>
    <n v="5.1239999999999997"/>
  </r>
  <r>
    <x v="7"/>
    <x v="142"/>
    <n v="891671.44"/>
    <x v="0"/>
    <n v="64.739999999999995"/>
    <n v="3.5059999999999998"/>
    <n v="227.0369359"/>
    <n v="5.1239999999999997"/>
  </r>
  <r>
    <x v="8"/>
    <x v="0"/>
    <n v="549505.55000000005"/>
    <x v="0"/>
    <n v="38.01"/>
    <n v="2.5720000000000001"/>
    <n v="214.6554591"/>
    <n v="6.415"/>
  </r>
  <r>
    <x v="8"/>
    <x v="1"/>
    <n v="552677.48"/>
    <x v="1"/>
    <n v="37.08"/>
    <n v="2.548"/>
    <n v="214.80565340000001"/>
    <n v="6.415"/>
  </r>
  <r>
    <x v="8"/>
    <x v="2"/>
    <n v="511327.9"/>
    <x v="0"/>
    <n v="43.06"/>
    <n v="2.5139999999999998"/>
    <n v="214.8506185"/>
    <n v="6.415"/>
  </r>
  <r>
    <x v="8"/>
    <x v="3"/>
    <n v="473773.27"/>
    <x v="0"/>
    <n v="43.83"/>
    <n v="2.5609999999999999"/>
    <n v="214.8780453"/>
    <n v="6.415"/>
  </r>
  <r>
    <x v="8"/>
    <x v="4"/>
    <n v="507297.88"/>
    <x v="0"/>
    <n v="48.43"/>
    <n v="2.625"/>
    <n v="214.9054721"/>
    <n v="6.415"/>
  </r>
  <r>
    <x v="8"/>
    <x v="5"/>
    <n v="494145.8"/>
    <x v="0"/>
    <n v="55.76"/>
    <n v="2.6669999999999998"/>
    <n v="214.93289899999999"/>
    <n v="6.415"/>
  </r>
  <r>
    <x v="8"/>
    <x v="6"/>
    <n v="485744.61"/>
    <x v="0"/>
    <n v="53.15"/>
    <n v="2.72"/>
    <n v="214.7597274"/>
    <n v="6.415"/>
  </r>
  <r>
    <x v="8"/>
    <x v="7"/>
    <n v="484946.56"/>
    <x v="0"/>
    <n v="51.8"/>
    <n v="2.7320000000000002"/>
    <n v="214.55312269999999"/>
    <n v="6.415"/>
  </r>
  <r>
    <x v="8"/>
    <x v="8"/>
    <n v="545206.31999999995"/>
    <x v="0"/>
    <n v="65.209999999999994"/>
    <n v="2.7189999999999999"/>
    <n v="214.3465181"/>
    <n v="6.3840000000000003"/>
  </r>
  <r>
    <x v="8"/>
    <x v="9"/>
    <n v="529384.31000000006"/>
    <x v="0"/>
    <n v="64.95"/>
    <n v="2.77"/>
    <n v="214.13991350000001"/>
    <n v="6.3840000000000003"/>
  </r>
  <r>
    <x v="8"/>
    <x v="10"/>
    <n v="485764.32"/>
    <x v="0"/>
    <n v="66.09"/>
    <n v="2.8079999999999998"/>
    <n v="214.00018170000001"/>
    <n v="6.3840000000000003"/>
  </r>
  <r>
    <x v="8"/>
    <x v="11"/>
    <n v="488683.57"/>
    <x v="0"/>
    <n v="61.26"/>
    <n v="2.7949999999999999"/>
    <n v="213.94961380000001"/>
    <n v="6.3840000000000003"/>
  </r>
  <r>
    <x v="8"/>
    <x v="12"/>
    <n v="491723.42"/>
    <x v="0"/>
    <n v="66.069999999999993"/>
    <n v="2.78"/>
    <n v="213.8990459"/>
    <n v="6.3840000000000003"/>
  </r>
  <r>
    <x v="8"/>
    <x v="13"/>
    <n v="526128.61"/>
    <x v="0"/>
    <n v="68.58"/>
    <n v="2.835"/>
    <n v="213.848478"/>
    <n v="6.3840000000000003"/>
  </r>
  <r>
    <x v="8"/>
    <x v="14"/>
    <n v="492792.8"/>
    <x v="0"/>
    <n v="70.53"/>
    <n v="2.8540000000000001"/>
    <n v="213.8469819"/>
    <n v="6.3840000000000003"/>
  </r>
  <r>
    <x v="8"/>
    <x v="15"/>
    <n v="506274.94"/>
    <x v="0"/>
    <n v="71.5"/>
    <n v="2.8260000000000001"/>
    <n v="214.13991619999999"/>
    <n v="6.3840000000000003"/>
  </r>
  <r>
    <x v="8"/>
    <x v="16"/>
    <n v="558143.53"/>
    <x v="0"/>
    <n v="77.12"/>
    <n v="2.7589999999999999"/>
    <n v="214.4328505"/>
    <n v="6.3840000000000003"/>
  </r>
  <r>
    <x v="8"/>
    <x v="17"/>
    <n v="586061.46"/>
    <x v="0"/>
    <n v="79.650000000000006"/>
    <n v="2.7050000000000001"/>
    <n v="214.72578480000001"/>
    <n v="6.3840000000000003"/>
  </r>
  <r>
    <x v="8"/>
    <x v="18"/>
    <n v="522715.68"/>
    <x v="0"/>
    <n v="83.75"/>
    <n v="2.6680000000000001"/>
    <n v="215.0187191"/>
    <n v="6.3840000000000003"/>
  </r>
  <r>
    <x v="8"/>
    <x v="19"/>
    <n v="513073.87"/>
    <x v="0"/>
    <n v="82.99"/>
    <n v="2.637"/>
    <n v="215.01664840000001"/>
    <n v="6.3840000000000003"/>
  </r>
  <r>
    <x v="8"/>
    <x v="20"/>
    <n v="509263.28"/>
    <x v="0"/>
    <n v="85.02"/>
    <n v="2.653"/>
    <n v="214.89657560000001"/>
    <n v="6.3840000000000003"/>
  </r>
  <r>
    <x v="8"/>
    <x v="21"/>
    <n v="528832.54"/>
    <x v="0"/>
    <n v="78.55"/>
    <n v="2.669"/>
    <n v="214.7765028"/>
    <n v="6.4420000000000002"/>
  </r>
  <r>
    <x v="8"/>
    <x v="22"/>
    <n v="485389.15"/>
    <x v="0"/>
    <n v="78.510000000000005"/>
    <n v="2.6419999999999999"/>
    <n v="214.65643009999999"/>
    <n v="6.4420000000000002"/>
  </r>
  <r>
    <x v="8"/>
    <x v="23"/>
    <n v="474030.51"/>
    <x v="0"/>
    <n v="82.93"/>
    <n v="2.6230000000000002"/>
    <n v="214.64744529999999"/>
    <n v="6.4420000000000002"/>
  </r>
  <r>
    <x v="8"/>
    <x v="24"/>
    <n v="462676.5"/>
    <x v="0"/>
    <n v="84.49"/>
    <n v="2.6080000000000001"/>
    <n v="214.7865779"/>
    <n v="6.4420000000000002"/>
  </r>
  <r>
    <x v="8"/>
    <x v="25"/>
    <n v="468675.19"/>
    <x v="0"/>
    <n v="79.83"/>
    <n v="2.64"/>
    <n v="214.92571050000001"/>
    <n v="6.4420000000000002"/>
  </r>
  <r>
    <x v="8"/>
    <x v="26"/>
    <n v="522815.45"/>
    <x v="0"/>
    <n v="87.09"/>
    <n v="2.6269999999999998"/>
    <n v="215.064843"/>
    <n v="6.4420000000000002"/>
  </r>
  <r>
    <x v="8"/>
    <x v="27"/>
    <n v="481897.98"/>
    <x v="0"/>
    <n v="86.85"/>
    <n v="2.6920000000000002"/>
    <n v="215.20397560000001"/>
    <n v="6.4420000000000002"/>
  </r>
  <r>
    <x v="8"/>
    <x v="28"/>
    <n v="499325.38"/>
    <x v="0"/>
    <n v="86.3"/>
    <n v="2.6640000000000001"/>
    <n v="215.1619646"/>
    <n v="6.4420000000000002"/>
  </r>
  <r>
    <x v="8"/>
    <x v="29"/>
    <n v="506789.66"/>
    <x v="0"/>
    <n v="84.01"/>
    <n v="2.6190000000000002"/>
    <n v="215.1199536"/>
    <n v="6.4420000000000002"/>
  </r>
  <r>
    <x v="8"/>
    <x v="30"/>
    <n v="511049.06"/>
    <x v="0"/>
    <n v="82.47"/>
    <n v="2.577"/>
    <n v="215.0779426"/>
    <n v="6.4420000000000002"/>
  </r>
  <r>
    <x v="8"/>
    <x v="31"/>
    <n v="484835.2"/>
    <x v="1"/>
    <n v="77.7"/>
    <n v="2.5649999999999999"/>
    <n v="215.0359315"/>
    <n v="6.4420000000000002"/>
  </r>
  <r>
    <x v="8"/>
    <x v="32"/>
    <n v="463448.59"/>
    <x v="0"/>
    <n v="81.19"/>
    <n v="2.5819999999999999"/>
    <n v="215.06152850000001"/>
    <n v="6.4420000000000002"/>
  </r>
  <r>
    <x v="8"/>
    <x v="33"/>
    <n v="452905.22"/>
    <x v="0"/>
    <n v="77.150000000000006"/>
    <n v="2.6240000000000001"/>
    <n v="215.13783129999999"/>
    <n v="6.4420000000000002"/>
  </r>
  <r>
    <x v="8"/>
    <x v="34"/>
    <n v="495692.19"/>
    <x v="0"/>
    <n v="69.08"/>
    <n v="2.6030000000000002"/>
    <n v="215.2141341"/>
    <n v="6.56"/>
  </r>
  <r>
    <x v="8"/>
    <x v="35"/>
    <n v="505069.21"/>
    <x v="0"/>
    <n v="65.349999999999994"/>
    <n v="2.633"/>
    <n v="215.290437"/>
    <n v="6.56"/>
  </r>
  <r>
    <x v="8"/>
    <x v="36"/>
    <n v="454769.68"/>
    <x v="0"/>
    <n v="67.36"/>
    <n v="2.72"/>
    <n v="215.35899169999999"/>
    <n v="6.56"/>
  </r>
  <r>
    <x v="8"/>
    <x v="37"/>
    <n v="466322.76"/>
    <x v="0"/>
    <n v="69.989999999999995"/>
    <n v="2.7250000000000001"/>
    <n v="215.40817620000001"/>
    <n v="6.56"/>
  </r>
  <r>
    <x v="8"/>
    <x v="38"/>
    <n v="508801.61"/>
    <x v="0"/>
    <n v="64.430000000000007"/>
    <n v="2.7160000000000002"/>
    <n v="215.45736070000001"/>
    <n v="6.56"/>
  </r>
  <r>
    <x v="8"/>
    <x v="39"/>
    <n v="517869.97"/>
    <x v="0"/>
    <n v="58.69"/>
    <n v="2.6890000000000001"/>
    <n v="215.50654520000001"/>
    <n v="6.56"/>
  </r>
  <r>
    <x v="8"/>
    <x v="40"/>
    <n v="520846.68"/>
    <x v="0"/>
    <n v="61.59"/>
    <n v="2.7280000000000002"/>
    <n v="215.5557297"/>
    <n v="6.56"/>
  </r>
  <r>
    <x v="8"/>
    <x v="41"/>
    <n v="519823.3"/>
    <x v="0"/>
    <n v="49.96"/>
    <n v="2.7709999999999999"/>
    <n v="215.43728540000001"/>
    <n v="6.56"/>
  </r>
  <r>
    <x v="8"/>
    <x v="42"/>
    <n v="768070.53"/>
    <x v="1"/>
    <n v="60.18"/>
    <n v="2.7349999999999999"/>
    <n v="215.2909028"/>
    <n v="6.56"/>
  </r>
  <r>
    <x v="8"/>
    <x v="43"/>
    <n v="578164.81999999995"/>
    <x v="0"/>
    <n v="49.89"/>
    <n v="2.7080000000000002"/>
    <n v="215.14452030000001"/>
    <n v="6.56"/>
  </r>
  <r>
    <x v="8"/>
    <x v="44"/>
    <n v="618121.81999999995"/>
    <x v="0"/>
    <n v="46.1"/>
    <n v="2.843"/>
    <n v="214.99813779999999"/>
    <n v="6.56"/>
  </r>
  <r>
    <x v="8"/>
    <x v="45"/>
    <n v="685243.2"/>
    <x v="0"/>
    <n v="49.7"/>
    <n v="2.8690000000000002"/>
    <n v="214.93349370000001"/>
    <n v="6.56"/>
  </r>
  <r>
    <x v="8"/>
    <x v="46"/>
    <n v="873347.55"/>
    <x v="0"/>
    <n v="50.93"/>
    <n v="2.8860000000000001"/>
    <n v="214.93015339999999"/>
    <n v="6.56"/>
  </r>
  <r>
    <x v="8"/>
    <x v="47"/>
    <n v="459770.85"/>
    <x v="1"/>
    <n v="45.92"/>
    <n v="2.9430000000000001"/>
    <n v="214.9268131"/>
    <n v="6.56"/>
  </r>
  <r>
    <x v="8"/>
    <x v="48"/>
    <n v="490981.78"/>
    <x v="0"/>
    <n v="41.82"/>
    <n v="2.976"/>
    <n v="214.92347290000001"/>
    <n v="6.4160000000000004"/>
  </r>
  <r>
    <x v="8"/>
    <x v="49"/>
    <n v="458086.69"/>
    <x v="0"/>
    <n v="36.43"/>
    <n v="2.9830000000000001"/>
    <n v="214.9749587"/>
    <n v="6.4160000000000004"/>
  </r>
  <r>
    <x v="8"/>
    <x v="50"/>
    <n v="454021.69"/>
    <x v="0"/>
    <n v="44.72"/>
    <n v="3.016"/>
    <n v="215.35540130000001"/>
    <n v="6.4160000000000004"/>
  </r>
  <r>
    <x v="8"/>
    <x v="51"/>
    <n v="463561.48"/>
    <x v="0"/>
    <n v="43.9"/>
    <n v="3.01"/>
    <n v="215.7358438"/>
    <n v="6.4160000000000004"/>
  </r>
  <r>
    <x v="8"/>
    <x v="52"/>
    <n v="544612.28"/>
    <x v="0"/>
    <n v="31.82"/>
    <n v="2.9889999999999999"/>
    <n v="216.11628640000001"/>
    <n v="6.4160000000000004"/>
  </r>
  <r>
    <x v="8"/>
    <x v="53"/>
    <n v="555279.02"/>
    <x v="1"/>
    <n v="34.130000000000003"/>
    <n v="3.0219999999999998"/>
    <n v="216.49672899999999"/>
    <n v="6.4160000000000004"/>
  </r>
  <r>
    <x v="8"/>
    <x v="54"/>
    <n v="610985.56000000006"/>
    <x v="0"/>
    <n v="58.5"/>
    <n v="3.0449999999999999"/>
    <n v="216.81548559999999"/>
    <n v="6.4160000000000004"/>
  </r>
  <r>
    <x v="8"/>
    <x v="55"/>
    <n v="513107.20000000001"/>
    <x v="0"/>
    <n v="59.01"/>
    <n v="3.0649999999999999"/>
    <n v="217.1095679"/>
    <n v="6.4160000000000004"/>
  </r>
  <r>
    <x v="8"/>
    <x v="56"/>
    <n v="542016.18000000005"/>
    <x v="0"/>
    <n v="60.67"/>
    <n v="3.2879999999999998"/>
    <n v="217.40365030000001"/>
    <n v="6.4160000000000004"/>
  </r>
  <r>
    <x v="8"/>
    <x v="57"/>
    <n v="517783.5"/>
    <x v="0"/>
    <n v="54.75"/>
    <n v="3.4590000000000001"/>
    <n v="217.69773259999999"/>
    <n v="6.4160000000000004"/>
  </r>
  <r>
    <x v="8"/>
    <x v="58"/>
    <n v="515226.11"/>
    <x v="0"/>
    <n v="63.82"/>
    <n v="3.488"/>
    <n v="217.95633710000001"/>
    <n v="6.4160000000000004"/>
  </r>
  <r>
    <x v="8"/>
    <x v="59"/>
    <n v="497488.4"/>
    <x v="0"/>
    <n v="68.790000000000006"/>
    <n v="3.4729999999999999"/>
    <n v="218.20075059999999"/>
    <n v="6.4160000000000004"/>
  </r>
  <r>
    <x v="8"/>
    <x v="60"/>
    <n v="520962.14"/>
    <x v="0"/>
    <n v="56.12"/>
    <n v="3.524"/>
    <n v="218.44516400000001"/>
    <n v="6.38"/>
  </r>
  <r>
    <x v="8"/>
    <x v="61"/>
    <n v="561625.92000000004"/>
    <x v="0"/>
    <n v="71.400000000000006"/>
    <n v="3.6219999999999999"/>
    <n v="218.68957750000001"/>
    <n v="6.38"/>
  </r>
  <r>
    <x v="8"/>
    <x v="62"/>
    <n v="528420.28"/>
    <x v="0"/>
    <n v="71.900000000000006"/>
    <n v="3.7429999999999999"/>
    <n v="218.91349349999999"/>
    <n v="6.38"/>
  </r>
  <r>
    <x v="8"/>
    <x v="63"/>
    <n v="549502.11"/>
    <x v="0"/>
    <n v="72.349999999999994"/>
    <n v="3.8069999999999999"/>
    <n v="219.0861659"/>
    <n v="6.38"/>
  </r>
  <r>
    <x v="8"/>
    <x v="64"/>
    <n v="532226.19999999995"/>
    <x v="0"/>
    <n v="70.849999999999994"/>
    <n v="3.81"/>
    <n v="219.25883820000001"/>
    <n v="6.38"/>
  </r>
  <r>
    <x v="8"/>
    <x v="65"/>
    <n v="545251.1"/>
    <x v="0"/>
    <n v="62.2"/>
    <n v="3.9060000000000001"/>
    <n v="219.4315106"/>
    <n v="6.38"/>
  </r>
  <r>
    <x v="8"/>
    <x v="66"/>
    <n v="539126"/>
    <x v="0"/>
    <n v="77.66"/>
    <n v="3.899"/>
    <n v="219.60418290000001"/>
    <n v="6.38"/>
  </r>
  <r>
    <x v="8"/>
    <x v="67"/>
    <n v="518266.9"/>
    <x v="0"/>
    <n v="70.489999999999995"/>
    <n v="3.907"/>
    <n v="219.3622809"/>
    <n v="6.38"/>
  </r>
  <r>
    <x v="8"/>
    <x v="68"/>
    <n v="553834.04"/>
    <x v="0"/>
    <n v="80.42"/>
    <n v="3.786"/>
    <n v="219.1203788"/>
    <n v="6.38"/>
  </r>
  <r>
    <x v="8"/>
    <x v="69"/>
    <n v="587004.29"/>
    <x v="0"/>
    <n v="85.8"/>
    <n v="3.6989999999999998"/>
    <n v="218.87847679999999"/>
    <n v="6.38"/>
  </r>
  <r>
    <x v="8"/>
    <x v="70"/>
    <n v="550076.31999999995"/>
    <x v="0"/>
    <n v="85.81"/>
    <n v="3.6480000000000001"/>
    <n v="218.63657470000001"/>
    <n v="6.38"/>
  </r>
  <r>
    <x v="8"/>
    <x v="71"/>
    <n v="558671.14"/>
    <x v="0"/>
    <n v="89.15"/>
    <n v="3.637"/>
    <n v="218.5877333"/>
    <n v="6.38"/>
  </r>
  <r>
    <x v="8"/>
    <x v="72"/>
    <n v="538745.93000000005"/>
    <x v="0"/>
    <n v="86.74"/>
    <n v="3.5939999999999999"/>
    <n v="218.6836874"/>
    <n v="6.38"/>
  </r>
  <r>
    <x v="8"/>
    <x v="73"/>
    <n v="537064.03"/>
    <x v="0"/>
    <n v="89.14"/>
    <n v="3.524"/>
    <n v="218.7796415"/>
    <n v="6.4039999999999999"/>
  </r>
  <r>
    <x v="8"/>
    <x v="74"/>
    <n v="535983.13"/>
    <x v="0"/>
    <n v="89.04"/>
    <n v="3.48"/>
    <n v="218.8755955"/>
    <n v="6.4039999999999999"/>
  </r>
  <r>
    <x v="8"/>
    <x v="75"/>
    <n v="512834.04"/>
    <x v="0"/>
    <n v="90.45"/>
    <n v="3.5750000000000002"/>
    <n v="218.96072419999999"/>
    <n v="6.4039999999999999"/>
  </r>
  <r>
    <x v="8"/>
    <x v="76"/>
    <n v="491449.94"/>
    <x v="0"/>
    <n v="89.08"/>
    <n v="3.6509999999999998"/>
    <n v="219.0187895"/>
    <n v="6.4039999999999999"/>
  </r>
  <r>
    <x v="8"/>
    <x v="77"/>
    <n v="471449.98"/>
    <x v="0"/>
    <n v="91.1"/>
    <n v="3.6819999999999999"/>
    <n v="219.07685480000001"/>
    <n v="6.4039999999999999"/>
  </r>
  <r>
    <x v="8"/>
    <x v="78"/>
    <n v="554879.67000000004"/>
    <x v="0"/>
    <n v="91.52"/>
    <n v="3.6840000000000002"/>
    <n v="219.13492009999999"/>
    <n v="6.4039999999999999"/>
  </r>
  <r>
    <x v="8"/>
    <x v="79"/>
    <n v="520284.79"/>
    <x v="0"/>
    <n v="91.63"/>
    <n v="3.6379999999999999"/>
    <n v="219.1929854"/>
    <n v="6.4039999999999999"/>
  </r>
  <r>
    <x v="8"/>
    <x v="80"/>
    <n v="540819.43999999994"/>
    <x v="0"/>
    <n v="85.8"/>
    <n v="3.5539999999999998"/>
    <n v="219.25561089999999"/>
    <n v="6.4039999999999999"/>
  </r>
  <r>
    <x v="8"/>
    <x v="81"/>
    <n v="542663.53"/>
    <x v="0"/>
    <n v="88.95"/>
    <n v="3.5230000000000001"/>
    <n v="219.3189965"/>
    <n v="6.4039999999999999"/>
  </r>
  <r>
    <x v="8"/>
    <x v="82"/>
    <n v="544643.32999999996"/>
    <x v="0"/>
    <n v="89.33"/>
    <n v="3.5329999999999999"/>
    <n v="219.38238200000001"/>
    <n v="6.4039999999999999"/>
  </r>
  <r>
    <x v="8"/>
    <x v="83"/>
    <n v="528784.86"/>
    <x v="1"/>
    <n v="75.650000000000006"/>
    <n v="3.5459999999999998"/>
    <n v="219.44576749999999"/>
    <n v="6.4039999999999999"/>
  </r>
  <r>
    <x v="8"/>
    <x v="84"/>
    <n v="500274.03"/>
    <x v="0"/>
    <n v="77.95"/>
    <n v="3.5259999999999998"/>
    <n v="219.62978409999999"/>
    <n v="6.4039999999999999"/>
  </r>
  <r>
    <x v="8"/>
    <x v="85"/>
    <n v="506743.78"/>
    <x v="0"/>
    <n v="74.42"/>
    <n v="3.4670000000000001"/>
    <n v="219.9746423"/>
    <n v="6.4039999999999999"/>
  </r>
  <r>
    <x v="8"/>
    <x v="86"/>
    <n v="508567.03999999998"/>
    <x v="0"/>
    <n v="78.45"/>
    <n v="3.355"/>
    <n v="220.31950040000001"/>
    <n v="6.4039999999999999"/>
  </r>
  <r>
    <x v="8"/>
    <x v="87"/>
    <n v="553836.98"/>
    <x v="0"/>
    <n v="72.62"/>
    <n v="3.2850000000000001"/>
    <n v="220.66435849999999"/>
    <n v="6.0540000000000003"/>
  </r>
  <r>
    <x v="8"/>
    <x v="88"/>
    <n v="529515.66"/>
    <x v="0"/>
    <n v="67.27"/>
    <n v="3.274"/>
    <n v="220.98368489999999"/>
    <n v="6.0540000000000003"/>
  </r>
  <r>
    <x v="8"/>
    <x v="89"/>
    <n v="557075.21"/>
    <x v="0"/>
    <n v="65.459999999999994"/>
    <n v="3.3530000000000002"/>
    <n v="221.1498206"/>
    <n v="6.0540000000000003"/>
  </r>
  <r>
    <x v="8"/>
    <x v="90"/>
    <n v="548527.49"/>
    <x v="0"/>
    <n v="63.96"/>
    <n v="3.3719999999999999"/>
    <n v="221.31595630000001"/>
    <n v="6.0540000000000003"/>
  </r>
  <r>
    <x v="8"/>
    <x v="91"/>
    <n v="597855.06999999995"/>
    <x v="0"/>
    <n v="54.46"/>
    <n v="3.3319999999999999"/>
    <n v="221.48209209999999"/>
    <n v="6.0540000000000003"/>
  </r>
  <r>
    <x v="8"/>
    <x v="92"/>
    <n v="594574.12"/>
    <x v="0"/>
    <n v="58.28"/>
    <n v="3.2970000000000002"/>
    <n v="221.6482278"/>
    <n v="6.0540000000000003"/>
  </r>
  <r>
    <x v="8"/>
    <x v="93"/>
    <n v="542414.27"/>
    <x v="0"/>
    <n v="58.8"/>
    <n v="3.3079999999999998"/>
    <n v="221.88039230000001"/>
    <n v="6.0540000000000003"/>
  </r>
  <r>
    <x v="8"/>
    <x v="94"/>
    <n v="814753.5"/>
    <x v="1"/>
    <n v="54.32"/>
    <n v="3.2360000000000002"/>
    <n v="222.13896829999999"/>
    <n v="6.0540000000000003"/>
  </r>
  <r>
    <x v="8"/>
    <x v="95"/>
    <n v="613115.21"/>
    <x v="0"/>
    <n v="46.84"/>
    <n v="3.1720000000000002"/>
    <n v="222.39754429999999"/>
    <n v="6.0540000000000003"/>
  </r>
  <r>
    <x v="8"/>
    <x v="96"/>
    <n v="630327.28"/>
    <x v="0"/>
    <n v="37.65"/>
    <n v="3.1579999999999999"/>
    <n v="222.6561203"/>
    <n v="6.0540000000000003"/>
  </r>
  <r>
    <x v="8"/>
    <x v="97"/>
    <n v="705557.97"/>
    <x v="0"/>
    <n v="47.31"/>
    <n v="3.1589999999999998"/>
    <n v="222.88254839999999"/>
    <n v="6.0540000000000003"/>
  </r>
  <r>
    <x v="8"/>
    <x v="98"/>
    <n v="905324.68"/>
    <x v="0"/>
    <n v="44.43"/>
    <n v="3.1120000000000001"/>
    <n v="223.0661125"/>
    <n v="6.0540000000000003"/>
  </r>
  <r>
    <x v="8"/>
    <x v="99"/>
    <n v="549788.36"/>
    <x v="1"/>
    <n v="43.41"/>
    <n v="3.129"/>
    <n v="223.24967659999999"/>
    <n v="6.0540000000000003"/>
  </r>
  <r>
    <x v="8"/>
    <x v="100"/>
    <n v="519585.67"/>
    <x v="0"/>
    <n v="47.54"/>
    <n v="3.157"/>
    <n v="223.43324079999999"/>
    <n v="5.6669999999999998"/>
  </r>
  <r>
    <x v="8"/>
    <x v="101"/>
    <n v="474964.6"/>
    <x v="0"/>
    <n v="42.44"/>
    <n v="3.2610000000000001"/>
    <n v="223.61680490000001"/>
    <n v="5.6669999999999998"/>
  </r>
  <r>
    <x v="8"/>
    <x v="102"/>
    <n v="480130.04"/>
    <x v="0"/>
    <n v="51.56"/>
    <n v="3.2679999999999998"/>
    <n v="223.71142879999999"/>
    <n v="5.6669999999999998"/>
  </r>
  <r>
    <x v="8"/>
    <x v="103"/>
    <n v="482451.21"/>
    <x v="0"/>
    <n v="49.38"/>
    <n v="3.29"/>
    <n v="223.80605270000001"/>
    <n v="5.6669999999999998"/>
  </r>
  <r>
    <x v="8"/>
    <x v="104"/>
    <n v="549967.89"/>
    <x v="0"/>
    <n v="54.43"/>
    <n v="3.36"/>
    <n v="223.9006766"/>
    <n v="5.6669999999999998"/>
  </r>
  <r>
    <x v="8"/>
    <x v="105"/>
    <n v="609736.12"/>
    <x v="1"/>
    <n v="44.03"/>
    <n v="3.4089999999999998"/>
    <n v="223.99530060000001"/>
    <n v="5.6669999999999998"/>
  </r>
  <r>
    <x v="8"/>
    <x v="106"/>
    <n v="658965.05000000005"/>
    <x v="0"/>
    <n v="43.81"/>
    <n v="3.51"/>
    <n v="224.1588663"/>
    <n v="5.6669999999999998"/>
  </r>
  <r>
    <x v="8"/>
    <x v="107"/>
    <n v="563578.79"/>
    <x v="0"/>
    <n v="53.67"/>
    <n v="3.5550000000000002"/>
    <n v="224.37413839999999"/>
    <n v="5.6669999999999998"/>
  </r>
  <r>
    <x v="8"/>
    <x v="108"/>
    <n v="619498.28"/>
    <x v="0"/>
    <n v="57.2"/>
    <n v="3.63"/>
    <n v="224.58941039999999"/>
    <n v="5.6669999999999998"/>
  </r>
  <r>
    <x v="8"/>
    <x v="109"/>
    <n v="574955.94999999995"/>
    <x v="0"/>
    <n v="54.03"/>
    <n v="3.669"/>
    <n v="224.80468250000001"/>
    <n v="5.6669999999999998"/>
  </r>
  <r>
    <x v="8"/>
    <x v="110"/>
    <n v="550373.56999999995"/>
    <x v="0"/>
    <n v="59.94"/>
    <n v="3.734"/>
    <n v="224.9594902"/>
    <n v="5.6669999999999998"/>
  </r>
  <r>
    <x v="8"/>
    <x v="111"/>
    <n v="550791.31999999995"/>
    <x v="0"/>
    <n v="58.79"/>
    <n v="3.7869999999999999"/>
    <n v="225.0336786"/>
    <n v="5.6669999999999998"/>
  </r>
  <r>
    <x v="8"/>
    <x v="112"/>
    <n v="574985.37"/>
    <x v="0"/>
    <n v="67.87"/>
    <n v="3.8450000000000002"/>
    <n v="225.107867"/>
    <n v="5.6669999999999998"/>
  </r>
  <r>
    <x v="8"/>
    <x v="113"/>
    <n v="677885.99"/>
    <x v="0"/>
    <n v="68.83"/>
    <n v="3.891"/>
    <n v="225.18205549999999"/>
    <n v="5.5389999999999997"/>
  </r>
  <r>
    <x v="8"/>
    <x v="114"/>
    <n v="578539.86"/>
    <x v="0"/>
    <n v="69.19"/>
    <n v="3.891"/>
    <n v="225.25624389999999"/>
    <n v="5.5389999999999997"/>
  </r>
  <r>
    <x v="8"/>
    <x v="115"/>
    <n v="542819.03"/>
    <x v="0"/>
    <n v="68.040000000000006"/>
    <n v="3.8769999999999998"/>
    <n v="225.3117488"/>
    <n v="5.5389999999999997"/>
  </r>
  <r>
    <x v="8"/>
    <x v="116"/>
    <n v="550414.99"/>
    <x v="0"/>
    <n v="73.069999999999993"/>
    <n v="3.8140000000000001"/>
    <n v="225.36725369999999"/>
    <n v="5.5389999999999997"/>
  </r>
  <r>
    <x v="8"/>
    <x v="117"/>
    <n v="586289.07999999996"/>
    <x v="0"/>
    <n v="78.98"/>
    <n v="3.7490000000000001"/>
    <n v="225.42275849999999"/>
    <n v="5.5389999999999997"/>
  </r>
  <r>
    <x v="8"/>
    <x v="118"/>
    <n v="592572.30000000005"/>
    <x v="0"/>
    <n v="70.94"/>
    <n v="3.6880000000000002"/>
    <n v="225.4782634"/>
    <n v="5.5389999999999997"/>
  </r>
  <r>
    <x v="8"/>
    <x v="119"/>
    <n v="571463.93000000005"/>
    <x v="0"/>
    <n v="69.52"/>
    <n v="3.63"/>
    <n v="225.49424980000001"/>
    <n v="5.5389999999999997"/>
  </r>
  <r>
    <x v="8"/>
    <x v="120"/>
    <n v="547226"/>
    <x v="0"/>
    <n v="79.69"/>
    <n v="3.5609999999999999"/>
    <n v="225.49442880000001"/>
    <n v="5.5389999999999997"/>
  </r>
  <r>
    <x v="8"/>
    <x v="121"/>
    <n v="583648.59"/>
    <x v="0"/>
    <n v="80.260000000000005"/>
    <n v="3.5009999999999999"/>
    <n v="225.49460780000001"/>
    <n v="5.5389999999999997"/>
  </r>
  <r>
    <x v="8"/>
    <x v="122"/>
    <n v="582525.42000000004"/>
    <x v="0"/>
    <n v="78.91"/>
    <n v="3.452"/>
    <n v="225.49478680000001"/>
    <n v="5.5389999999999997"/>
  </r>
  <r>
    <x v="8"/>
    <x v="123"/>
    <n v="564606.1"/>
    <x v="0"/>
    <n v="82.21"/>
    <n v="3.3929999999999998"/>
    <n v="225.50706339999999"/>
    <n v="5.5389999999999997"/>
  </r>
  <r>
    <x v="8"/>
    <x v="124"/>
    <n v="562173.12"/>
    <x v="0"/>
    <n v="81.05"/>
    <n v="3.3460000000000001"/>
    <n v="225.5495841"/>
    <n v="5.5389999999999997"/>
  </r>
  <r>
    <x v="8"/>
    <x v="125"/>
    <n v="544770.69999999995"/>
    <x v="0"/>
    <n v="87.18"/>
    <n v="3.286"/>
    <n v="225.59210490000001"/>
    <n v="5.5389999999999997"/>
  </r>
  <r>
    <x v="8"/>
    <x v="126"/>
    <n v="578790.36"/>
    <x v="0"/>
    <n v="84.15"/>
    <n v="3.2269999999999999"/>
    <n v="225.63462559999999"/>
    <n v="5.2770000000000001"/>
  </r>
  <r>
    <x v="8"/>
    <x v="127"/>
    <n v="536537.64"/>
    <x v="0"/>
    <n v="82.39"/>
    <n v="3.2559999999999998"/>
    <n v="225.6771463"/>
    <n v="5.2770000000000001"/>
  </r>
  <r>
    <x v="8"/>
    <x v="128"/>
    <n v="513991.57"/>
    <x v="0"/>
    <n v="83.39"/>
    <n v="3.3109999999999999"/>
    <n v="225.68711210000001"/>
    <n v="5.2770000000000001"/>
  </r>
  <r>
    <x v="8"/>
    <x v="129"/>
    <n v="495951"/>
    <x v="0"/>
    <n v="86.41"/>
    <n v="3.407"/>
    <n v="225.69707790000001"/>
    <n v="5.2770000000000001"/>
  </r>
  <r>
    <x v="8"/>
    <x v="130"/>
    <n v="533887.54"/>
    <x v="0"/>
    <n v="90.23"/>
    <n v="3.4169999999999998"/>
    <n v="225.70704370000001"/>
    <n v="5.2770000000000001"/>
  </r>
  <r>
    <x v="8"/>
    <x v="131"/>
    <n v="538713.47"/>
    <x v="0"/>
    <n v="88.66"/>
    <n v="3.4940000000000002"/>
    <n v="225.71700939999999"/>
    <n v="5.2770000000000001"/>
  </r>
  <r>
    <x v="8"/>
    <x v="132"/>
    <n v="535153.47"/>
    <x v="0"/>
    <n v="86.37"/>
    <n v="3.5710000000000002"/>
    <n v="225.79953230000001"/>
    <n v="5.2770000000000001"/>
  </r>
  <r>
    <x v="8"/>
    <x v="133"/>
    <n v="572887.78"/>
    <x v="0"/>
    <n v="77.900000000000006"/>
    <n v="3.62"/>
    <n v="225.93647290000001"/>
    <n v="5.2770000000000001"/>
  </r>
  <r>
    <x v="8"/>
    <x v="134"/>
    <n v="576879.15"/>
    <x v="0"/>
    <n v="80.709999999999994"/>
    <n v="3.6379999999999999"/>
    <n v="226.07341349999999"/>
    <n v="5.2770000000000001"/>
  </r>
  <r>
    <x v="8"/>
    <x v="135"/>
    <n v="565812.29"/>
    <x v="1"/>
    <n v="87.93"/>
    <n v="3.73"/>
    <n v="226.21035409999999"/>
    <n v="5.2770000000000001"/>
  </r>
  <r>
    <x v="8"/>
    <x v="136"/>
    <n v="523427.35"/>
    <x v="0"/>
    <n v="73.55"/>
    <n v="3.7170000000000001"/>
    <n v="226.35675449999999"/>
    <n v="5.2770000000000001"/>
  </r>
  <r>
    <x v="8"/>
    <x v="137"/>
    <n v="533756.88"/>
    <x v="0"/>
    <n v="69.92"/>
    <n v="3.7210000000000001"/>
    <n v="226.5599138"/>
    <n v="5.2770000000000001"/>
  </r>
  <r>
    <x v="8"/>
    <x v="138"/>
    <n v="516361.06"/>
    <x v="0"/>
    <n v="76.8"/>
    <n v="3.6659999999999999"/>
    <n v="226.76307320000001"/>
    <n v="5.2770000000000001"/>
  </r>
  <r>
    <x v="8"/>
    <x v="139"/>
    <n v="606755.30000000005"/>
    <x v="0"/>
    <n v="66.61"/>
    <n v="3.617"/>
    <n v="226.96623249999999"/>
    <n v="4.9539999999999997"/>
  </r>
  <r>
    <x v="8"/>
    <x v="140"/>
    <n v="558464.80000000005"/>
    <x v="0"/>
    <n v="60.09"/>
    <n v="3.601"/>
    <n v="227.16939189999999"/>
    <n v="4.9539999999999997"/>
  </r>
  <r>
    <x v="8"/>
    <x v="141"/>
    <n v="542009.46"/>
    <x v="0"/>
    <n v="68.010000000000005"/>
    <n v="3.5939999999999999"/>
    <n v="227.21428800000001"/>
    <n v="4.9539999999999997"/>
  </r>
  <r>
    <x v="8"/>
    <x v="142"/>
    <n v="549731.49"/>
    <x v="0"/>
    <n v="69.52"/>
    <n v="3.5059999999999998"/>
    <n v="227.23280679999999"/>
    <n v="4.9539999999999997"/>
  </r>
  <r>
    <x v="9"/>
    <x v="0"/>
    <n v="2193048.75"/>
    <x v="0"/>
    <n v="54.34"/>
    <n v="2.9620000000000002"/>
    <n v="126.4420645"/>
    <n v="9.7650000000000006"/>
  </r>
  <r>
    <x v="9"/>
    <x v="1"/>
    <n v="2176028.52"/>
    <x v="1"/>
    <n v="49.96"/>
    <n v="2.8279999999999998"/>
    <n v="126.49625810000001"/>
    <n v="9.7650000000000006"/>
  </r>
  <r>
    <x v="9"/>
    <x v="2"/>
    <n v="2113432.58"/>
    <x v="0"/>
    <n v="58.22"/>
    <n v="2.915"/>
    <n v="126.5262857"/>
    <n v="9.7650000000000006"/>
  </r>
  <r>
    <x v="9"/>
    <x v="3"/>
    <n v="2006774.96"/>
    <x v="0"/>
    <n v="52.77"/>
    <n v="2.8250000000000002"/>
    <n v="126.5522857"/>
    <n v="9.7650000000000006"/>
  </r>
  <r>
    <x v="9"/>
    <x v="4"/>
    <n v="1987090.09"/>
    <x v="0"/>
    <n v="55.92"/>
    <n v="2.8769999999999998"/>
    <n v="126.5782857"/>
    <n v="9.7650000000000006"/>
  </r>
  <r>
    <x v="9"/>
    <x v="5"/>
    <n v="1941346.13"/>
    <x v="0"/>
    <n v="52.33"/>
    <n v="3.0339999999999998"/>
    <n v="126.60428570000001"/>
    <n v="9.7650000000000006"/>
  </r>
  <r>
    <x v="9"/>
    <x v="6"/>
    <n v="1946875.06"/>
    <x v="0"/>
    <n v="61.46"/>
    <n v="3.0539999999999998"/>
    <n v="126.6066452"/>
    <n v="9.7650000000000006"/>
  </r>
  <r>
    <x v="9"/>
    <x v="7"/>
    <n v="1893532.46"/>
    <x v="0"/>
    <n v="60.05"/>
    <n v="2.98"/>
    <n v="126.6050645"/>
    <n v="9.7650000000000006"/>
  </r>
  <r>
    <x v="9"/>
    <x v="8"/>
    <n v="2138651.9700000002"/>
    <x v="0"/>
    <n v="63.66"/>
    <n v="3.0859999999999999"/>
    <n v="126.6034839"/>
    <n v="9.5239999999999991"/>
  </r>
  <r>
    <x v="9"/>
    <x v="9"/>
    <n v="2041069.37"/>
    <x v="0"/>
    <n v="65.290000000000006"/>
    <n v="3.004"/>
    <n v="126.6019032"/>
    <n v="9.5239999999999991"/>
  </r>
  <r>
    <x v="9"/>
    <x v="10"/>
    <n v="1826241.44"/>
    <x v="0"/>
    <n v="69.739999999999995"/>
    <n v="3.109"/>
    <n v="126.5621"/>
    <n v="9.5239999999999991"/>
  </r>
  <r>
    <x v="9"/>
    <x v="11"/>
    <n v="1829521.83"/>
    <x v="0"/>
    <n v="66.42"/>
    <n v="3.05"/>
    <n v="126.4713333"/>
    <n v="9.5239999999999991"/>
  </r>
  <r>
    <x v="9"/>
    <x v="12"/>
    <n v="1790694.59"/>
    <x v="0"/>
    <n v="69.760000000000005"/>
    <n v="3.105"/>
    <n v="126.3805667"/>
    <n v="9.5239999999999991"/>
  </r>
  <r>
    <x v="9"/>
    <x v="13"/>
    <n v="1921432.16"/>
    <x v="0"/>
    <n v="71.06"/>
    <n v="3.1269999999999998"/>
    <n v="126.2898"/>
    <n v="9.5239999999999991"/>
  </r>
  <r>
    <x v="9"/>
    <x v="14"/>
    <n v="1808056.41"/>
    <x v="0"/>
    <n v="73.88"/>
    <n v="3.145"/>
    <n v="126.2085484"/>
    <n v="9.5239999999999991"/>
  </r>
  <r>
    <x v="9"/>
    <x v="15"/>
    <n v="1847613.58"/>
    <x v="0"/>
    <n v="78.319999999999993"/>
    <n v="3.12"/>
    <n v="126.1843871"/>
    <n v="9.5239999999999991"/>
  </r>
  <r>
    <x v="9"/>
    <x v="16"/>
    <n v="1904618.17"/>
    <x v="0"/>
    <n v="76.67"/>
    <n v="3.0579999999999998"/>
    <n v="126.16022580000001"/>
    <n v="9.5239999999999991"/>
  </r>
  <r>
    <x v="9"/>
    <x v="17"/>
    <n v="1931406.28"/>
    <x v="0"/>
    <n v="82.82"/>
    <n v="2.9409999999999998"/>
    <n v="126.1360645"/>
    <n v="9.5239999999999991"/>
  </r>
  <r>
    <x v="9"/>
    <x v="18"/>
    <n v="1827521.71"/>
    <x v="0"/>
    <n v="89.67"/>
    <n v="3.0569999999999999"/>
    <n v="126.1119032"/>
    <n v="9.5239999999999991"/>
  </r>
  <r>
    <x v="9"/>
    <x v="19"/>
    <n v="1837636.24"/>
    <x v="0"/>
    <n v="83.49"/>
    <n v="2.9350000000000001"/>
    <n v="126.114"/>
    <n v="9.5239999999999991"/>
  </r>
  <r>
    <x v="9"/>
    <x v="20"/>
    <n v="1768172.31"/>
    <x v="0"/>
    <n v="90.32"/>
    <n v="3.0840000000000001"/>
    <n v="126.1266"/>
    <n v="9.5239999999999991"/>
  </r>
  <r>
    <x v="9"/>
    <x v="21"/>
    <n v="1845893.87"/>
    <x v="0"/>
    <n v="92.89"/>
    <n v="2.9780000000000002"/>
    <n v="126.1392"/>
    <n v="9.1989999999999998"/>
  </r>
  <r>
    <x v="9"/>
    <x v="22"/>
    <n v="1769793.37"/>
    <x v="0"/>
    <n v="91.03"/>
    <n v="3.1"/>
    <n v="126.15179999999999"/>
    <n v="9.1989999999999998"/>
  </r>
  <r>
    <x v="9"/>
    <x v="23"/>
    <n v="1828052.47"/>
    <x v="0"/>
    <n v="91.8"/>
    <n v="2.9710000000000001"/>
    <n v="126.1498065"/>
    <n v="9.1989999999999998"/>
  </r>
  <r>
    <x v="9"/>
    <x v="24"/>
    <n v="1831676.03"/>
    <x v="0"/>
    <n v="88.44"/>
    <n v="3.1120000000000001"/>
    <n v="126.1283548"/>
    <n v="9.1989999999999998"/>
  </r>
  <r>
    <x v="9"/>
    <x v="25"/>
    <n v="1832664.03"/>
    <x v="0"/>
    <n v="85.03"/>
    <n v="3.0169999999999999"/>
    <n v="126.1069032"/>
    <n v="9.1989999999999998"/>
  </r>
  <r>
    <x v="9"/>
    <x v="26"/>
    <n v="1949236.09"/>
    <x v="0"/>
    <n v="86.13"/>
    <n v="3.1230000000000002"/>
    <n v="126.0854516"/>
    <n v="9.1989999999999998"/>
  </r>
  <r>
    <x v="9"/>
    <x v="27"/>
    <n v="1962996.7"/>
    <x v="0"/>
    <n v="88.37"/>
    <n v="3.0489999999999999"/>
    <n v="126.06399999999999"/>
    <n v="9.1989999999999998"/>
  </r>
  <r>
    <x v="9"/>
    <x v="28"/>
    <n v="1983190.56"/>
    <x v="0"/>
    <n v="89.88"/>
    <n v="3.0409999999999999"/>
    <n v="126.0766452"/>
    <n v="9.1989999999999998"/>
  </r>
  <r>
    <x v="9"/>
    <x v="29"/>
    <n v="1727565.42"/>
    <x v="0"/>
    <n v="84.99"/>
    <n v="3.0219999999999998"/>
    <n v="126.0892903"/>
    <n v="9.1989999999999998"/>
  </r>
  <r>
    <x v="9"/>
    <x v="30"/>
    <n v="1766331.45"/>
    <x v="0"/>
    <n v="83.8"/>
    <n v="3.0870000000000002"/>
    <n v="126.1019355"/>
    <n v="9.1989999999999998"/>
  </r>
  <r>
    <x v="9"/>
    <x v="31"/>
    <n v="1720530.23"/>
    <x v="1"/>
    <n v="84.04"/>
    <n v="2.9609999999999999"/>
    <n v="126.1145806"/>
    <n v="9.1989999999999998"/>
  </r>
  <r>
    <x v="9"/>
    <x v="32"/>
    <n v="1716755.78"/>
    <x v="0"/>
    <n v="85.52"/>
    <n v="3.028"/>
    <n v="126.1454667"/>
    <n v="9.1989999999999998"/>
  </r>
  <r>
    <x v="9"/>
    <x v="33"/>
    <n v="1655036.75"/>
    <x v="0"/>
    <n v="85.75"/>
    <n v="2.9390000000000001"/>
    <n v="126.1900333"/>
    <n v="9.1989999999999998"/>
  </r>
  <r>
    <x v="9"/>
    <x v="34"/>
    <n v="1645892.97"/>
    <x v="0"/>
    <n v="86.01"/>
    <n v="3.0009999999999999"/>
    <n v="126.2346"/>
    <n v="9.0030000000000001"/>
  </r>
  <r>
    <x v="9"/>
    <x v="35"/>
    <n v="1772192.42"/>
    <x v="0"/>
    <n v="77.040000000000006"/>
    <n v="2.9239999999999999"/>
    <n v="126.2791667"/>
    <n v="9.0030000000000001"/>
  </r>
  <r>
    <x v="9"/>
    <x v="36"/>
    <n v="1703850.25"/>
    <x v="0"/>
    <n v="75.48"/>
    <n v="3.08"/>
    <n v="126.32667739999999"/>
    <n v="9.0030000000000001"/>
  </r>
  <r>
    <x v="9"/>
    <x v="37"/>
    <n v="1740234.06"/>
    <x v="0"/>
    <n v="68.12"/>
    <n v="3.0139999999999998"/>
    <n v="126.3815484"/>
    <n v="9.0030000000000001"/>
  </r>
  <r>
    <x v="9"/>
    <x v="38"/>
    <n v="1741308.56"/>
    <x v="0"/>
    <n v="68.760000000000005"/>
    <n v="3.13"/>
    <n v="126.43641940000001"/>
    <n v="9.0030000000000001"/>
  </r>
  <r>
    <x v="9"/>
    <x v="39"/>
    <n v="1832211.96"/>
    <x v="0"/>
    <n v="71.040000000000006"/>
    <n v="3.0089999999999999"/>
    <n v="126.4912903"/>
    <n v="9.0030000000000001"/>
  </r>
  <r>
    <x v="9"/>
    <x v="40"/>
    <n v="1895901.59"/>
    <x v="0"/>
    <n v="61.24"/>
    <n v="3.13"/>
    <n v="126.54616129999999"/>
    <n v="9.0030000000000001"/>
  </r>
  <r>
    <x v="9"/>
    <x v="41"/>
    <n v="1949177.13"/>
    <x v="0"/>
    <n v="58.83"/>
    <n v="3.0470000000000002"/>
    <n v="126.60720000000001"/>
    <n v="9.0030000000000001"/>
  </r>
  <r>
    <x v="9"/>
    <x v="42"/>
    <n v="2939946.38"/>
    <x v="1"/>
    <n v="55.33"/>
    <n v="3.1619999999999999"/>
    <n v="126.66926669999999"/>
    <n v="9.0030000000000001"/>
  </r>
  <r>
    <x v="9"/>
    <x v="43"/>
    <n v="2251206.64"/>
    <x v="0"/>
    <n v="51.17"/>
    <n v="3.0409999999999999"/>
    <n v="126.7313333"/>
    <n v="9.0030000000000001"/>
  </r>
  <r>
    <x v="9"/>
    <x v="44"/>
    <n v="2411790.21"/>
    <x v="0"/>
    <n v="60.51"/>
    <n v="3.0910000000000002"/>
    <n v="126.79340000000001"/>
    <n v="9.0030000000000001"/>
  </r>
  <r>
    <x v="9"/>
    <x v="45"/>
    <n v="2811646.85"/>
    <x v="0"/>
    <n v="59.15"/>
    <n v="3.125"/>
    <n v="126.8794839"/>
    <n v="9.0030000000000001"/>
  </r>
  <r>
    <x v="9"/>
    <x v="46"/>
    <n v="3749057.69"/>
    <x v="0"/>
    <n v="57.06"/>
    <n v="3.2360000000000002"/>
    <n v="126.9835806"/>
    <n v="9.0030000000000001"/>
  </r>
  <r>
    <x v="9"/>
    <x v="47"/>
    <n v="1707298.14"/>
    <x v="1"/>
    <n v="49.67"/>
    <n v="3.1480000000000001"/>
    <n v="127.0876774"/>
    <n v="9.0030000000000001"/>
  </r>
  <r>
    <x v="9"/>
    <x v="48"/>
    <n v="1714309.9"/>
    <x v="0"/>
    <n v="43.43"/>
    <n v="3.2869999999999999"/>
    <n v="127.1917742"/>
    <n v="8.7439999999999998"/>
  </r>
  <r>
    <x v="9"/>
    <x v="49"/>
    <n v="1710803.59"/>
    <x v="0"/>
    <n v="49.98"/>
    <n v="3.3119999999999998"/>
    <n v="127.30093549999999"/>
    <n v="8.7439999999999998"/>
  </r>
  <r>
    <x v="9"/>
    <x v="50"/>
    <n v="1677556.18"/>
    <x v="0"/>
    <n v="56.75"/>
    <n v="3.3359999999999999"/>
    <n v="127.4404839"/>
    <n v="8.7439999999999998"/>
  </r>
  <r>
    <x v="9"/>
    <x v="51"/>
    <n v="1715769.05"/>
    <x v="0"/>
    <n v="53.03"/>
    <n v="3.2309999999999999"/>
    <n v="127.5800323"/>
    <n v="8.7439999999999998"/>
  </r>
  <r>
    <x v="9"/>
    <x v="52"/>
    <n v="1968045.91"/>
    <x v="0"/>
    <n v="44.88"/>
    <n v="3.3479999999999999"/>
    <n v="127.7195806"/>
    <n v="8.7439999999999998"/>
  </r>
  <r>
    <x v="9"/>
    <x v="53"/>
    <n v="2115408.31"/>
    <x v="1"/>
    <n v="51.51"/>
    <n v="3.3809999999999998"/>
    <n v="127.859129"/>
    <n v="8.7439999999999998"/>
  </r>
  <r>
    <x v="9"/>
    <x v="54"/>
    <n v="2106934.5499999998"/>
    <x v="0"/>
    <n v="61.77"/>
    <n v="3.43"/>
    <n v="127.99525"/>
    <n v="8.7439999999999998"/>
  </r>
  <r>
    <x v="9"/>
    <x v="55"/>
    <n v="1967996.71"/>
    <x v="0"/>
    <n v="53.59"/>
    <n v="3.3980000000000001"/>
    <n v="128.13"/>
    <n v="8.7439999999999998"/>
  </r>
  <r>
    <x v="9"/>
    <x v="56"/>
    <n v="1958003.19"/>
    <x v="0"/>
    <n v="56.96"/>
    <n v="3.6739999999999999"/>
    <n v="128.26474999999999"/>
    <n v="8.7439999999999998"/>
  </r>
  <r>
    <x v="9"/>
    <x v="57"/>
    <n v="1933469.15"/>
    <x v="0"/>
    <n v="64.22"/>
    <n v="3.63"/>
    <n v="128.39949999999999"/>
    <n v="8.7439999999999998"/>
  </r>
  <r>
    <x v="9"/>
    <x v="58"/>
    <n v="1884734.31"/>
    <x v="0"/>
    <n v="70.12"/>
    <n v="3.8919999999999999"/>
    <n v="128.5121935"/>
    <n v="8.7439999999999998"/>
  </r>
  <r>
    <x v="9"/>
    <x v="59"/>
    <n v="1815798.85"/>
    <x v="0"/>
    <n v="62.53"/>
    <n v="3.7160000000000002"/>
    <n v="128.61606449999999"/>
    <n v="8.7439999999999998"/>
  </r>
  <r>
    <x v="9"/>
    <x v="60"/>
    <n v="1827733.18"/>
    <x v="0"/>
    <n v="67.64"/>
    <n v="3.7719999999999998"/>
    <n v="128.71993549999999"/>
    <n v="8.4939999999999998"/>
  </r>
  <r>
    <x v="9"/>
    <x v="61"/>
    <n v="1870720.73"/>
    <x v="0"/>
    <n v="73.03"/>
    <n v="3.8180000000000001"/>
    <n v="128.82380649999999"/>
    <n v="8.4939999999999998"/>
  </r>
  <r>
    <x v="9"/>
    <x v="62"/>
    <n v="1781767.22"/>
    <x v="0"/>
    <n v="61.05"/>
    <n v="4.0890000000000004"/>
    <n v="128.9107333"/>
    <n v="8.4939999999999998"/>
  </r>
  <r>
    <x v="9"/>
    <x v="63"/>
    <n v="2004831.14"/>
    <x v="0"/>
    <n v="75.930000000000007"/>
    <n v="3.9169999999999998"/>
    <n v="128.95529999999999"/>
    <n v="8.4939999999999998"/>
  </r>
  <r>
    <x v="9"/>
    <x v="64"/>
    <n v="1873646.34"/>
    <x v="0"/>
    <n v="73.38"/>
    <n v="4.1509999999999998"/>
    <n v="128.99986670000001"/>
    <n v="8.4939999999999998"/>
  </r>
  <r>
    <x v="9"/>
    <x v="65"/>
    <n v="1841369.99"/>
    <x v="0"/>
    <n v="73.56"/>
    <n v="4.1929999999999996"/>
    <n v="129.04443330000001"/>
    <n v="8.4939999999999998"/>
  </r>
  <r>
    <x v="9"/>
    <x v="66"/>
    <n v="1712995.44"/>
    <x v="0"/>
    <n v="74.040000000000006"/>
    <n v="4.202"/>
    <n v="129.089"/>
    <n v="8.4939999999999998"/>
  </r>
  <r>
    <x v="9"/>
    <x v="67"/>
    <n v="1720908.01"/>
    <x v="0"/>
    <n v="72.62"/>
    <n v="3.99"/>
    <n v="129.07567739999999"/>
    <n v="8.4939999999999998"/>
  </r>
  <r>
    <x v="9"/>
    <x v="68"/>
    <n v="1743000.38"/>
    <x v="0"/>
    <n v="78.62"/>
    <n v="3.9329999999999998"/>
    <n v="129.06235480000001"/>
    <n v="8.4939999999999998"/>
  </r>
  <r>
    <x v="9"/>
    <x v="69"/>
    <n v="1792210.89"/>
    <x v="0"/>
    <n v="81.87"/>
    <n v="3.8929999999999998"/>
    <n v="129.04903229999999"/>
    <n v="8.4939999999999998"/>
  </r>
  <r>
    <x v="9"/>
    <x v="70"/>
    <n v="1740063.1"/>
    <x v="0"/>
    <n v="84.57"/>
    <n v="3.9809999999999999"/>
    <n v="129.03570970000001"/>
    <n v="8.4939999999999998"/>
  </r>
  <r>
    <x v="9"/>
    <x v="71"/>
    <n v="1817934.76"/>
    <x v="0"/>
    <n v="87.96"/>
    <n v="3.9350000000000001"/>
    <n v="129.04320000000001"/>
    <n v="8.4939999999999998"/>
  </r>
  <r>
    <x v="9"/>
    <x v="72"/>
    <n v="1711813.13"/>
    <x v="0"/>
    <n v="90.69"/>
    <n v="3.8069999999999999"/>
    <n v="129.06630000000001"/>
    <n v="8.4939999999999998"/>
  </r>
  <r>
    <x v="9"/>
    <x v="73"/>
    <n v="1751369.75"/>
    <x v="0"/>
    <n v="95.36"/>
    <n v="3.8420000000000001"/>
    <n v="129.08940000000001"/>
    <n v="8.2569999999999997"/>
  </r>
  <r>
    <x v="9"/>
    <x v="74"/>
    <n v="1699708.38"/>
    <x v="0"/>
    <n v="88.57"/>
    <n v="3.7930000000000001"/>
    <n v="129.11250000000001"/>
    <n v="8.2569999999999997"/>
  </r>
  <r>
    <x v="9"/>
    <x v="75"/>
    <n v="1775068.4"/>
    <x v="0"/>
    <n v="86.01"/>
    <n v="3.7789999999999999"/>
    <n v="129.13383870000001"/>
    <n v="8.2569999999999997"/>
  </r>
  <r>
    <x v="9"/>
    <x v="76"/>
    <n v="1774342.61"/>
    <x v="0"/>
    <n v="88.59"/>
    <n v="3.6970000000000001"/>
    <n v="129.1507742"/>
    <n v="8.2569999999999997"/>
  </r>
  <r>
    <x v="9"/>
    <x v="77"/>
    <n v="1745841.33"/>
    <x v="0"/>
    <n v="86.75"/>
    <n v="3.694"/>
    <n v="129.16770969999999"/>
    <n v="8.2569999999999997"/>
  </r>
  <r>
    <x v="9"/>
    <x v="78"/>
    <n v="1886299.98"/>
    <x v="0"/>
    <n v="89.8"/>
    <n v="3.8029999999999999"/>
    <n v="129.18464520000001"/>
    <n v="8.2569999999999997"/>
  </r>
  <r>
    <x v="9"/>
    <x v="79"/>
    <n v="1917397.63"/>
    <x v="0"/>
    <n v="85.61"/>
    <n v="3.794"/>
    <n v="129.2015806"/>
    <n v="8.2569999999999997"/>
  </r>
  <r>
    <x v="9"/>
    <x v="80"/>
    <n v="1954849.68"/>
    <x v="0"/>
    <n v="87.4"/>
    <n v="3.7429999999999999"/>
    <n v="129.24058059999999"/>
    <n v="8.2569999999999997"/>
  </r>
  <r>
    <x v="9"/>
    <x v="81"/>
    <n v="1728399.07"/>
    <x v="0"/>
    <n v="91.59"/>
    <n v="3.6629999999999998"/>
    <n v="129.28325810000001"/>
    <n v="8.2569999999999997"/>
  </r>
  <r>
    <x v="9"/>
    <x v="82"/>
    <n v="1758587.35"/>
    <x v="0"/>
    <n v="91.61"/>
    <n v="3.798"/>
    <n v="129.32593550000001"/>
    <n v="8.2569999999999997"/>
  </r>
  <r>
    <x v="9"/>
    <x v="83"/>
    <n v="1670579.82"/>
    <x v="1"/>
    <n v="89.06"/>
    <n v="3.7709999999999999"/>
    <n v="129.36861289999999"/>
    <n v="8.2569999999999997"/>
  </r>
  <r>
    <x v="9"/>
    <x v="84"/>
    <n v="1650894.3"/>
    <x v="0"/>
    <n v="77.489999999999995"/>
    <n v="3.7839999999999998"/>
    <n v="129.4306"/>
    <n v="8.2569999999999997"/>
  </r>
  <r>
    <x v="9"/>
    <x v="85"/>
    <n v="1685910.53"/>
    <x v="0"/>
    <n v="82.51"/>
    <n v="3.7890000000000001"/>
    <n v="129.51833329999999"/>
    <n v="8.2569999999999997"/>
  </r>
  <r>
    <x v="9"/>
    <x v="86"/>
    <n v="1627707.31"/>
    <x v="0"/>
    <n v="82.27"/>
    <n v="3.8769999999999998"/>
    <n v="129.60606670000001"/>
    <n v="8.2569999999999997"/>
  </r>
  <r>
    <x v="9"/>
    <x v="87"/>
    <n v="1788227.6"/>
    <x v="0"/>
    <n v="75.010000000000005"/>
    <n v="3.827"/>
    <n v="129.69380000000001"/>
    <n v="7.8739999999999997"/>
  </r>
  <r>
    <x v="9"/>
    <x v="88"/>
    <n v="1704753.02"/>
    <x v="0"/>
    <n v="70.27"/>
    <n v="3.698"/>
    <n v="129.77064519999999"/>
    <n v="7.8739999999999997"/>
  </r>
  <r>
    <x v="9"/>
    <x v="89"/>
    <n v="1745928.56"/>
    <x v="0"/>
    <n v="77.91"/>
    <n v="3.8420000000000001"/>
    <n v="129.78216130000001"/>
    <n v="7.8739999999999997"/>
  </r>
  <r>
    <x v="9"/>
    <x v="90"/>
    <n v="1771792.97"/>
    <x v="0"/>
    <n v="72.790000000000006"/>
    <n v="3.843"/>
    <n v="129.79367740000001"/>
    <n v="7.8739999999999997"/>
  </r>
  <r>
    <x v="9"/>
    <x v="91"/>
    <n v="1904438.59"/>
    <x v="0"/>
    <n v="68.569999999999993"/>
    <n v="3.8279999999999998"/>
    <n v="129.8051935"/>
    <n v="7.8739999999999997"/>
  </r>
  <r>
    <x v="9"/>
    <x v="92"/>
    <n v="2076570.84"/>
    <x v="0"/>
    <n v="55.28"/>
    <n v="3.677"/>
    <n v="129.81670969999999"/>
    <n v="7.8739999999999997"/>
  </r>
  <r>
    <x v="9"/>
    <x v="93"/>
    <n v="1869087.85"/>
    <x v="0"/>
    <n v="58.97"/>
    <n v="3.669"/>
    <n v="129.8268333"/>
    <n v="7.8739999999999997"/>
  </r>
  <r>
    <x v="9"/>
    <x v="94"/>
    <n v="2950198.64"/>
    <x v="1"/>
    <n v="60.68"/>
    <n v="3.76"/>
    <n v="129.8364"/>
    <n v="7.8739999999999997"/>
  </r>
  <r>
    <x v="9"/>
    <x v="95"/>
    <n v="2068097.18"/>
    <x v="0"/>
    <n v="57.29"/>
    <n v="3.7010000000000001"/>
    <n v="129.84596669999999"/>
    <n v="7.8739999999999997"/>
  </r>
  <r>
    <x v="9"/>
    <x v="96"/>
    <n v="2429310.9"/>
    <x v="0"/>
    <n v="42.58"/>
    <n v="3.6440000000000001"/>
    <n v="129.85553329999999"/>
    <n v="7.8739999999999997"/>
  </r>
  <r>
    <x v="9"/>
    <x v="97"/>
    <n v="2555031.1800000002"/>
    <x v="0"/>
    <n v="50.53"/>
    <n v="3.4889999999999999"/>
    <n v="129.8980645"/>
    <n v="7.8739999999999997"/>
  </r>
  <r>
    <x v="9"/>
    <x v="98"/>
    <n v="3487986.89"/>
    <x v="0"/>
    <n v="48.36"/>
    <n v="3.5409999999999999"/>
    <n v="129.98454839999999"/>
    <n v="7.8739999999999997"/>
  </r>
  <r>
    <x v="9"/>
    <x v="99"/>
    <n v="1930690.37"/>
    <x v="1"/>
    <n v="48.92"/>
    <n v="3.4279999999999999"/>
    <n v="130.07103230000001"/>
    <n v="7.8739999999999997"/>
  </r>
  <r>
    <x v="9"/>
    <x v="100"/>
    <n v="1683401.78"/>
    <x v="0"/>
    <n v="59.85"/>
    <n v="3.4430000000000001"/>
    <n v="130.15751610000001"/>
    <n v="7.5449999999999999"/>
  </r>
  <r>
    <x v="9"/>
    <x v="101"/>
    <n v="1711562.73"/>
    <x v="0"/>
    <n v="51"/>
    <n v="3.4769999999999999"/>
    <n v="130.244"/>
    <n v="7.5449999999999999"/>
  </r>
  <r>
    <x v="9"/>
    <x v="102"/>
    <n v="1675562.94"/>
    <x v="0"/>
    <n v="54.51"/>
    <n v="3.66"/>
    <n v="130.27922580000001"/>
    <n v="7.5449999999999999"/>
  </r>
  <r>
    <x v="9"/>
    <x v="103"/>
    <n v="1632406"/>
    <x v="0"/>
    <n v="53.59"/>
    <n v="3.6749999999999998"/>
    <n v="130.31445160000001"/>
    <n v="7.5449999999999999"/>
  </r>
  <r>
    <x v="9"/>
    <x v="104"/>
    <n v="1867403.01"/>
    <x v="0"/>
    <n v="56.85"/>
    <n v="3.5430000000000001"/>
    <n v="130.34967739999999"/>
    <n v="7.5449999999999999"/>
  </r>
  <r>
    <x v="9"/>
    <x v="105"/>
    <n v="2218595.7999999998"/>
    <x v="1"/>
    <n v="55.73"/>
    <n v="3.722"/>
    <n v="130.3849032"/>
    <n v="7.5449999999999999"/>
  </r>
  <r>
    <x v="9"/>
    <x v="106"/>
    <n v="2168709.7599999998"/>
    <x v="0"/>
    <n v="54.12"/>
    <n v="3.7810000000000001"/>
    <n v="130.45462069999999"/>
    <n v="7.5449999999999999"/>
  </r>
  <r>
    <x v="9"/>
    <x v="107"/>
    <n v="2039415.74"/>
    <x v="0"/>
    <n v="56.02"/>
    <n v="3.95"/>
    <n v="130.55020690000001"/>
    <n v="7.5449999999999999"/>
  </r>
  <r>
    <x v="9"/>
    <x v="108"/>
    <n v="1990371.02"/>
    <x v="0"/>
    <n v="57.62"/>
    <n v="3.8820000000000001"/>
    <n v="130.64579309999999"/>
    <n v="7.5449999999999999"/>
  </r>
  <r>
    <x v="9"/>
    <x v="109"/>
    <n v="1917483.1"/>
    <x v="0"/>
    <n v="57.65"/>
    <n v="3.9630000000000001"/>
    <n v="130.74137930000001"/>
    <n v="7.5449999999999999"/>
  </r>
  <r>
    <x v="9"/>
    <x v="110"/>
    <n v="1930814.66"/>
    <x v="0"/>
    <n v="62.11"/>
    <n v="4.2729999999999997"/>
    <n v="130.82619349999999"/>
    <n v="7.5449999999999999"/>
  </r>
  <r>
    <x v="9"/>
    <x v="111"/>
    <n v="1837457.69"/>
    <x v="0"/>
    <n v="56.54"/>
    <n v="4.2880000000000003"/>
    <n v="130.89664519999999"/>
    <n v="7.5449999999999999"/>
  </r>
  <r>
    <x v="9"/>
    <x v="112"/>
    <n v="1815760.42"/>
    <x v="0"/>
    <n v="67.92"/>
    <n v="4.2939999999999996"/>
    <n v="130.96709680000001"/>
    <n v="7.5449999999999999"/>
  </r>
  <r>
    <x v="9"/>
    <x v="113"/>
    <n v="2163384.17"/>
    <x v="0"/>
    <n v="65.989999999999995"/>
    <n v="4.282"/>
    <n v="131.03754839999999"/>
    <n v="7.3819999999999997"/>
  </r>
  <r>
    <x v="9"/>
    <x v="114"/>
    <n v="1974687.51"/>
    <x v="0"/>
    <n v="70.28"/>
    <n v="4.2539999999999996"/>
    <n v="131.108"/>
    <n v="7.3819999999999997"/>
  </r>
  <r>
    <x v="9"/>
    <x v="115"/>
    <n v="1777166.53"/>
    <x v="0"/>
    <n v="67.75"/>
    <n v="4.1109999999999998"/>
    <n v="131.11733330000001"/>
    <n v="7.3819999999999997"/>
  </r>
  <r>
    <x v="9"/>
    <x v="116"/>
    <n v="1712987.56"/>
    <x v="0"/>
    <n v="80.11"/>
    <n v="4.0880000000000001"/>
    <n v="131.12666669999999"/>
    <n v="7.3819999999999997"/>
  </r>
  <r>
    <x v="9"/>
    <x v="117"/>
    <n v="1821364.42"/>
    <x v="0"/>
    <n v="77.02"/>
    <n v="4.0579999999999998"/>
    <n v="131.136"/>
    <n v="7.3819999999999997"/>
  </r>
  <r>
    <x v="9"/>
    <x v="118"/>
    <n v="1792345.3"/>
    <x v="0"/>
    <n v="76.03"/>
    <n v="4.1859999999999999"/>
    <n v="131.1453333"/>
    <n v="7.3819999999999997"/>
  </r>
  <r>
    <x v="9"/>
    <x v="119"/>
    <n v="1795152.73"/>
    <x v="0"/>
    <n v="85.19"/>
    <n v="4.3079999999999998"/>
    <n v="131.09832259999999"/>
    <n v="7.3819999999999997"/>
  </r>
  <r>
    <x v="9"/>
    <x v="120"/>
    <n v="1830939.1"/>
    <x v="0"/>
    <n v="86.03"/>
    <n v="4.1269999999999998"/>
    <n v="131.02877419999999"/>
    <n v="7.3819999999999997"/>
  </r>
  <r>
    <x v="9"/>
    <x v="121"/>
    <n v="1767471.48"/>
    <x v="0"/>
    <n v="80.06"/>
    <n v="4.2770000000000001"/>
    <n v="130.95922580000001"/>
    <n v="7.3819999999999997"/>
  </r>
  <r>
    <x v="9"/>
    <x v="122"/>
    <n v="1840491.41"/>
    <x v="0"/>
    <n v="86.87"/>
    <n v="4.1029999999999998"/>
    <n v="130.88967740000001"/>
    <n v="7.3819999999999997"/>
  </r>
  <r>
    <x v="9"/>
    <x v="123"/>
    <n v="1811562.88"/>
    <x v="0"/>
    <n v="88.58"/>
    <n v="4.1440000000000001"/>
    <n v="130.82953330000001"/>
    <n v="7.3819999999999997"/>
  </r>
  <r>
    <x v="9"/>
    <x v="124"/>
    <n v="1755334.18"/>
    <x v="0"/>
    <n v="89.92"/>
    <n v="4.0140000000000002"/>
    <n v="130.7929"/>
    <n v="7.3819999999999997"/>
  </r>
  <r>
    <x v="9"/>
    <x v="125"/>
    <n v="1707481.9"/>
    <x v="0"/>
    <n v="91.36"/>
    <n v="3.875"/>
    <n v="130.7562667"/>
    <n v="7.3819999999999997"/>
  </r>
  <r>
    <x v="9"/>
    <x v="126"/>
    <n v="1805999.79"/>
    <x v="0"/>
    <n v="86.87"/>
    <n v="3.6659999999999999"/>
    <n v="130.7196333"/>
    <n v="7.17"/>
  </r>
  <r>
    <x v="9"/>
    <x v="127"/>
    <n v="1765571.91"/>
    <x v="0"/>
    <n v="89.8"/>
    <n v="3.7229999999999999"/>
    <n v="130.68299999999999"/>
    <n v="7.17"/>
  </r>
  <r>
    <x v="9"/>
    <x v="128"/>
    <n v="1869967.03"/>
    <x v="0"/>
    <n v="84.45"/>
    <n v="3.589"/>
    <n v="130.70129030000001"/>
    <n v="7.17"/>
  </r>
  <r>
    <x v="9"/>
    <x v="129"/>
    <n v="1817603.66"/>
    <x v="0"/>
    <n v="83.98"/>
    <n v="3.7690000000000001"/>
    <n v="130.7195806"/>
    <n v="7.17"/>
  </r>
  <r>
    <x v="9"/>
    <x v="130"/>
    <n v="1939440.09"/>
    <x v="0"/>
    <n v="84.76"/>
    <n v="3.5950000000000002"/>
    <n v="130.73787100000001"/>
    <n v="7.17"/>
  </r>
  <r>
    <x v="9"/>
    <x v="131"/>
    <n v="1880436.94"/>
    <x v="0"/>
    <n v="90.78"/>
    <n v="3.8109999999999999"/>
    <n v="130.7561613"/>
    <n v="7.17"/>
  </r>
  <r>
    <x v="9"/>
    <x v="132"/>
    <n v="1827797.4"/>
    <x v="0"/>
    <n v="88.83"/>
    <n v="4.0019999999999998"/>
    <n v="130.79096770000001"/>
    <n v="7.17"/>
  </r>
  <r>
    <x v="9"/>
    <x v="133"/>
    <n v="1764984.15"/>
    <x v="0"/>
    <n v="82.5"/>
    <n v="4.0549999999999997"/>
    <n v="130.8381613"/>
    <n v="7.17"/>
  </r>
  <r>
    <x v="9"/>
    <x v="134"/>
    <n v="1650285.54"/>
    <x v="0"/>
    <n v="86.97"/>
    <n v="3.8860000000000001"/>
    <n v="130.88535479999999"/>
    <n v="7.17"/>
  </r>
  <r>
    <x v="9"/>
    <x v="135"/>
    <n v="1708283.28"/>
    <x v="1"/>
    <n v="83.07"/>
    <n v="4.1239999999999997"/>
    <n v="130.9325484"/>
    <n v="7.17"/>
  </r>
  <r>
    <x v="9"/>
    <x v="136"/>
    <n v="1640168.99"/>
    <x v="0"/>
    <n v="78.47"/>
    <n v="3.9660000000000002"/>
    <n v="130.97766669999999"/>
    <n v="7.17"/>
  </r>
  <r>
    <x v="9"/>
    <x v="137"/>
    <n v="1671857.57"/>
    <x v="0"/>
    <n v="81.93"/>
    <n v="4.125"/>
    <n v="131.01033330000001"/>
    <n v="7.17"/>
  </r>
  <r>
    <x v="9"/>
    <x v="138"/>
    <n v="1694862.41"/>
    <x v="0"/>
    <n v="82.52"/>
    <n v="3.9660000000000002"/>
    <n v="131.04300000000001"/>
    <n v="7.17"/>
  </r>
  <r>
    <x v="9"/>
    <x v="139"/>
    <n v="1758971.38"/>
    <x v="0"/>
    <n v="80.88"/>
    <n v="4.1319999999999997"/>
    <n v="131.0756667"/>
    <n v="6.9429999999999996"/>
  </r>
  <r>
    <x v="9"/>
    <x v="140"/>
    <n v="1713889.11"/>
    <x v="0"/>
    <n v="76.03"/>
    <n v="4.468"/>
    <n v="131.1083333"/>
    <n v="6.9429999999999996"/>
  </r>
  <r>
    <x v="9"/>
    <x v="141"/>
    <n v="1734834.82"/>
    <x v="0"/>
    <n v="72.709999999999994"/>
    <n v="4.4489999999999998"/>
    <n v="131.14996769999999"/>
    <n v="6.9429999999999996"/>
  </r>
  <r>
    <x v="9"/>
    <x v="142"/>
    <n v="1744349.05"/>
    <x v="0"/>
    <n v="70.5"/>
    <n v="4.3010000000000002"/>
    <n v="131.19309680000001"/>
    <n v="6.9429999999999996"/>
  </r>
  <r>
    <x v="10"/>
    <x v="0"/>
    <n v="1528008.64"/>
    <x v="0"/>
    <n v="46.04"/>
    <n v="2.5720000000000001"/>
    <n v="214.42488119999999"/>
    <n v="7.3680000000000003"/>
  </r>
  <r>
    <x v="10"/>
    <x v="1"/>
    <n v="1574684.08"/>
    <x v="1"/>
    <n v="48.01"/>
    <n v="2.548"/>
    <n v="214.5747916"/>
    <n v="7.3680000000000003"/>
  </r>
  <r>
    <x v="10"/>
    <x v="2"/>
    <n v="1503298.7"/>
    <x v="0"/>
    <n v="48.3"/>
    <n v="2.5139999999999998"/>
    <n v="214.61988679999999"/>
    <n v="7.3680000000000003"/>
  </r>
  <r>
    <x v="10"/>
    <x v="3"/>
    <n v="1336404.6499999999"/>
    <x v="0"/>
    <n v="52.79"/>
    <n v="2.5609999999999999"/>
    <n v="214.64751269999999"/>
    <n v="7.3680000000000003"/>
  </r>
  <r>
    <x v="10"/>
    <x v="4"/>
    <n v="1426622.65"/>
    <x v="0"/>
    <n v="53.96"/>
    <n v="2.625"/>
    <n v="214.6751386"/>
    <n v="7.3680000000000003"/>
  </r>
  <r>
    <x v="10"/>
    <x v="5"/>
    <n v="1331883.1599999999"/>
    <x v="0"/>
    <n v="64.099999999999994"/>
    <n v="2.6669999999999998"/>
    <n v="214.70276459999999"/>
    <n v="7.3680000000000003"/>
  </r>
  <r>
    <x v="10"/>
    <x v="6"/>
    <n v="1364207"/>
    <x v="0"/>
    <n v="61.51"/>
    <n v="2.72"/>
    <n v="214.53012190000001"/>
    <n v="7.3680000000000003"/>
  </r>
  <r>
    <x v="10"/>
    <x v="7"/>
    <n v="1245624.27"/>
    <x v="0"/>
    <n v="58.09"/>
    <n v="2.7320000000000002"/>
    <n v="214.32410110000001"/>
    <n v="7.3680000000000003"/>
  </r>
  <r>
    <x v="10"/>
    <x v="8"/>
    <n v="1446210.26"/>
    <x v="0"/>
    <n v="66.16"/>
    <n v="2.7189999999999999"/>
    <n v="214.1180803"/>
    <n v="7.343"/>
  </r>
  <r>
    <x v="10"/>
    <x v="9"/>
    <n v="1470308.32"/>
    <x v="0"/>
    <n v="69.569999999999993"/>
    <n v="2.77"/>
    <n v="213.9120595"/>
    <n v="7.343"/>
  </r>
  <r>
    <x v="10"/>
    <x v="10"/>
    <n v="1323243.3500000001"/>
    <x v="0"/>
    <n v="67.81"/>
    <n v="2.8079999999999998"/>
    <n v="213.77268889999999"/>
    <n v="7.343"/>
  </r>
  <r>
    <x v="10"/>
    <x v="11"/>
    <n v="1283766.55"/>
    <x v="0"/>
    <n v="68.37"/>
    <n v="2.7949999999999999"/>
    <n v="213.72218520000001"/>
    <n v="7.343"/>
  </r>
  <r>
    <x v="10"/>
    <x v="12"/>
    <n v="1239766.8899999999"/>
    <x v="0"/>
    <n v="71.13"/>
    <n v="2.78"/>
    <n v="213.67168150000001"/>
    <n v="7.343"/>
  </r>
  <r>
    <x v="10"/>
    <x v="13"/>
    <n v="1312329.78"/>
    <x v="0"/>
    <n v="75.569999999999993"/>
    <n v="2.835"/>
    <n v="213.6211778"/>
    <n v="7.343"/>
  </r>
  <r>
    <x v="10"/>
    <x v="14"/>
    <n v="1266796.1299999999"/>
    <x v="0"/>
    <n v="77.64"/>
    <n v="2.8540000000000001"/>
    <n v="213.61961389999999"/>
    <n v="7.343"/>
  </r>
  <r>
    <x v="10"/>
    <x v="15"/>
    <n v="1271646.6200000001"/>
    <x v="0"/>
    <n v="76.97"/>
    <n v="2.8260000000000001"/>
    <n v="213.91168859999999"/>
    <n v="7.343"/>
  </r>
  <r>
    <x v="10"/>
    <x v="16"/>
    <n v="1264272.52"/>
    <x v="0"/>
    <n v="79.69"/>
    <n v="2.7589999999999999"/>
    <n v="214.20376340000001"/>
    <n v="7.343"/>
  </r>
  <r>
    <x v="10"/>
    <x v="17"/>
    <n v="1396322.19"/>
    <x v="0"/>
    <n v="79.66"/>
    <n v="2.7050000000000001"/>
    <n v="214.49583820000001"/>
    <n v="7.343"/>
  </r>
  <r>
    <x v="10"/>
    <x v="18"/>
    <n v="1339570.8500000001"/>
    <x v="0"/>
    <n v="82.81"/>
    <n v="2.6680000000000001"/>
    <n v="214.787913"/>
    <n v="7.343"/>
  </r>
  <r>
    <x v="10"/>
    <x v="19"/>
    <n v="1336522.92"/>
    <x v="0"/>
    <n v="84.13"/>
    <n v="2.637"/>
    <n v="214.78582589999999"/>
    <n v="7.343"/>
  </r>
  <r>
    <x v="10"/>
    <x v="20"/>
    <n v="1262025.08"/>
    <x v="0"/>
    <n v="84.5"/>
    <n v="2.653"/>
    <n v="214.6660741"/>
    <n v="7.343"/>
  </r>
  <r>
    <x v="10"/>
    <x v="21"/>
    <n v="1302600.1399999999"/>
    <x v="0"/>
    <n v="83.09"/>
    <n v="2.669"/>
    <n v="214.54632219999999"/>
    <n v="7.3460000000000001"/>
  </r>
  <r>
    <x v="10"/>
    <x v="22"/>
    <n v="1280156.47"/>
    <x v="0"/>
    <n v="83.01"/>
    <n v="2.6419999999999999"/>
    <n v="214.4265704"/>
    <n v="7.3460000000000001"/>
  </r>
  <r>
    <x v="10"/>
    <x v="23"/>
    <n v="1290609.54"/>
    <x v="0"/>
    <n v="84.9"/>
    <n v="2.6230000000000002"/>
    <n v="214.41764760000001"/>
    <n v="7.3460000000000001"/>
  </r>
  <r>
    <x v="10"/>
    <x v="24"/>
    <n v="1244390.03"/>
    <x v="0"/>
    <n v="84.57"/>
    <n v="2.6080000000000001"/>
    <n v="214.55649679999999"/>
    <n v="7.3460000000000001"/>
  </r>
  <r>
    <x v="10"/>
    <x v="25"/>
    <n v="1250178.8899999999"/>
    <x v="0"/>
    <n v="83.26"/>
    <n v="2.64"/>
    <n v="214.695346"/>
    <n v="7.3460000000000001"/>
  </r>
  <r>
    <x v="10"/>
    <x v="26"/>
    <n v="1369634.92"/>
    <x v="0"/>
    <n v="86.54"/>
    <n v="2.6269999999999998"/>
    <n v="214.83419520000001"/>
    <n v="7.3460000000000001"/>
  </r>
  <r>
    <x v="10"/>
    <x v="27"/>
    <n v="1384339.1"/>
    <x v="0"/>
    <n v="87.73"/>
    <n v="2.6920000000000002"/>
    <n v="214.97304439999999"/>
    <n v="7.3460000000000001"/>
  </r>
  <r>
    <x v="10"/>
    <x v="28"/>
    <n v="1430192.37"/>
    <x v="0"/>
    <n v="88.93"/>
    <n v="2.6640000000000001"/>
    <n v="214.9314191"/>
    <n v="7.3460000000000001"/>
  </r>
  <r>
    <x v="10"/>
    <x v="29"/>
    <n v="1311263.07"/>
    <x v="0"/>
    <n v="87.7"/>
    <n v="2.6190000000000002"/>
    <n v="214.88979380000001"/>
    <n v="7.3460000000000001"/>
  </r>
  <r>
    <x v="10"/>
    <x v="30"/>
    <n v="1303914.27"/>
    <x v="0"/>
    <n v="84.94"/>
    <n v="2.577"/>
    <n v="214.84816850000001"/>
    <n v="7.3460000000000001"/>
  </r>
  <r>
    <x v="10"/>
    <x v="31"/>
    <n v="1231428.46"/>
    <x v="1"/>
    <n v="81.93"/>
    <n v="2.5649999999999999"/>
    <n v="214.8065431"/>
    <n v="7.3460000000000001"/>
  </r>
  <r>
    <x v="10"/>
    <x v="32"/>
    <n v="1215676.31"/>
    <x v="0"/>
    <n v="83.04"/>
    <n v="2.5819999999999999"/>
    <n v="214.8322484"/>
    <n v="7.3460000000000001"/>
  </r>
  <r>
    <x v="10"/>
    <x v="33"/>
    <n v="1170103.25"/>
    <x v="0"/>
    <n v="77.36"/>
    <n v="2.6240000000000001"/>
    <n v="214.90845160000001"/>
    <n v="7.3460000000000001"/>
  </r>
  <r>
    <x v="10"/>
    <x v="34"/>
    <n v="1182490.46"/>
    <x v="0"/>
    <n v="75.11"/>
    <n v="2.6030000000000002"/>
    <n v="214.98465479999999"/>
    <n v="7.5640000000000001"/>
  </r>
  <r>
    <x v="10"/>
    <x v="35"/>
    <n v="1293472.8"/>
    <x v="0"/>
    <n v="68.709999999999994"/>
    <n v="2.633"/>
    <n v="215.060858"/>
    <n v="7.5640000000000001"/>
  </r>
  <r>
    <x v="10"/>
    <x v="36"/>
    <n v="1175003.67"/>
    <x v="0"/>
    <n v="71.459999999999994"/>
    <n v="2.72"/>
    <n v="215.12931140000001"/>
    <n v="7.5640000000000001"/>
  </r>
  <r>
    <x v="10"/>
    <x v="37"/>
    <n v="1169831.3799999999"/>
    <x v="0"/>
    <n v="72.599999999999994"/>
    <n v="2.7250000000000001"/>
    <n v="215.17839000000001"/>
    <n v="7.5640000000000001"/>
  </r>
  <r>
    <x v="10"/>
    <x v="38"/>
    <n v="1195036"/>
    <x v="0"/>
    <n v="74.209999999999994"/>
    <n v="2.7160000000000002"/>
    <n v="215.22746860000001"/>
    <n v="7.5640000000000001"/>
  </r>
  <r>
    <x v="10"/>
    <x v="39"/>
    <n v="1332759.1299999999"/>
    <x v="0"/>
    <n v="64.41"/>
    <n v="2.6890000000000001"/>
    <n v="215.27654720000001"/>
    <n v="7.5640000000000001"/>
  </r>
  <r>
    <x v="10"/>
    <x v="40"/>
    <n v="1281675.6000000001"/>
    <x v="0"/>
    <n v="63.74"/>
    <n v="2.7280000000000002"/>
    <n v="215.32562580000001"/>
    <n v="7.5640000000000001"/>
  </r>
  <r>
    <x v="10"/>
    <x v="41"/>
    <n v="1292346.57"/>
    <x v="0"/>
    <n v="58.63"/>
    <n v="2.7709999999999999"/>
    <n v="215.2074519"/>
    <n v="7.5640000000000001"/>
  </r>
  <r>
    <x v="10"/>
    <x v="42"/>
    <n v="1757242.51"/>
    <x v="1"/>
    <n v="69.900000000000006"/>
    <n v="2.7349999999999999"/>
    <n v="215.06140250000001"/>
    <n v="7.5640000000000001"/>
  </r>
  <r>
    <x v="10"/>
    <x v="43"/>
    <n v="1380522.64"/>
    <x v="0"/>
    <n v="55.9"/>
    <n v="2.7080000000000002"/>
    <n v="214.9153531"/>
    <n v="7.5640000000000001"/>
  </r>
  <r>
    <x v="10"/>
    <x v="44"/>
    <n v="1564516.43"/>
    <x v="0"/>
    <n v="53.33"/>
    <n v="2.843"/>
    <n v="214.76930369999999"/>
    <n v="7.5640000000000001"/>
  </r>
  <r>
    <x v="10"/>
    <x v="45"/>
    <n v="1843971.15"/>
    <x v="0"/>
    <n v="54.63"/>
    <n v="2.8690000000000002"/>
    <n v="214.70491899999999"/>
    <n v="7.5640000000000001"/>
  </r>
  <r>
    <x v="10"/>
    <x v="46"/>
    <n v="2306265.36"/>
    <x v="0"/>
    <n v="59.33"/>
    <n v="2.8860000000000001"/>
    <n v="214.70178279999999"/>
    <n v="7.5640000000000001"/>
  </r>
  <r>
    <x v="10"/>
    <x v="47"/>
    <n v="1172003.1000000001"/>
    <x v="1"/>
    <n v="55.03"/>
    <n v="2.9430000000000001"/>
    <n v="214.69864659999999"/>
    <n v="7.5640000000000001"/>
  </r>
  <r>
    <x v="10"/>
    <x v="48"/>
    <n v="1178905.44"/>
    <x v="0"/>
    <n v="54.43"/>
    <n v="2.976"/>
    <n v="214.69551039999999"/>
    <n v="7.5510000000000002"/>
  </r>
  <r>
    <x v="10"/>
    <x v="49"/>
    <n v="1194449.78"/>
    <x v="0"/>
    <n v="45.34"/>
    <n v="2.9830000000000001"/>
    <n v="214.74707290000001"/>
    <n v="7.5510000000000002"/>
  </r>
  <r>
    <x v="10"/>
    <x v="50"/>
    <n v="1187776.19"/>
    <x v="0"/>
    <n v="51.51"/>
    <n v="3.016"/>
    <n v="215.12682749999999"/>
    <n v="7.5510000000000002"/>
  </r>
  <r>
    <x v="10"/>
    <x v="51"/>
    <n v="1100418.69"/>
    <x v="0"/>
    <n v="51.04"/>
    <n v="3.01"/>
    <n v="215.5065821"/>
    <n v="7.5510000000000002"/>
  </r>
  <r>
    <x v="10"/>
    <x v="52"/>
    <n v="1422546.05"/>
    <x v="0"/>
    <n v="47.17"/>
    <n v="2.9889999999999999"/>
    <n v="215.88633669999999"/>
    <n v="7.5510000000000002"/>
  </r>
  <r>
    <x v="10"/>
    <x v="53"/>
    <n v="1419236.9"/>
    <x v="1"/>
    <n v="44.61"/>
    <n v="3.0219999999999998"/>
    <n v="216.2660913"/>
    <n v="7.5510000000000002"/>
  </r>
  <r>
    <x v="10"/>
    <x v="54"/>
    <n v="1554747.15"/>
    <x v="0"/>
    <n v="61.5"/>
    <n v="3.0449999999999999"/>
    <n v="216.58435710000001"/>
    <n v="7.5510000000000002"/>
  </r>
  <r>
    <x v="10"/>
    <x v="55"/>
    <n v="1323999.3600000001"/>
    <x v="0"/>
    <n v="68.739999999999995"/>
    <n v="3.0649999999999999"/>
    <n v="216.8780275"/>
    <n v="7.5510000000000002"/>
  </r>
  <r>
    <x v="10"/>
    <x v="56"/>
    <n v="1399456.99"/>
    <x v="0"/>
    <n v="66.5"/>
    <n v="3.2879999999999998"/>
    <n v="217.1716979"/>
    <n v="7.5510000000000002"/>
  </r>
  <r>
    <x v="10"/>
    <x v="57"/>
    <n v="1314557.31"/>
    <x v="0"/>
    <n v="63.29"/>
    <n v="3.4590000000000001"/>
    <n v="217.46536829999999"/>
    <n v="7.5510000000000002"/>
  </r>
  <r>
    <x v="10"/>
    <x v="58"/>
    <n v="1391813.69"/>
    <x v="0"/>
    <n v="70.17"/>
    <n v="3.488"/>
    <n v="217.7235226"/>
    <n v="7.5510000000000002"/>
  </r>
  <r>
    <x v="10"/>
    <x v="59"/>
    <n v="1229777.24"/>
    <x v="0"/>
    <n v="73.739999999999995"/>
    <n v="3.4729999999999999"/>
    <n v="217.96747049999999"/>
    <n v="7.5510000000000002"/>
  </r>
  <r>
    <x v="10"/>
    <x v="60"/>
    <n v="1258674.1200000001"/>
    <x v="0"/>
    <n v="69.099999999999994"/>
    <n v="3.524"/>
    <n v="218.21141840000001"/>
    <n v="7.5739999999999998"/>
  </r>
  <r>
    <x v="10"/>
    <x v="61"/>
    <n v="1327401.06"/>
    <x v="0"/>
    <n v="73.569999999999993"/>
    <n v="3.6219999999999999"/>
    <n v="218.45536630000001"/>
    <n v="7.5739999999999998"/>
  </r>
  <r>
    <x v="10"/>
    <x v="62"/>
    <n v="1312905.8"/>
    <x v="0"/>
    <n v="76.64"/>
    <n v="3.7429999999999999"/>
    <n v="218.67886419999999"/>
    <n v="7.5739999999999998"/>
  </r>
  <r>
    <x v="10"/>
    <x v="63"/>
    <n v="1388118.53"/>
    <x v="0"/>
    <n v="78.31"/>
    <n v="3.8069999999999999"/>
    <n v="218.851237"/>
    <n v="7.5739999999999998"/>
  </r>
  <r>
    <x v="10"/>
    <x v="64"/>
    <n v="1357589.89"/>
    <x v="0"/>
    <n v="79.97"/>
    <n v="3.81"/>
    <n v="219.0236099"/>
    <n v="7.5739999999999998"/>
  </r>
  <r>
    <x v="10"/>
    <x v="65"/>
    <n v="1331453.4099999999"/>
    <x v="0"/>
    <n v="71.39"/>
    <n v="3.9060000000000001"/>
    <n v="219.1959827"/>
    <n v="7.5739999999999998"/>
  </r>
  <r>
    <x v="10"/>
    <x v="66"/>
    <n v="1277959.42"/>
    <x v="0"/>
    <n v="80.930000000000007"/>
    <n v="3.899"/>
    <n v="219.3683556"/>
    <n v="7.5739999999999998"/>
  </r>
  <r>
    <x v="10"/>
    <x v="67"/>
    <n v="1239466.97"/>
    <x v="0"/>
    <n v="76.97"/>
    <n v="3.907"/>
    <n v="219.127216"/>
    <n v="7.5739999999999998"/>
  </r>
  <r>
    <x v="10"/>
    <x v="68"/>
    <n v="1216876.52"/>
    <x v="0"/>
    <n v="85.61"/>
    <n v="3.786"/>
    <n v="218.8860765"/>
    <n v="7.5739999999999998"/>
  </r>
  <r>
    <x v="10"/>
    <x v="69"/>
    <n v="1343637"/>
    <x v="0"/>
    <n v="86.14"/>
    <n v="3.6989999999999998"/>
    <n v="218.6449369"/>
    <n v="7.5739999999999998"/>
  </r>
  <r>
    <x v="10"/>
    <x v="70"/>
    <n v="1314626.75"/>
    <x v="0"/>
    <n v="85.79"/>
    <n v="3.6480000000000001"/>
    <n v="218.4037974"/>
    <n v="7.5739999999999998"/>
  </r>
  <r>
    <x v="10"/>
    <x v="71"/>
    <n v="1337506.74"/>
    <x v="0"/>
    <n v="87.9"/>
    <n v="3.637"/>
    <n v="218.35517479999999"/>
    <n v="7.5739999999999998"/>
  </r>
  <r>
    <x v="10"/>
    <x v="72"/>
    <n v="1254587.8400000001"/>
    <x v="0"/>
    <n v="86.13"/>
    <n v="3.5939999999999999"/>
    <n v="218.45094"/>
    <n v="7.5739999999999998"/>
  </r>
  <r>
    <x v="10"/>
    <x v="73"/>
    <n v="1297472.06"/>
    <x v="0"/>
    <n v="86.43"/>
    <n v="3.524"/>
    <n v="218.54670519999999"/>
    <n v="7.5670000000000002"/>
  </r>
  <r>
    <x v="10"/>
    <x v="74"/>
    <n v="1334627.96"/>
    <x v="0"/>
    <n v="87.17"/>
    <n v="3.48"/>
    <n v="218.64247040000001"/>
    <n v="7.5670000000000002"/>
  </r>
  <r>
    <x v="10"/>
    <x v="75"/>
    <n v="1266546.73"/>
    <x v="0"/>
    <n v="88.3"/>
    <n v="3.5750000000000002"/>
    <n v="218.72752159999999"/>
    <n v="7.5670000000000002"/>
  </r>
  <r>
    <x v="10"/>
    <x v="76"/>
    <n v="1290576.44"/>
    <x v="0"/>
    <n v="87.8"/>
    <n v="3.6509999999999998"/>
    <n v="218.78578809999999"/>
    <n v="7.5670000000000002"/>
  </r>
  <r>
    <x v="10"/>
    <x v="77"/>
    <n v="1212938.67"/>
    <x v="0"/>
    <n v="89.46"/>
    <n v="3.6819999999999999"/>
    <n v="218.8440545"/>
    <n v="7.5670000000000002"/>
  </r>
  <r>
    <x v="10"/>
    <x v="78"/>
    <n v="1403198.94"/>
    <x v="0"/>
    <n v="90.04"/>
    <n v="3.6840000000000002"/>
    <n v="218.90232090000001"/>
    <n v="7.5670000000000002"/>
  </r>
  <r>
    <x v="10"/>
    <x v="79"/>
    <n v="1354188.43"/>
    <x v="0"/>
    <n v="90.3"/>
    <n v="3.6379999999999999"/>
    <n v="218.96058729999999"/>
    <n v="7.5670000000000002"/>
  </r>
  <r>
    <x v="10"/>
    <x v="80"/>
    <n v="1484169.74"/>
    <x v="0"/>
    <n v="89.51"/>
    <n v="3.5539999999999998"/>
    <n v="219.02327099999999"/>
    <n v="7.5670000000000002"/>
  </r>
  <r>
    <x v="10"/>
    <x v="81"/>
    <n v="1304706.75"/>
    <x v="0"/>
    <n v="89.09"/>
    <n v="3.5230000000000001"/>
    <n v="219.08669080000001"/>
    <n v="7.5670000000000002"/>
  </r>
  <r>
    <x v="10"/>
    <x v="82"/>
    <n v="1297792.4099999999"/>
    <x v="0"/>
    <n v="91.44"/>
    <n v="3.5329999999999999"/>
    <n v="219.1501106"/>
    <n v="7.5670000000000002"/>
  </r>
  <r>
    <x v="10"/>
    <x v="83"/>
    <n v="1249439.95"/>
    <x v="1"/>
    <n v="84.91"/>
    <n v="3.5459999999999998"/>
    <n v="219.21353049999999"/>
    <n v="7.5670000000000002"/>
  </r>
  <r>
    <x v="10"/>
    <x v="84"/>
    <n v="1270816.01"/>
    <x v="0"/>
    <n v="85.11"/>
    <n v="3.5259999999999998"/>
    <n v="219.3972867"/>
    <n v="7.5670000000000002"/>
  </r>
  <r>
    <x v="10"/>
    <x v="85"/>
    <n v="1235775.1499999999"/>
    <x v="0"/>
    <n v="82.14"/>
    <n v="3.4670000000000001"/>
    <n v="219.7414914"/>
    <n v="7.5670000000000002"/>
  </r>
  <r>
    <x v="10"/>
    <x v="86"/>
    <n v="1190515.83"/>
    <x v="0"/>
    <n v="84.4"/>
    <n v="3.355"/>
    <n v="220.08569600000001"/>
    <n v="7.5670000000000002"/>
  </r>
  <r>
    <x v="10"/>
    <x v="87"/>
    <n v="1346271.06"/>
    <x v="0"/>
    <n v="76.97"/>
    <n v="3.2850000000000001"/>
    <n v="220.42990069999999"/>
    <n v="7.1970000000000001"/>
  </r>
  <r>
    <x v="10"/>
    <x v="88"/>
    <n v="1286388.96"/>
    <x v="0"/>
    <n v="75.56"/>
    <n v="3.274"/>
    <n v="220.74861670000001"/>
    <n v="7.1970000000000001"/>
  </r>
  <r>
    <x v="10"/>
    <x v="89"/>
    <n v="1325107.53"/>
    <x v="0"/>
    <n v="70.91"/>
    <n v="3.3530000000000002"/>
    <n v="220.9144005"/>
    <n v="7.1970000000000001"/>
  </r>
  <r>
    <x v="10"/>
    <x v="90"/>
    <n v="1310684.1000000001"/>
    <x v="0"/>
    <n v="72.66"/>
    <n v="3.3719999999999999"/>
    <n v="221.08018419999999"/>
    <n v="7.1970000000000001"/>
  </r>
  <r>
    <x v="10"/>
    <x v="91"/>
    <n v="1458287.38"/>
    <x v="0"/>
    <n v="61.13"/>
    <n v="3.3319999999999999"/>
    <n v="221.245968"/>
    <n v="7.1970000000000001"/>
  </r>
  <r>
    <x v="10"/>
    <x v="92"/>
    <n v="1366053.69"/>
    <x v="0"/>
    <n v="64.2"/>
    <n v="3.2970000000000002"/>
    <n v="221.4117517"/>
    <n v="7.1970000000000001"/>
  </r>
  <r>
    <x v="10"/>
    <x v="93"/>
    <n v="1315091.6299999999"/>
    <x v="0"/>
    <n v="66.17"/>
    <n v="3.3079999999999998"/>
    <n v="221.64328520000001"/>
    <n v="7.1970000000000001"/>
  </r>
  <r>
    <x v="10"/>
    <x v="94"/>
    <n v="1848953.48"/>
    <x v="1"/>
    <n v="70.03"/>
    <n v="3.2360000000000002"/>
    <n v="221.9011185"/>
    <n v="7.1970000000000001"/>
  </r>
  <r>
    <x v="10"/>
    <x v="95"/>
    <n v="1399322.44"/>
    <x v="0"/>
    <n v="56.89"/>
    <n v="3.1720000000000002"/>
    <n v="222.15895190000001"/>
    <n v="7.1970000000000001"/>
  </r>
  <r>
    <x v="10"/>
    <x v="96"/>
    <n v="1646655.94"/>
    <x v="0"/>
    <n v="50.63"/>
    <n v="3.1579999999999999"/>
    <n v="222.41678519999999"/>
    <n v="7.1970000000000001"/>
  </r>
  <r>
    <x v="10"/>
    <x v="97"/>
    <n v="1783910.06"/>
    <x v="0"/>
    <n v="59.69"/>
    <n v="3.1589999999999998"/>
    <n v="222.64264180000001"/>
    <n v="7.1970000000000001"/>
  </r>
  <r>
    <x v="10"/>
    <x v="98"/>
    <n v="2213518.5"/>
    <x v="0"/>
    <n v="54.29"/>
    <n v="3.1120000000000001"/>
    <n v="222.82586280000001"/>
    <n v="7.1970000000000001"/>
  </r>
  <r>
    <x v="10"/>
    <x v="99"/>
    <n v="1352084.21"/>
    <x v="1"/>
    <n v="48.86"/>
    <n v="3.129"/>
    <n v="223.00908390000001"/>
    <n v="7.1970000000000001"/>
  </r>
  <r>
    <x v="10"/>
    <x v="100"/>
    <n v="1283885.55"/>
    <x v="0"/>
    <n v="54.44"/>
    <n v="3.157"/>
    <n v="223.19230490000001"/>
    <n v="6.8330000000000002"/>
  </r>
  <r>
    <x v="10"/>
    <x v="101"/>
    <n v="1264736.5900000001"/>
    <x v="0"/>
    <n v="53.1"/>
    <n v="3.2610000000000001"/>
    <n v="223.37552590000001"/>
    <n v="6.8330000000000002"/>
  </r>
  <r>
    <x v="10"/>
    <x v="102"/>
    <n v="1207303.29"/>
    <x v="0"/>
    <n v="56.43"/>
    <n v="3.2679999999999998"/>
    <n v="223.47005519999999"/>
    <n v="6.8330000000000002"/>
  </r>
  <r>
    <x v="10"/>
    <x v="103"/>
    <n v="1162675.8500000001"/>
    <x v="0"/>
    <n v="58.36"/>
    <n v="3.29"/>
    <n v="223.5645845"/>
    <n v="6.8330000000000002"/>
  </r>
  <r>
    <x v="10"/>
    <x v="104"/>
    <n v="1376732.18"/>
    <x v="0"/>
    <n v="60.24"/>
    <n v="3.36"/>
    <n v="223.65911370000001"/>
    <n v="6.8330000000000002"/>
  </r>
  <r>
    <x v="10"/>
    <x v="105"/>
    <n v="1574287.76"/>
    <x v="1"/>
    <n v="52.23"/>
    <n v="3.4089999999999998"/>
    <n v="223.75364300000001"/>
    <n v="6.8330000000000002"/>
  </r>
  <r>
    <x v="10"/>
    <x v="106"/>
    <n v="1569607.94"/>
    <x v="0"/>
    <n v="52.77"/>
    <n v="3.51"/>
    <n v="223.9170153"/>
    <n v="6.8330000000000002"/>
  </r>
  <r>
    <x v="10"/>
    <x v="107"/>
    <n v="1379473.03"/>
    <x v="0"/>
    <n v="61.11"/>
    <n v="3.5550000000000002"/>
    <n v="224.13201989999999"/>
    <n v="6.8330000000000002"/>
  </r>
  <r>
    <x v="10"/>
    <x v="108"/>
    <n v="1438383.44"/>
    <x v="0"/>
    <n v="62.61"/>
    <n v="3.63"/>
    <n v="224.3470245"/>
    <n v="6.8330000000000002"/>
  </r>
  <r>
    <x v="10"/>
    <x v="109"/>
    <n v="1413382.76"/>
    <x v="0"/>
    <n v="61.44"/>
    <n v="3.669"/>
    <n v="224.56202909999999"/>
    <n v="6.8330000000000002"/>
  </r>
  <r>
    <x v="10"/>
    <x v="110"/>
    <n v="1441884.28"/>
    <x v="0"/>
    <n v="64.209999999999994"/>
    <n v="3.734"/>
    <n v="224.7166953"/>
    <n v="6.8330000000000002"/>
  </r>
  <r>
    <x v="10"/>
    <x v="111"/>
    <n v="1300593.6100000001"/>
    <x v="0"/>
    <n v="67.16"/>
    <n v="3.7869999999999999"/>
    <n v="224.7909104"/>
    <n v="6.8330000000000002"/>
  </r>
  <r>
    <x v="10"/>
    <x v="112"/>
    <n v="1300104.03"/>
    <x v="0"/>
    <n v="70.23"/>
    <n v="3.8450000000000002"/>
    <n v="224.86512540000001"/>
    <n v="6.8330000000000002"/>
  </r>
  <r>
    <x v="10"/>
    <x v="113"/>
    <n v="1596325.01"/>
    <x v="0"/>
    <n v="74.19"/>
    <n v="3.891"/>
    <n v="224.93934049999999"/>
    <n v="6.6639999999999997"/>
  </r>
  <r>
    <x v="10"/>
    <x v="114"/>
    <n v="1472752.01"/>
    <x v="0"/>
    <n v="72.739999999999995"/>
    <n v="3.891"/>
    <n v="225.01355559999999"/>
    <n v="6.6639999999999997"/>
  </r>
  <r>
    <x v="10"/>
    <x v="115"/>
    <n v="1315356.99"/>
    <x v="0"/>
    <n v="71.97"/>
    <n v="3.8769999999999998"/>
    <n v="225.06895410000001"/>
    <n v="6.6639999999999997"/>
  </r>
  <r>
    <x v="10"/>
    <x v="116"/>
    <n v="1236238.29"/>
    <x v="0"/>
    <n v="73.400000000000006"/>
    <n v="3.8140000000000001"/>
    <n v="225.12435260000001"/>
    <n v="6.6639999999999997"/>
  </r>
  <r>
    <x v="10"/>
    <x v="117"/>
    <n v="1370251.22"/>
    <x v="0"/>
    <n v="79.069999999999993"/>
    <n v="3.7490000000000001"/>
    <n v="225.1797511"/>
    <n v="6.6639999999999997"/>
  </r>
  <r>
    <x v="10"/>
    <x v="118"/>
    <n v="1300147.07"/>
    <x v="0"/>
    <n v="75.13"/>
    <n v="3.6880000000000002"/>
    <n v="225.2351496"/>
    <n v="6.6639999999999997"/>
  </r>
  <r>
    <x v="10"/>
    <x v="119"/>
    <n v="1352442.31"/>
    <x v="0"/>
    <n v="72.53"/>
    <n v="3.63"/>
    <n v="225.25120240000001"/>
    <n v="6.6639999999999997"/>
  </r>
  <r>
    <x v="10"/>
    <x v="120"/>
    <n v="1297335.8700000001"/>
    <x v="0"/>
    <n v="78.44"/>
    <n v="3.5609999999999999"/>
    <n v="225.25151679999999"/>
    <n v="6.6639999999999997"/>
  </r>
  <r>
    <x v="10"/>
    <x v="121"/>
    <n v="1361595.33"/>
    <x v="0"/>
    <n v="81.67"/>
    <n v="3.5009999999999999"/>
    <n v="225.25183129999999"/>
    <n v="6.6639999999999997"/>
  </r>
  <r>
    <x v="10"/>
    <x v="122"/>
    <n v="1414343.53"/>
    <x v="0"/>
    <n v="82.1"/>
    <n v="3.452"/>
    <n v="225.25214579999999"/>
    <n v="6.6639999999999997"/>
  </r>
  <r>
    <x v="10"/>
    <x v="123"/>
    <n v="1417875.42"/>
    <x v="0"/>
    <n v="84.97"/>
    <n v="3.3929999999999998"/>
    <n v="225.26447949999999"/>
    <n v="6.6639999999999997"/>
  </r>
  <r>
    <x v="10"/>
    <x v="124"/>
    <n v="1355680.3"/>
    <x v="0"/>
    <n v="83.26"/>
    <n v="3.3460000000000001"/>
    <n v="225.3068615"/>
    <n v="6.6639999999999997"/>
  </r>
  <r>
    <x v="10"/>
    <x v="125"/>
    <n v="1297028.6000000001"/>
    <x v="0"/>
    <n v="87.86"/>
    <n v="3.286"/>
    <n v="225.3492435"/>
    <n v="6.6639999999999997"/>
  </r>
  <r>
    <x v="10"/>
    <x v="126"/>
    <n v="1461129.94"/>
    <x v="0"/>
    <n v="83.44"/>
    <n v="3.2269999999999999"/>
    <n v="225.39162540000001"/>
    <n v="6.3339999999999996"/>
  </r>
  <r>
    <x v="10"/>
    <x v="127"/>
    <n v="1320239.51"/>
    <x v="0"/>
    <n v="82.46"/>
    <n v="3.2559999999999998"/>
    <n v="225.43400740000001"/>
    <n v="6.3339999999999996"/>
  </r>
  <r>
    <x v="10"/>
    <x v="128"/>
    <n v="1344483.81"/>
    <x v="0"/>
    <n v="82.41"/>
    <n v="3.3109999999999999"/>
    <n v="225.44388269999999"/>
    <n v="6.3339999999999996"/>
  </r>
  <r>
    <x v="10"/>
    <x v="129"/>
    <n v="1272395.02"/>
    <x v="0"/>
    <n v="85.43"/>
    <n v="3.407"/>
    <n v="225.4537579"/>
    <n v="6.3339999999999996"/>
  </r>
  <r>
    <x v="10"/>
    <x v="130"/>
    <n v="1399341.07"/>
    <x v="0"/>
    <n v="86.94"/>
    <n v="3.4169999999999998"/>
    <n v="225.4636332"/>
    <n v="6.3339999999999996"/>
  </r>
  <r>
    <x v="10"/>
    <x v="131"/>
    <n v="1388973.65"/>
    <x v="0"/>
    <n v="86.21"/>
    <n v="3.4940000000000002"/>
    <n v="225.47350850000001"/>
    <n v="6.3339999999999996"/>
  </r>
  <r>
    <x v="10"/>
    <x v="132"/>
    <n v="1421307.2"/>
    <x v="0"/>
    <n v="87.73"/>
    <n v="3.5710000000000002"/>
    <n v="225.55586640000001"/>
    <n v="6.3339999999999996"/>
  </r>
  <r>
    <x v="10"/>
    <x v="133"/>
    <n v="1409515.73"/>
    <x v="0"/>
    <n v="83.17"/>
    <n v="3.62"/>
    <n v="225.69258640000001"/>
    <n v="6.3339999999999996"/>
  </r>
  <r>
    <x v="10"/>
    <x v="134"/>
    <n v="1372872.35"/>
    <x v="0"/>
    <n v="86.49"/>
    <n v="3.6379999999999999"/>
    <n v="225.82930630000001"/>
    <n v="6.3339999999999996"/>
  </r>
  <r>
    <x v="10"/>
    <x v="135"/>
    <n v="1304584.3999999999"/>
    <x v="1"/>
    <n v="85.17"/>
    <n v="3.73"/>
    <n v="225.96602630000001"/>
    <n v="6.3339999999999996"/>
  </r>
  <r>
    <x v="10"/>
    <x v="136"/>
    <n v="1267675.05"/>
    <x v="0"/>
    <n v="79.61"/>
    <n v="3.7170000000000001"/>
    <n v="226.1122067"/>
    <n v="6.3339999999999996"/>
  </r>
  <r>
    <x v="10"/>
    <x v="137"/>
    <n v="1326132.98"/>
    <x v="0"/>
    <n v="73.64"/>
    <n v="3.7210000000000001"/>
    <n v="226.31514960000001"/>
    <n v="6.3339999999999996"/>
  </r>
  <r>
    <x v="10"/>
    <x v="138"/>
    <n v="1227430.73"/>
    <x v="0"/>
    <n v="77.67"/>
    <n v="3.6659999999999999"/>
    <n v="226.51809259999999"/>
    <n v="6.3339999999999996"/>
  </r>
  <r>
    <x v="10"/>
    <x v="139"/>
    <n v="1422794.26"/>
    <x v="0"/>
    <n v="73.37"/>
    <n v="3.617"/>
    <n v="226.72103559999999"/>
    <n v="6.0339999999999998"/>
  </r>
  <r>
    <x v="10"/>
    <x v="140"/>
    <n v="1311965.0900000001"/>
    <x v="0"/>
    <n v="69.94"/>
    <n v="3.601"/>
    <n v="226.9239785"/>
    <n v="6.0339999999999998"/>
  </r>
  <r>
    <x v="10"/>
    <x v="141"/>
    <n v="1232073.18"/>
    <x v="0"/>
    <n v="73.77"/>
    <n v="3.5939999999999999"/>
    <n v="226.96884420000001"/>
    <n v="6.0339999999999998"/>
  </r>
  <r>
    <x v="10"/>
    <x v="142"/>
    <n v="1200729.45"/>
    <x v="0"/>
    <n v="74.260000000000005"/>
    <n v="3.5059999999999998"/>
    <n v="226.9873637"/>
    <n v="6.0339999999999998"/>
  </r>
  <r>
    <x v="11"/>
    <x v="0"/>
    <n v="1100046.3700000001"/>
    <x v="0"/>
    <n v="49.47"/>
    <n v="2.9620000000000002"/>
    <n v="126.4420645"/>
    <n v="13.975"/>
  </r>
  <r>
    <x v="11"/>
    <x v="1"/>
    <n v="1117863.33"/>
    <x v="1"/>
    <n v="47.87"/>
    <n v="2.9460000000000002"/>
    <n v="126.49625810000001"/>
    <n v="13.975"/>
  </r>
  <r>
    <x v="11"/>
    <x v="2"/>
    <n v="1095421.6499999999"/>
    <x v="0"/>
    <n v="54.83"/>
    <n v="2.915"/>
    <n v="126.5262857"/>
    <n v="13.975"/>
  </r>
  <r>
    <x v="11"/>
    <x v="3"/>
    <n v="1048617.17"/>
    <x v="0"/>
    <n v="50.23"/>
    <n v="2.8250000000000002"/>
    <n v="126.5522857"/>
    <n v="13.975"/>
  </r>
  <r>
    <x v="11"/>
    <x v="4"/>
    <n v="1077018.27"/>
    <x v="0"/>
    <n v="53.77"/>
    <n v="2.9870000000000001"/>
    <n v="126.5782857"/>
    <n v="13.975"/>
  </r>
  <r>
    <x v="11"/>
    <x v="5"/>
    <n v="985594.23"/>
    <x v="0"/>
    <n v="50.11"/>
    <n v="2.9249999999999998"/>
    <n v="126.60428570000001"/>
    <n v="13.975"/>
  </r>
  <r>
    <x v="11"/>
    <x v="6"/>
    <n v="972088.34"/>
    <x v="0"/>
    <n v="59.57"/>
    <n v="3.0539999999999998"/>
    <n v="126.6066452"/>
    <n v="13.975"/>
  </r>
  <r>
    <x v="11"/>
    <x v="7"/>
    <n v="981615.81"/>
    <x v="0"/>
    <n v="60.06"/>
    <n v="3.0830000000000002"/>
    <n v="126.6050645"/>
    <n v="13.975"/>
  </r>
  <r>
    <x v="11"/>
    <x v="8"/>
    <n v="1011822.3"/>
    <x v="0"/>
    <n v="59.84"/>
    <n v="3.0859999999999999"/>
    <n v="126.6034839"/>
    <n v="14.099"/>
  </r>
  <r>
    <x v="11"/>
    <x v="9"/>
    <n v="1041238.87"/>
    <x v="0"/>
    <n v="59.25"/>
    <n v="3.09"/>
    <n v="126.6019032"/>
    <n v="14.099"/>
  </r>
  <r>
    <x v="11"/>
    <x v="10"/>
    <n v="957997.52"/>
    <x v="0"/>
    <n v="64.95"/>
    <n v="3.109"/>
    <n v="126.5621"/>
    <n v="14.099"/>
  </r>
  <r>
    <x v="11"/>
    <x v="11"/>
    <n v="993833.44"/>
    <x v="0"/>
    <n v="64.55"/>
    <n v="3.05"/>
    <n v="126.4713333"/>
    <n v="14.099"/>
  </r>
  <r>
    <x v="11"/>
    <x v="12"/>
    <n v="954220.22"/>
    <x v="0"/>
    <n v="67.38"/>
    <n v="3.105"/>
    <n v="126.3805667"/>
    <n v="14.099"/>
  </r>
  <r>
    <x v="11"/>
    <x v="13"/>
    <n v="1043240.27"/>
    <x v="0"/>
    <n v="70.150000000000006"/>
    <n v="3.1269999999999998"/>
    <n v="126.2898"/>
    <n v="14.099"/>
  </r>
  <r>
    <x v="11"/>
    <x v="14"/>
    <n v="966054.97"/>
    <x v="0"/>
    <n v="68.44"/>
    <n v="3.145"/>
    <n v="126.2085484"/>
    <n v="14.099"/>
  </r>
  <r>
    <x v="11"/>
    <x v="15"/>
    <n v="958374.56"/>
    <x v="0"/>
    <n v="76.2"/>
    <n v="3.12"/>
    <n v="126.1843871"/>
    <n v="14.099"/>
  </r>
  <r>
    <x v="11"/>
    <x v="16"/>
    <n v="955451.16"/>
    <x v="0"/>
    <n v="67.84"/>
    <n v="3.0579999999999998"/>
    <n v="126.16022580000001"/>
    <n v="14.099"/>
  </r>
  <r>
    <x v="11"/>
    <x v="17"/>
    <n v="1049357.3600000001"/>
    <x v="0"/>
    <n v="81.39"/>
    <n v="2.9409999999999998"/>
    <n v="126.1360645"/>
    <n v="14.099"/>
  </r>
  <r>
    <x v="11"/>
    <x v="18"/>
    <n v="1016039.71"/>
    <x v="0"/>
    <n v="90.84"/>
    <n v="2.9489999999999998"/>
    <n v="126.1119032"/>
    <n v="14.099"/>
  </r>
  <r>
    <x v="11"/>
    <x v="19"/>
    <n v="956211.19999999995"/>
    <x v="0"/>
    <n v="81.06"/>
    <n v="3.0430000000000001"/>
    <n v="126.114"/>
    <n v="14.099"/>
  </r>
  <r>
    <x v="11"/>
    <x v="20"/>
    <n v="958007.69"/>
    <x v="0"/>
    <n v="87.27"/>
    <n v="3.0840000000000001"/>
    <n v="126.1266"/>
    <n v="14.099"/>
  </r>
  <r>
    <x v="11"/>
    <x v="21"/>
    <n v="951957.31"/>
    <x v="0"/>
    <n v="91.98"/>
    <n v="3.105"/>
    <n v="126.1392"/>
    <n v="14.18"/>
  </r>
  <r>
    <x v="11"/>
    <x v="22"/>
    <n v="943506.28"/>
    <x v="0"/>
    <n v="90.37"/>
    <n v="3.1"/>
    <n v="126.15179999999999"/>
    <n v="14.18"/>
  </r>
  <r>
    <x v="11"/>
    <x v="23"/>
    <n v="916402.76"/>
    <x v="0"/>
    <n v="97.18"/>
    <n v="3.0939999999999999"/>
    <n v="126.1498065"/>
    <n v="14.18"/>
  </r>
  <r>
    <x v="11"/>
    <x v="24"/>
    <n v="912403.67"/>
    <x v="0"/>
    <n v="99.22"/>
    <n v="3.1120000000000001"/>
    <n v="126.1283548"/>
    <n v="14.18"/>
  </r>
  <r>
    <x v="11"/>
    <x v="25"/>
    <n v="913548.25"/>
    <x v="0"/>
    <n v="96.31"/>
    <n v="3.0169999999999999"/>
    <n v="126.1069032"/>
    <n v="14.18"/>
  </r>
  <r>
    <x v="11"/>
    <x v="26"/>
    <n v="967576.95"/>
    <x v="0"/>
    <n v="92.95"/>
    <n v="3.1230000000000002"/>
    <n v="126.0854516"/>
    <n v="14.18"/>
  </r>
  <r>
    <x v="11"/>
    <x v="27"/>
    <n v="928264.4"/>
    <x v="0"/>
    <n v="87.01"/>
    <n v="3.1589999999999998"/>
    <n v="126.06399999999999"/>
    <n v="14.18"/>
  </r>
  <r>
    <x v="11"/>
    <x v="28"/>
    <n v="948447.34"/>
    <x v="0"/>
    <n v="92.81"/>
    <n v="3.0409999999999999"/>
    <n v="126.0766452"/>
    <n v="14.18"/>
  </r>
  <r>
    <x v="11"/>
    <x v="29"/>
    <n v="1004516.46"/>
    <x v="0"/>
    <n v="93.19"/>
    <n v="3.129"/>
    <n v="126.0892903"/>
    <n v="14.18"/>
  </r>
  <r>
    <x v="11"/>
    <x v="30"/>
    <n v="1075758.55"/>
    <x v="0"/>
    <n v="83.12"/>
    <n v="3.0870000000000002"/>
    <n v="126.1019355"/>
    <n v="14.18"/>
  </r>
  <r>
    <x v="11"/>
    <x v="31"/>
    <n v="903119.03"/>
    <x v="1"/>
    <n v="83.63"/>
    <n v="3.044"/>
    <n v="126.1145806"/>
    <n v="14.18"/>
  </r>
  <r>
    <x v="11"/>
    <x v="32"/>
    <n v="852882.61"/>
    <x v="0"/>
    <n v="82.45"/>
    <n v="3.028"/>
    <n v="126.1454667"/>
    <n v="14.18"/>
  </r>
  <r>
    <x v="11"/>
    <x v="33"/>
    <n v="851919.34"/>
    <x v="0"/>
    <n v="81.77"/>
    <n v="2.9390000000000001"/>
    <n v="126.1900333"/>
    <n v="14.18"/>
  </r>
  <r>
    <x v="11"/>
    <x v="34"/>
    <n v="850936.26"/>
    <x v="0"/>
    <n v="85.2"/>
    <n v="3.0009999999999999"/>
    <n v="126.2346"/>
    <n v="14.313000000000001"/>
  </r>
  <r>
    <x v="11"/>
    <x v="35"/>
    <n v="918335.68"/>
    <x v="0"/>
    <n v="71.819999999999993"/>
    <n v="3.0129999999999999"/>
    <n v="126.2791667"/>
    <n v="14.313000000000001"/>
  </r>
  <r>
    <x v="11"/>
    <x v="36"/>
    <n v="862419.84"/>
    <x v="0"/>
    <n v="75"/>
    <n v="2.976"/>
    <n v="126.32667739999999"/>
    <n v="14.313000000000001"/>
  </r>
  <r>
    <x v="11"/>
    <x v="37"/>
    <n v="857883.46"/>
    <x v="0"/>
    <n v="68.849999999999994"/>
    <n v="3.0139999999999998"/>
    <n v="126.3815484"/>
    <n v="14.313000000000001"/>
  </r>
  <r>
    <x v="11"/>
    <x v="38"/>
    <n v="955294.7"/>
    <x v="0"/>
    <n v="61.09"/>
    <n v="3.016"/>
    <n v="126.43641940000001"/>
    <n v="14.313000000000001"/>
  </r>
  <r>
    <x v="11"/>
    <x v="39"/>
    <n v="929690.71"/>
    <x v="0"/>
    <n v="65.489999999999995"/>
    <n v="3.129"/>
    <n v="126.4912903"/>
    <n v="14.313000000000001"/>
  </r>
  <r>
    <x v="11"/>
    <x v="40"/>
    <n v="942475.24"/>
    <x v="0"/>
    <n v="57.79"/>
    <n v="3.13"/>
    <n v="126.54616129999999"/>
    <n v="14.313000000000001"/>
  </r>
  <r>
    <x v="11"/>
    <x v="41"/>
    <n v="894493.7"/>
    <x v="0"/>
    <n v="58.18"/>
    <n v="3.161"/>
    <n v="126.60720000000001"/>
    <n v="14.313000000000001"/>
  </r>
  <r>
    <x v="11"/>
    <x v="42"/>
    <n v="1601377.41"/>
    <x v="1"/>
    <n v="47.66"/>
    <n v="3.1619999999999999"/>
    <n v="126.66926669999999"/>
    <n v="14.313000000000001"/>
  </r>
  <r>
    <x v="11"/>
    <x v="43"/>
    <n v="1069533.17"/>
    <x v="0"/>
    <n v="43.33"/>
    <n v="3.0409999999999999"/>
    <n v="126.7313333"/>
    <n v="14.313000000000001"/>
  </r>
  <r>
    <x v="11"/>
    <x v="44"/>
    <n v="1121934.1499999999"/>
    <x v="0"/>
    <n v="50.01"/>
    <n v="3.2029999999999998"/>
    <n v="126.79340000000001"/>
    <n v="14.313000000000001"/>
  </r>
  <r>
    <x v="11"/>
    <x v="45"/>
    <n v="1295605.3500000001"/>
    <x v="0"/>
    <n v="52.77"/>
    <n v="3.2360000000000002"/>
    <n v="126.8794839"/>
    <n v="14.313000000000001"/>
  </r>
  <r>
    <x v="11"/>
    <x v="46"/>
    <n v="1768249.89"/>
    <x v="0"/>
    <n v="52.02"/>
    <n v="3.2360000000000002"/>
    <n v="126.9835806"/>
    <n v="14.313000000000001"/>
  </r>
  <r>
    <x v="11"/>
    <x v="47"/>
    <n v="891736.91"/>
    <x v="1"/>
    <n v="45.64"/>
    <n v="3.1480000000000001"/>
    <n v="127.0876774"/>
    <n v="14.313000000000001"/>
  </r>
  <r>
    <x v="11"/>
    <x v="48"/>
    <n v="910110.24"/>
    <x v="0"/>
    <n v="37.64"/>
    <n v="3.2869999999999999"/>
    <n v="127.1917742"/>
    <n v="14.021000000000001"/>
  </r>
  <r>
    <x v="11"/>
    <x v="49"/>
    <n v="812011.8"/>
    <x v="0"/>
    <n v="43.15"/>
    <n v="3.3119999999999998"/>
    <n v="127.30093549999999"/>
    <n v="14.021000000000001"/>
  </r>
  <r>
    <x v="11"/>
    <x v="50"/>
    <n v="802105.5"/>
    <x v="0"/>
    <n v="53.53"/>
    <n v="3.2229999999999999"/>
    <n v="127.4404839"/>
    <n v="14.021000000000001"/>
  </r>
  <r>
    <x v="11"/>
    <x v="51"/>
    <n v="873119.06"/>
    <x v="0"/>
    <n v="50.74"/>
    <n v="3.3420000000000001"/>
    <n v="127.5800323"/>
    <n v="14.021000000000001"/>
  </r>
  <r>
    <x v="11"/>
    <x v="52"/>
    <n v="1046068.17"/>
    <x v="0"/>
    <n v="45.14"/>
    <n v="3.3479999999999999"/>
    <n v="127.7195806"/>
    <n v="14.021000000000001"/>
  </r>
  <r>
    <x v="11"/>
    <x v="53"/>
    <n v="1086421.57"/>
    <x v="1"/>
    <n v="51.3"/>
    <n v="3.3809999999999998"/>
    <n v="127.859129"/>
    <n v="14.021000000000001"/>
  </r>
  <r>
    <x v="11"/>
    <x v="54"/>
    <n v="1128485.1000000001"/>
    <x v="0"/>
    <n v="53.35"/>
    <n v="3.43"/>
    <n v="127.99525"/>
    <n v="14.021000000000001"/>
  </r>
  <r>
    <x v="11"/>
    <x v="55"/>
    <n v="1046203.72"/>
    <x v="0"/>
    <n v="48.45"/>
    <n v="3.53"/>
    <n v="128.13"/>
    <n v="14.021000000000001"/>
  </r>
  <r>
    <x v="11"/>
    <x v="56"/>
    <n v="1085248.21"/>
    <x v="0"/>
    <n v="51.72"/>
    <n v="3.6739999999999999"/>
    <n v="128.26474999999999"/>
    <n v="14.021000000000001"/>
  </r>
  <r>
    <x v="11"/>
    <x v="57"/>
    <n v="997672.62"/>
    <x v="0"/>
    <n v="57.75"/>
    <n v="3.8180000000000001"/>
    <n v="128.39949999999999"/>
    <n v="14.021000000000001"/>
  </r>
  <r>
    <x v="11"/>
    <x v="58"/>
    <n v="1009502.01"/>
    <x v="0"/>
    <n v="64.209999999999994"/>
    <n v="3.6920000000000002"/>
    <n v="128.5121935"/>
    <n v="14.021000000000001"/>
  </r>
  <r>
    <x v="11"/>
    <x v="59"/>
    <n v="954107.32"/>
    <x v="0"/>
    <n v="54.4"/>
    <n v="3.9089999999999998"/>
    <n v="128.61606449999999"/>
    <n v="14.021000000000001"/>
  </r>
  <r>
    <x v="11"/>
    <x v="60"/>
    <n v="1005463.49"/>
    <x v="0"/>
    <n v="63.63"/>
    <n v="3.7719999999999998"/>
    <n v="128.71993549999999"/>
    <n v="13.736000000000001"/>
  </r>
  <r>
    <x v="11"/>
    <x v="61"/>
    <n v="998362.05"/>
    <x v="0"/>
    <n v="64.47"/>
    <n v="4.0030000000000001"/>
    <n v="128.82380649999999"/>
    <n v="13.736000000000001"/>
  </r>
  <r>
    <x v="11"/>
    <x v="62"/>
    <n v="990951.77"/>
    <x v="0"/>
    <n v="57.63"/>
    <n v="3.8679999999999999"/>
    <n v="128.9107333"/>
    <n v="13.736000000000001"/>
  </r>
  <r>
    <x v="11"/>
    <x v="63"/>
    <n v="1016019.47"/>
    <x v="0"/>
    <n v="72.12"/>
    <n v="4.1340000000000003"/>
    <n v="128.95529999999999"/>
    <n v="13.736000000000001"/>
  </r>
  <r>
    <x v="11"/>
    <x v="64"/>
    <n v="994966.1"/>
    <x v="0"/>
    <n v="68.27"/>
    <n v="4.1509999999999998"/>
    <n v="128.99986670000001"/>
    <n v="13.736000000000001"/>
  </r>
  <r>
    <x v="11"/>
    <x v="65"/>
    <n v="1021154.48"/>
    <x v="0"/>
    <n v="68.400000000000006"/>
    <n v="4.1929999999999996"/>
    <n v="129.04443330000001"/>
    <n v="13.736000000000001"/>
  </r>
  <r>
    <x v="11"/>
    <x v="66"/>
    <n v="977033.5"/>
    <x v="0"/>
    <n v="70.930000000000007"/>
    <n v="4.202"/>
    <n v="129.089"/>
    <n v="13.736000000000001"/>
  </r>
  <r>
    <x v="11"/>
    <x v="67"/>
    <n v="924134.99"/>
    <x v="0"/>
    <n v="66.59"/>
    <n v="4.1689999999999996"/>
    <n v="129.07567739999999"/>
    <n v="13.736000000000001"/>
  </r>
  <r>
    <x v="11"/>
    <x v="68"/>
    <n v="964332.51"/>
    <x v="0"/>
    <n v="76.67"/>
    <n v="4.0869999999999997"/>
    <n v="129.06235480000001"/>
    <n v="13.736000000000001"/>
  </r>
  <r>
    <x v="11"/>
    <x v="69"/>
    <n v="970328.68"/>
    <x v="0"/>
    <n v="71.81"/>
    <n v="4.0309999999999997"/>
    <n v="129.04903229999999"/>
    <n v="13.736000000000001"/>
  </r>
  <r>
    <x v="11"/>
    <x v="70"/>
    <n v="996937.95"/>
    <x v="0"/>
    <n v="78.72"/>
    <n v="3.9809999999999999"/>
    <n v="129.03570970000001"/>
    <n v="13.736000000000001"/>
  </r>
  <r>
    <x v="11"/>
    <x v="71"/>
    <n v="986504.93"/>
    <x v="0"/>
    <n v="86.84"/>
    <n v="3.9350000000000001"/>
    <n v="129.04320000000001"/>
    <n v="13.736000000000001"/>
  </r>
  <r>
    <x v="11"/>
    <x v="72"/>
    <n v="997282.75"/>
    <x v="0"/>
    <n v="88.95"/>
    <n v="3.8980000000000001"/>
    <n v="129.06630000000001"/>
    <n v="13.736000000000001"/>
  </r>
  <r>
    <x v="11"/>
    <x v="73"/>
    <n v="961993.34"/>
    <x v="0"/>
    <n v="89.85"/>
    <n v="3.8420000000000001"/>
    <n v="129.08940000000001"/>
    <n v="13.503"/>
  </r>
  <r>
    <x v="11"/>
    <x v="74"/>
    <n v="943717.38"/>
    <x v="0"/>
    <n v="89.9"/>
    <n v="3.7050000000000001"/>
    <n v="129.11250000000001"/>
    <n v="13.503"/>
  </r>
  <r>
    <x v="11"/>
    <x v="75"/>
    <n v="936001.98"/>
    <x v="0"/>
    <n v="88.1"/>
    <n v="3.6920000000000002"/>
    <n v="129.13383870000001"/>
    <n v="13.503"/>
  </r>
  <r>
    <x v="11"/>
    <x v="76"/>
    <n v="922231.92"/>
    <x v="0"/>
    <n v="91.17"/>
    <n v="3.794"/>
    <n v="129.1507742"/>
    <n v="13.503"/>
  </r>
  <r>
    <x v="11"/>
    <x v="77"/>
    <n v="890547.07"/>
    <x v="0"/>
    <n v="93.29"/>
    <n v="3.8050000000000002"/>
    <n v="129.16770969999999"/>
    <n v="13.503"/>
  </r>
  <r>
    <x v="11"/>
    <x v="78"/>
    <n v="988712.52"/>
    <x v="0"/>
    <n v="90.61"/>
    <n v="3.8029999999999999"/>
    <n v="129.18464520000001"/>
    <n v="13.503"/>
  </r>
  <r>
    <x v="11"/>
    <x v="79"/>
    <n v="955913.68"/>
    <x v="0"/>
    <n v="91.04"/>
    <n v="3.7010000000000001"/>
    <n v="129.2015806"/>
    <n v="13.503"/>
  </r>
  <r>
    <x v="11"/>
    <x v="80"/>
    <n v="966817.24"/>
    <x v="0"/>
    <n v="91.74"/>
    <n v="3.7429999999999999"/>
    <n v="129.24058059999999"/>
    <n v="13.503"/>
  </r>
  <r>
    <x v="11"/>
    <x v="81"/>
    <n v="1017593.47"/>
    <x v="0"/>
    <n v="94.61"/>
    <n v="3.74"/>
    <n v="129.28325810000001"/>
    <n v="13.503"/>
  </r>
  <r>
    <x v="11"/>
    <x v="82"/>
    <n v="1052051.45"/>
    <x v="0"/>
    <n v="93.66"/>
    <n v="3.798"/>
    <n v="129.32593550000001"/>
    <n v="13.503"/>
  </r>
  <r>
    <x v="11"/>
    <x v="83"/>
    <n v="922850.57"/>
    <x v="1"/>
    <n v="88"/>
    <n v="3.9129999999999998"/>
    <n v="129.36861289999999"/>
    <n v="13.503"/>
  </r>
  <r>
    <x v="11"/>
    <x v="84"/>
    <n v="889290.23"/>
    <x v="0"/>
    <n v="76.36"/>
    <n v="3.9180000000000001"/>
    <n v="129.4306"/>
    <n v="13.503"/>
  </r>
  <r>
    <x v="11"/>
    <x v="85"/>
    <n v="871692.74"/>
    <x v="0"/>
    <n v="82.95"/>
    <n v="3.7890000000000001"/>
    <n v="129.51833329999999"/>
    <n v="13.503"/>
  </r>
  <r>
    <x v="11"/>
    <x v="86"/>
    <n v="866401.45"/>
    <x v="0"/>
    <n v="83.26"/>
    <n v="3.8769999999999998"/>
    <n v="129.60606670000001"/>
    <n v="13.503"/>
  </r>
  <r>
    <x v="11"/>
    <x v="87"/>
    <n v="951244.66"/>
    <x v="0"/>
    <n v="70.44"/>
    <n v="3.827"/>
    <n v="129.69380000000001"/>
    <n v="12.89"/>
  </r>
  <r>
    <x v="11"/>
    <x v="88"/>
    <n v="927600.01"/>
    <x v="0"/>
    <n v="67.31"/>
    <n v="3.8050000000000002"/>
    <n v="129.77064519999999"/>
    <n v="12.89"/>
  </r>
  <r>
    <x v="11"/>
    <x v="89"/>
    <n v="938604.58"/>
    <x v="0"/>
    <n v="73.05"/>
    <n v="3.8420000000000001"/>
    <n v="129.78216130000001"/>
    <n v="12.89"/>
  </r>
  <r>
    <x v="11"/>
    <x v="90"/>
    <n v="990926.38"/>
    <x v="0"/>
    <n v="67.41"/>
    <n v="3.7269999999999999"/>
    <n v="129.79367740000001"/>
    <n v="12.89"/>
  </r>
  <r>
    <x v="11"/>
    <x v="91"/>
    <n v="1051944.79"/>
    <x v="0"/>
    <n v="59.77"/>
    <n v="3.8279999999999998"/>
    <n v="129.8051935"/>
    <n v="12.89"/>
  </r>
  <r>
    <x v="11"/>
    <x v="92"/>
    <n v="1095091.53"/>
    <x v="0"/>
    <n v="48.76"/>
    <n v="3.8239999999999998"/>
    <n v="129.81670969999999"/>
    <n v="12.89"/>
  </r>
  <r>
    <x v="11"/>
    <x v="93"/>
    <n v="970641.34"/>
    <x v="0"/>
    <n v="54.2"/>
    <n v="3.8130000000000002"/>
    <n v="129.8268333"/>
    <n v="12.89"/>
  </r>
  <r>
    <x v="11"/>
    <x v="94"/>
    <n v="1591920.42"/>
    <x v="1"/>
    <n v="53.25"/>
    <n v="3.6219999999999999"/>
    <n v="129.8364"/>
    <n v="12.89"/>
  </r>
  <r>
    <x v="11"/>
    <x v="95"/>
    <n v="1071383.1000000001"/>
    <x v="0"/>
    <n v="52.5"/>
    <n v="3.7010000000000001"/>
    <n v="129.84596669999999"/>
    <n v="12.89"/>
  </r>
  <r>
    <x v="11"/>
    <x v="96"/>
    <n v="1189646.45"/>
    <x v="0"/>
    <n v="42.17"/>
    <n v="3.6440000000000001"/>
    <n v="129.85553329999999"/>
    <n v="12.89"/>
  </r>
  <r>
    <x v="11"/>
    <x v="97"/>
    <n v="1293404.18"/>
    <x v="0"/>
    <n v="43.29"/>
    <n v="3.6"/>
    <n v="129.8980645"/>
    <n v="12.89"/>
  </r>
  <r>
    <x v="11"/>
    <x v="98"/>
    <n v="1617612.03"/>
    <x v="0"/>
    <n v="45.4"/>
    <n v="3.5409999999999999"/>
    <n v="129.98454839999999"/>
    <n v="12.89"/>
  </r>
  <r>
    <x v="11"/>
    <x v="99"/>
    <n v="1111638.07"/>
    <x v="1"/>
    <n v="44.64"/>
    <n v="3.4279999999999999"/>
    <n v="130.07103230000001"/>
    <n v="12.89"/>
  </r>
  <r>
    <x v="11"/>
    <x v="100"/>
    <n v="945823.65"/>
    <x v="0"/>
    <n v="50.43"/>
    <n v="3.5990000000000002"/>
    <n v="130.15751610000001"/>
    <n v="12.186999999999999"/>
  </r>
  <r>
    <x v="11"/>
    <x v="101"/>
    <n v="865467.86"/>
    <x v="0"/>
    <n v="48.07"/>
    <n v="3.657"/>
    <n v="130.244"/>
    <n v="12.186999999999999"/>
  </r>
  <r>
    <x v="11"/>
    <x v="102"/>
    <n v="855922.64"/>
    <x v="0"/>
    <n v="46.2"/>
    <n v="3.66"/>
    <n v="130.27922580000001"/>
    <n v="12.186999999999999"/>
  </r>
  <r>
    <x v="11"/>
    <x v="103"/>
    <n v="888203.69"/>
    <x v="0"/>
    <n v="50.43"/>
    <n v="3.6749999999999998"/>
    <n v="130.31445160000001"/>
    <n v="12.186999999999999"/>
  </r>
  <r>
    <x v="11"/>
    <x v="104"/>
    <n v="1058767.95"/>
    <x v="0"/>
    <n v="50.58"/>
    <n v="3.702"/>
    <n v="130.34967739999999"/>
    <n v="12.186999999999999"/>
  </r>
  <r>
    <x v="11"/>
    <x v="105"/>
    <n v="1199330.8500000001"/>
    <x v="1"/>
    <n v="52.27"/>
    <n v="3.722"/>
    <n v="130.3849032"/>
    <n v="12.186999999999999"/>
  </r>
  <r>
    <x v="11"/>
    <x v="106"/>
    <n v="1240048.8500000001"/>
    <x v="0"/>
    <n v="51.8"/>
    <n v="3.7810000000000001"/>
    <n v="130.45462069999999"/>
    <n v="12.186999999999999"/>
  </r>
  <r>
    <x v="11"/>
    <x v="107"/>
    <n v="1112034.72"/>
    <x v="0"/>
    <n v="53.13"/>
    <n v="3.95"/>
    <n v="130.55020690000001"/>
    <n v="12.186999999999999"/>
  </r>
  <r>
    <x v="11"/>
    <x v="108"/>
    <n v="1147636.96"/>
    <x v="0"/>
    <n v="52.27"/>
    <n v="4.1779999999999999"/>
    <n v="130.64579309999999"/>
    <n v="12.186999999999999"/>
  </r>
  <r>
    <x v="11"/>
    <x v="109"/>
    <n v="1113208.57"/>
    <x v="0"/>
    <n v="54.54"/>
    <n v="4.25"/>
    <n v="130.74137930000001"/>
    <n v="12.186999999999999"/>
  </r>
  <r>
    <x v="11"/>
    <x v="110"/>
    <n v="1088498.52"/>
    <x v="0"/>
    <n v="64.44"/>
    <n v="4.2729999999999997"/>
    <n v="130.82619349999999"/>
    <n v="12.186999999999999"/>
  </r>
  <r>
    <x v="11"/>
    <x v="111"/>
    <n v="1045419.87"/>
    <x v="0"/>
    <n v="56.26"/>
    <n v="4.0380000000000003"/>
    <n v="130.89664519999999"/>
    <n v="12.186999999999999"/>
  </r>
  <r>
    <x v="11"/>
    <x v="112"/>
    <n v="1025382.22"/>
    <x v="0"/>
    <n v="64.36"/>
    <n v="4.2939999999999996"/>
    <n v="130.96709680000001"/>
    <n v="12.186999999999999"/>
  </r>
  <r>
    <x v="11"/>
    <x v="113"/>
    <n v="1128765.71"/>
    <x v="0"/>
    <n v="64.05"/>
    <n v="4.1210000000000004"/>
    <n v="131.03754839999999"/>
    <n v="11.627000000000001"/>
  </r>
  <r>
    <x v="11"/>
    <x v="114"/>
    <n v="1083811.19"/>
    <x v="0"/>
    <n v="64.28"/>
    <n v="4.2539999999999996"/>
    <n v="131.108"/>
    <n v="11.627000000000001"/>
  </r>
  <r>
    <x v="11"/>
    <x v="115"/>
    <n v="1006486.96"/>
    <x v="0"/>
    <n v="66.73"/>
    <n v="4.2220000000000004"/>
    <n v="131.11733330000001"/>
    <n v="11.627000000000001"/>
  </r>
  <r>
    <x v="11"/>
    <x v="116"/>
    <n v="1004252.38"/>
    <x v="0"/>
    <n v="77.989999999999995"/>
    <n v="4.1929999999999996"/>
    <n v="131.12666669999999"/>
    <n v="11.627000000000001"/>
  </r>
  <r>
    <x v="11"/>
    <x v="117"/>
    <n v="1073433.69"/>
    <x v="0"/>
    <n v="76.03"/>
    <n v="4.1710000000000003"/>
    <n v="131.136"/>
    <n v="11.627000000000001"/>
  </r>
  <r>
    <x v="11"/>
    <x v="118"/>
    <n v="1041995.22"/>
    <x v="0"/>
    <n v="77.27"/>
    <n v="4.1859999999999999"/>
    <n v="131.1453333"/>
    <n v="11.627000000000001"/>
  </r>
  <r>
    <x v="11"/>
    <x v="119"/>
    <n v="1020486.05"/>
    <x v="0"/>
    <n v="84.51"/>
    <n v="4.1100000000000003"/>
    <n v="131.09832259999999"/>
    <n v="11.627000000000001"/>
  </r>
  <r>
    <x v="11"/>
    <x v="120"/>
    <n v="991514.21"/>
    <x v="0"/>
    <n v="83.84"/>
    <n v="4.2930000000000001"/>
    <n v="131.02877419999999"/>
    <n v="11.627000000000001"/>
  </r>
  <r>
    <x v="11"/>
    <x v="121"/>
    <n v="981345.2"/>
    <x v="0"/>
    <n v="78.11"/>
    <n v="4.2770000000000001"/>
    <n v="130.95922580000001"/>
    <n v="11.627000000000001"/>
  </r>
  <r>
    <x v="11"/>
    <x v="122"/>
    <n v="1086231.47"/>
    <x v="0"/>
    <n v="84.83"/>
    <n v="4.1029999999999998"/>
    <n v="130.88967740000001"/>
    <n v="11.627000000000001"/>
  </r>
  <r>
    <x v="11"/>
    <x v="123"/>
    <n v="1019555.51"/>
    <x v="0"/>
    <n v="85.94"/>
    <n v="4.1440000000000001"/>
    <n v="130.82953330000001"/>
    <n v="11.627000000000001"/>
  </r>
  <r>
    <x v="11"/>
    <x v="124"/>
    <n v="981386.25"/>
    <x v="0"/>
    <n v="91.61"/>
    <n v="4.0140000000000002"/>
    <n v="130.7929"/>
    <n v="11.627000000000001"/>
  </r>
  <r>
    <x v="11"/>
    <x v="125"/>
    <n v="943124.74"/>
    <x v="0"/>
    <n v="90.47"/>
    <n v="3.875"/>
    <n v="130.7562667"/>
    <n v="11.627000000000001"/>
  </r>
  <r>
    <x v="11"/>
    <x v="126"/>
    <n v="1014898.78"/>
    <x v="0"/>
    <n v="89.13"/>
    <n v="3.7650000000000001"/>
    <n v="130.7196333"/>
    <n v="10.926"/>
  </r>
  <r>
    <x v="11"/>
    <x v="127"/>
    <n v="960312.75"/>
    <x v="0"/>
    <n v="95.61"/>
    <n v="3.7229999999999999"/>
    <n v="130.68299999999999"/>
    <n v="10.926"/>
  </r>
  <r>
    <x v="11"/>
    <x v="128"/>
    <n v="941550.34"/>
    <x v="0"/>
    <n v="85.53"/>
    <n v="3.726"/>
    <n v="130.70129030000001"/>
    <n v="10.926"/>
  </r>
  <r>
    <x v="11"/>
    <x v="129"/>
    <n v="916967.92"/>
    <x v="0"/>
    <n v="93.47"/>
    <n v="3.7690000000000001"/>
    <n v="130.7195806"/>
    <n v="10.926"/>
  </r>
  <r>
    <x v="11"/>
    <x v="130"/>
    <n v="958667.23"/>
    <x v="0"/>
    <n v="88.16"/>
    <n v="3.76"/>
    <n v="130.73787100000001"/>
    <n v="10.926"/>
  </r>
  <r>
    <x v="11"/>
    <x v="131"/>
    <n v="984689.9"/>
    <x v="0"/>
    <n v="95.91"/>
    <n v="3.8109999999999999"/>
    <n v="130.7561613"/>
    <n v="10.926"/>
  </r>
  <r>
    <x v="11"/>
    <x v="132"/>
    <n v="1005003.12"/>
    <x v="0"/>
    <n v="94.87"/>
    <n v="4.0019999999999998"/>
    <n v="130.79096770000001"/>
    <n v="10.926"/>
  </r>
  <r>
    <x v="11"/>
    <x v="133"/>
    <n v="1048101.39"/>
    <x v="0"/>
    <n v="85.32"/>
    <n v="4.0549999999999997"/>
    <n v="130.8381613"/>
    <n v="10.926"/>
  </r>
  <r>
    <x v="11"/>
    <x v="134"/>
    <n v="1061943.49"/>
    <x v="0"/>
    <n v="89.78"/>
    <n v="4.093"/>
    <n v="130.88535479999999"/>
    <n v="10.926"/>
  </r>
  <r>
    <x v="11"/>
    <x v="135"/>
    <n v="955146.04"/>
    <x v="1"/>
    <n v="88.52"/>
    <n v="4.1239999999999997"/>
    <n v="130.9325484"/>
    <n v="10.926"/>
  </r>
  <r>
    <x v="11"/>
    <x v="136"/>
    <n v="885892.37"/>
    <x v="0"/>
    <n v="83.64"/>
    <n v="4.133"/>
    <n v="130.97766669999999"/>
    <n v="10.926"/>
  </r>
  <r>
    <x v="11"/>
    <x v="137"/>
    <n v="922735.37"/>
    <x v="0"/>
    <n v="82.97"/>
    <n v="4.125"/>
    <n v="131.01033330000001"/>
    <n v="10.926"/>
  </r>
  <r>
    <x v="11"/>
    <x v="138"/>
    <n v="880415.67"/>
    <x v="0"/>
    <n v="81.22"/>
    <n v="3.9660000000000002"/>
    <n v="131.04300000000001"/>
    <n v="10.926"/>
  </r>
  <r>
    <x v="11"/>
    <x v="139"/>
    <n v="979825.92"/>
    <x v="0"/>
    <n v="81.61"/>
    <n v="3.9660000000000002"/>
    <n v="131.0756667"/>
    <n v="10.199"/>
  </r>
  <r>
    <x v="11"/>
    <x v="140"/>
    <n v="934917.47"/>
    <x v="0"/>
    <n v="71.739999999999995"/>
    <n v="4.468"/>
    <n v="131.1083333"/>
    <n v="10.199"/>
  </r>
  <r>
    <x v="11"/>
    <x v="141"/>
    <n v="960945.43"/>
    <x v="0"/>
    <n v="68.66"/>
    <n v="4.4489999999999998"/>
    <n v="131.14996769999999"/>
    <n v="10.199"/>
  </r>
  <r>
    <x v="11"/>
    <x v="142"/>
    <n v="974697.6"/>
    <x v="0"/>
    <n v="65.95"/>
    <n v="4.3010000000000002"/>
    <n v="131.19309680000001"/>
    <n v="10.199"/>
  </r>
  <r>
    <x v="12"/>
    <x v="0"/>
    <n v="1967220.53"/>
    <x v="0"/>
    <n v="31.53"/>
    <n v="2.6659999999999999"/>
    <n v="126.4420645"/>
    <n v="8.3160000000000007"/>
  </r>
  <r>
    <x v="12"/>
    <x v="1"/>
    <n v="2030933.46"/>
    <x v="1"/>
    <n v="33.159999999999997"/>
    <n v="2.6709999999999998"/>
    <n v="126.49625810000001"/>
    <n v="8.3160000000000007"/>
  </r>
  <r>
    <x v="12"/>
    <x v="2"/>
    <n v="1970274.64"/>
    <x v="0"/>
    <n v="35.700000000000003"/>
    <n v="2.6539999999999999"/>
    <n v="126.5262857"/>
    <n v="8.3160000000000007"/>
  </r>
  <r>
    <x v="12"/>
    <x v="3"/>
    <n v="1817850.32"/>
    <x v="0"/>
    <n v="29.98"/>
    <n v="2.6669999999999998"/>
    <n v="126.5522857"/>
    <n v="8.3160000000000007"/>
  </r>
  <r>
    <x v="12"/>
    <x v="4"/>
    <n v="1939980.43"/>
    <x v="0"/>
    <n v="40.65"/>
    <n v="2.681"/>
    <n v="126.5782857"/>
    <n v="8.3160000000000007"/>
  </r>
  <r>
    <x v="12"/>
    <x v="5"/>
    <n v="1840686.94"/>
    <x v="0"/>
    <n v="37.619999999999997"/>
    <n v="2.7330000000000001"/>
    <n v="126.60428570000001"/>
    <n v="8.3160000000000007"/>
  </r>
  <r>
    <x v="12"/>
    <x v="6"/>
    <n v="1879794.89"/>
    <x v="0"/>
    <n v="42.49"/>
    <n v="2.782"/>
    <n v="126.6066452"/>
    <n v="8.3160000000000007"/>
  </r>
  <r>
    <x v="12"/>
    <x v="7"/>
    <n v="1882095.98"/>
    <x v="0"/>
    <n v="41.48"/>
    <n v="2.819"/>
    <n v="126.6050645"/>
    <n v="8.3160000000000007"/>
  </r>
  <r>
    <x v="12"/>
    <x v="8"/>
    <n v="2142482.14"/>
    <x v="0"/>
    <n v="42.15"/>
    <n v="2.8420000000000001"/>
    <n v="126.6034839"/>
    <n v="8.1069999999999993"/>
  </r>
  <r>
    <x v="12"/>
    <x v="9"/>
    <n v="1898321.33"/>
    <x v="0"/>
    <n v="38.97"/>
    <n v="2.8769999999999998"/>
    <n v="126.6019032"/>
    <n v="8.1069999999999993"/>
  </r>
  <r>
    <x v="12"/>
    <x v="10"/>
    <n v="1819660.44"/>
    <x v="0"/>
    <n v="50.39"/>
    <n v="2.915"/>
    <n v="126.5621"/>
    <n v="8.1069999999999993"/>
  </r>
  <r>
    <x v="12"/>
    <x v="11"/>
    <n v="1909330.77"/>
    <x v="0"/>
    <n v="55.66"/>
    <n v="2.9359999999999999"/>
    <n v="126.4713333"/>
    <n v="8.1069999999999993"/>
  </r>
  <r>
    <x v="12"/>
    <x v="12"/>
    <n v="1785823.37"/>
    <x v="0"/>
    <n v="48.33"/>
    <n v="2.9409999999999998"/>
    <n v="126.3805667"/>
    <n v="8.1069999999999993"/>
  </r>
  <r>
    <x v="12"/>
    <x v="13"/>
    <n v="2005478.46"/>
    <x v="0"/>
    <n v="44.42"/>
    <n v="2.948"/>
    <n v="126.2898"/>
    <n v="8.1069999999999993"/>
  </r>
  <r>
    <x v="12"/>
    <x v="14"/>
    <n v="1890273.44"/>
    <x v="0"/>
    <n v="50.15"/>
    <n v="2.9620000000000002"/>
    <n v="126.2085484"/>
    <n v="8.1069999999999993"/>
  </r>
  <r>
    <x v="12"/>
    <x v="15"/>
    <n v="1853657.6"/>
    <x v="0"/>
    <n v="57.71"/>
    <n v="2.95"/>
    <n v="126.1843871"/>
    <n v="8.1069999999999993"/>
  </r>
  <r>
    <x v="12"/>
    <x v="16"/>
    <n v="1877358.86"/>
    <x v="0"/>
    <n v="53.11"/>
    <n v="2.9079999999999999"/>
    <n v="126.16022580000001"/>
    <n v="8.1069999999999993"/>
  </r>
  <r>
    <x v="12"/>
    <x v="17"/>
    <n v="2022705.22"/>
    <x v="0"/>
    <n v="59.85"/>
    <n v="2.871"/>
    <n v="126.1360645"/>
    <n v="8.1069999999999993"/>
  </r>
  <r>
    <x v="12"/>
    <x v="18"/>
    <n v="2037880.96"/>
    <x v="0"/>
    <n v="65.239999999999995"/>
    <n v="2.8410000000000002"/>
    <n v="126.1119032"/>
    <n v="8.1069999999999993"/>
  </r>
  <r>
    <x v="12"/>
    <x v="19"/>
    <n v="2003435.31"/>
    <x v="0"/>
    <n v="58.41"/>
    <n v="2.819"/>
    <n v="126.114"/>
    <n v="8.1069999999999993"/>
  </r>
  <r>
    <x v="12"/>
    <x v="20"/>
    <n v="1970340.25"/>
    <x v="0"/>
    <n v="71.83"/>
    <n v="2.82"/>
    <n v="126.1266"/>
    <n v="8.1069999999999993"/>
  </r>
  <r>
    <x v="12"/>
    <x v="21"/>
    <n v="2018314.71"/>
    <x v="0"/>
    <n v="78.819999999999993"/>
    <n v="2.8140000000000001"/>
    <n v="126.1392"/>
    <n v="7.9509999999999996"/>
  </r>
  <r>
    <x v="12"/>
    <x v="22"/>
    <n v="1870843.9"/>
    <x v="0"/>
    <n v="71.33"/>
    <n v="2.802"/>
    <n v="126.15179999999999"/>
    <n v="7.9509999999999996"/>
  </r>
  <r>
    <x v="12"/>
    <x v="23"/>
    <n v="1932231.05"/>
    <x v="0"/>
    <n v="77.790000000000006"/>
    <n v="2.7909999999999999"/>
    <n v="126.1498065"/>
    <n v="7.9509999999999996"/>
  </r>
  <r>
    <x v="12"/>
    <x v="24"/>
    <n v="1907351.2"/>
    <x v="0"/>
    <n v="82.27"/>
    <n v="2.7970000000000002"/>
    <n v="126.1283548"/>
    <n v="7.9509999999999996"/>
  </r>
  <r>
    <x v="12"/>
    <x v="25"/>
    <n v="1817887.23"/>
    <x v="0"/>
    <n v="78.94"/>
    <n v="2.7970000000000002"/>
    <n v="126.1069032"/>
    <n v="7.9509999999999996"/>
  </r>
  <r>
    <x v="12"/>
    <x v="26"/>
    <n v="1969121.45"/>
    <x v="0"/>
    <n v="81.239999999999995"/>
    <n v="2.802"/>
    <n v="126.0854516"/>
    <n v="7.9509999999999996"/>
  </r>
  <r>
    <x v="12"/>
    <x v="27"/>
    <n v="1877592.55"/>
    <x v="0"/>
    <n v="74.930000000000007"/>
    <n v="2.8370000000000002"/>
    <n v="126.06399999999999"/>
    <n v="7.9509999999999996"/>
  </r>
  <r>
    <x v="12"/>
    <x v="28"/>
    <n v="1997397.63"/>
    <x v="0"/>
    <n v="76.34"/>
    <n v="2.85"/>
    <n v="126.0766452"/>
    <n v="7.9509999999999996"/>
  </r>
  <r>
    <x v="12"/>
    <x v="29"/>
    <n v="1908278.27"/>
    <x v="0"/>
    <n v="75.31"/>
    <n v="2.8540000000000001"/>
    <n v="126.0892903"/>
    <n v="7.9509999999999996"/>
  </r>
  <r>
    <x v="12"/>
    <x v="30"/>
    <n v="1911852.58"/>
    <x v="0"/>
    <n v="65.709999999999994"/>
    <n v="2.8679999999999999"/>
    <n v="126.1019355"/>
    <n v="7.9509999999999996"/>
  </r>
  <r>
    <x v="12"/>
    <x v="31"/>
    <n v="1772143.94"/>
    <x v="1"/>
    <n v="65.739999999999995"/>
    <n v="2.87"/>
    <n v="126.1145806"/>
    <n v="7.9509999999999996"/>
  </r>
  <r>
    <x v="12"/>
    <x v="32"/>
    <n v="1790279.74"/>
    <x v="0"/>
    <n v="66.84"/>
    <n v="2.875"/>
    <n v="126.1454667"/>
    <n v="7.9509999999999996"/>
  </r>
  <r>
    <x v="12"/>
    <x v="33"/>
    <n v="1705655.09"/>
    <x v="0"/>
    <n v="68.22"/>
    <n v="2.8719999999999999"/>
    <n v="126.1900333"/>
    <n v="7.9509999999999996"/>
  </r>
  <r>
    <x v="12"/>
    <x v="34"/>
    <n v="1765584.48"/>
    <x v="0"/>
    <n v="68.739999999999995"/>
    <n v="2.8530000000000002"/>
    <n v="126.2346"/>
    <n v="7.7949999999999999"/>
  </r>
  <r>
    <x v="12"/>
    <x v="35"/>
    <n v="1871924.07"/>
    <x v="0"/>
    <n v="63.03"/>
    <n v="2.8410000000000002"/>
    <n v="126.2791667"/>
    <n v="7.7949999999999999"/>
  </r>
  <r>
    <x v="12"/>
    <x v="36"/>
    <n v="1851431.06"/>
    <x v="0"/>
    <n v="54.12"/>
    <n v="2.8450000000000002"/>
    <n v="126.32667739999999"/>
    <n v="7.7949999999999999"/>
  </r>
  <r>
    <x v="12"/>
    <x v="37"/>
    <n v="1796949.59"/>
    <x v="0"/>
    <n v="56.89"/>
    <n v="2.8490000000000002"/>
    <n v="126.3815484"/>
    <n v="7.7949999999999999"/>
  </r>
  <r>
    <x v="12"/>
    <x v="38"/>
    <n v="1887895.07"/>
    <x v="0"/>
    <n v="45.12"/>
    <n v="2.8410000000000002"/>
    <n v="126.43641940000001"/>
    <n v="7.7949999999999999"/>
  </r>
  <r>
    <x v="12"/>
    <x v="39"/>
    <n v="1854967.66"/>
    <x v="0"/>
    <n v="49.96"/>
    <n v="2.831"/>
    <n v="126.4912903"/>
    <n v="7.7949999999999999"/>
  </r>
  <r>
    <x v="12"/>
    <x v="40"/>
    <n v="1939964.63"/>
    <x v="0"/>
    <n v="42.55"/>
    <n v="2.831"/>
    <n v="126.54616129999999"/>
    <n v="7.7949999999999999"/>
  </r>
  <r>
    <x v="12"/>
    <x v="41"/>
    <n v="1925393.91"/>
    <x v="0"/>
    <n v="42"/>
    <n v="2.8420000000000001"/>
    <n v="126.60720000000001"/>
    <n v="7.7949999999999999"/>
  </r>
  <r>
    <x v="12"/>
    <x v="42"/>
    <n v="2766400.05"/>
    <x v="1"/>
    <n v="28.22"/>
    <n v="2.83"/>
    <n v="126.66926669999999"/>
    <n v="7.7949999999999999"/>
  </r>
  <r>
    <x v="12"/>
    <x v="43"/>
    <n v="2083379.89"/>
    <x v="0"/>
    <n v="25.8"/>
    <n v="2.8119999999999998"/>
    <n v="126.7313333"/>
    <n v="7.7949999999999999"/>
  </r>
  <r>
    <x v="12"/>
    <x v="44"/>
    <n v="2461468.35"/>
    <x v="0"/>
    <n v="36.78"/>
    <n v="2.8170000000000002"/>
    <n v="126.79340000000001"/>
    <n v="7.7949999999999999"/>
  </r>
  <r>
    <x v="12"/>
    <x v="45"/>
    <n v="2771646.81"/>
    <x v="0"/>
    <n v="35.21"/>
    <n v="2.8420000000000001"/>
    <n v="126.8794839"/>
    <n v="7.7949999999999999"/>
  </r>
  <r>
    <x v="12"/>
    <x v="46"/>
    <n v="3595903.2"/>
    <x v="0"/>
    <n v="34.9"/>
    <n v="2.8460000000000001"/>
    <n v="126.9835806"/>
    <n v="7.7949999999999999"/>
  </r>
  <r>
    <x v="12"/>
    <x v="47"/>
    <n v="1675292"/>
    <x v="1"/>
    <n v="26.79"/>
    <n v="2.8679999999999999"/>
    <n v="127.0876774"/>
    <n v="7.7949999999999999"/>
  </r>
  <r>
    <x v="12"/>
    <x v="48"/>
    <n v="1744544.39"/>
    <x v="0"/>
    <n v="16.940000000000001"/>
    <n v="2.891"/>
    <n v="127.1917742"/>
    <n v="7.47"/>
  </r>
  <r>
    <x v="12"/>
    <x v="49"/>
    <n v="1682316.31"/>
    <x v="0"/>
    <n v="20.6"/>
    <n v="2.903"/>
    <n v="127.30093549999999"/>
    <n v="7.47"/>
  </r>
  <r>
    <x v="12"/>
    <x v="50"/>
    <n v="1770177.37"/>
    <x v="0"/>
    <n v="34.799999999999997"/>
    <n v="2.9340000000000002"/>
    <n v="127.4404839"/>
    <n v="7.47"/>
  </r>
  <r>
    <x v="12"/>
    <x v="51"/>
    <n v="1633663.12"/>
    <x v="0"/>
    <n v="31.64"/>
    <n v="2.96"/>
    <n v="127.5800323"/>
    <n v="7.47"/>
  </r>
  <r>
    <x v="12"/>
    <x v="52"/>
    <n v="1848186.58"/>
    <x v="0"/>
    <n v="23.35"/>
    <n v="2.9740000000000002"/>
    <n v="127.7195806"/>
    <n v="7.47"/>
  </r>
  <r>
    <x v="12"/>
    <x v="53"/>
    <n v="1944438.9"/>
    <x v="1"/>
    <n v="30.83"/>
    <n v="3.0339999999999998"/>
    <n v="127.859129"/>
    <n v="7.47"/>
  </r>
  <r>
    <x v="12"/>
    <x v="54"/>
    <n v="2003480.59"/>
    <x v="0"/>
    <n v="40.85"/>
    <n v="3.0619999999999998"/>
    <n v="127.99525"/>
    <n v="7.47"/>
  </r>
  <r>
    <x v="12"/>
    <x v="55"/>
    <n v="1831933.95"/>
    <x v="0"/>
    <n v="33.17"/>
    <n v="3.12"/>
    <n v="128.13"/>
    <n v="7.47"/>
  </r>
  <r>
    <x v="12"/>
    <x v="56"/>
    <n v="1894960.68"/>
    <x v="0"/>
    <n v="34.229999999999997"/>
    <n v="3.23"/>
    <n v="128.26474999999999"/>
    <n v="7.47"/>
  </r>
  <r>
    <x v="12"/>
    <x v="57"/>
    <n v="1852432.58"/>
    <x v="0"/>
    <n v="41.28"/>
    <n v="3.3460000000000001"/>
    <n v="128.39949999999999"/>
    <n v="7.47"/>
  </r>
  <r>
    <x v="12"/>
    <x v="58"/>
    <n v="1852443.78"/>
    <x v="0"/>
    <n v="44.69"/>
    <n v="3.407"/>
    <n v="128.5121935"/>
    <n v="7.47"/>
  </r>
  <r>
    <x v="12"/>
    <x v="59"/>
    <n v="1807545.43"/>
    <x v="0"/>
    <n v="42.38"/>
    <n v="3.4350000000000001"/>
    <n v="128.61606449999999"/>
    <n v="7.47"/>
  </r>
  <r>
    <x v="12"/>
    <x v="60"/>
    <n v="1864238.64"/>
    <x v="0"/>
    <n v="42.49"/>
    <n v="3.4870000000000001"/>
    <n v="128.71993549999999"/>
    <n v="7.1929999999999996"/>
  </r>
  <r>
    <x v="12"/>
    <x v="61"/>
    <n v="1887465.04"/>
    <x v="0"/>
    <n v="42.75"/>
    <n v="3.5470000000000002"/>
    <n v="128.82380649999999"/>
    <n v="7.1929999999999996"/>
  </r>
  <r>
    <x v="12"/>
    <x v="62"/>
    <n v="1950994.04"/>
    <x v="0"/>
    <n v="41.72"/>
    <n v="3.6160000000000001"/>
    <n v="128.9107333"/>
    <n v="7.1929999999999996"/>
  </r>
  <r>
    <x v="12"/>
    <x v="63"/>
    <n v="2124316.34"/>
    <x v="0"/>
    <n v="47.55"/>
    <n v="3.6549999999999998"/>
    <n v="128.95529999999999"/>
    <n v="7.1929999999999996"/>
  </r>
  <r>
    <x v="12"/>
    <x v="64"/>
    <n v="1895583.12"/>
    <x v="0"/>
    <n v="43.85"/>
    <n v="3.6829999999999998"/>
    <n v="128.99986670000001"/>
    <n v="7.1929999999999996"/>
  </r>
  <r>
    <x v="12"/>
    <x v="65"/>
    <n v="1986380.4"/>
    <x v="0"/>
    <n v="47.75"/>
    <n v="3.7440000000000002"/>
    <n v="129.04443330000001"/>
    <n v="7.1929999999999996"/>
  </r>
  <r>
    <x v="12"/>
    <x v="66"/>
    <n v="1958823.56"/>
    <x v="0"/>
    <n v="52.4"/>
    <n v="3.77"/>
    <n v="129.089"/>
    <n v="7.1929999999999996"/>
  </r>
  <r>
    <x v="12"/>
    <x v="67"/>
    <n v="1860923.55"/>
    <x v="0"/>
    <n v="52.12"/>
    <n v="3.802"/>
    <n v="129.07567739999999"/>
    <n v="7.1929999999999996"/>
  </r>
  <r>
    <x v="12"/>
    <x v="68"/>
    <n v="1866369.93"/>
    <x v="0"/>
    <n v="54.62"/>
    <n v="3.778"/>
    <n v="129.06235480000001"/>
    <n v="7.1929999999999996"/>
  </r>
  <r>
    <x v="12"/>
    <x v="69"/>
    <n v="1935593.87"/>
    <x v="0"/>
    <n v="52.76"/>
    <n v="3.7519999999999998"/>
    <n v="129.04903229999999"/>
    <n v="7.1929999999999996"/>
  </r>
  <r>
    <x v="12"/>
    <x v="70"/>
    <n v="1997816.98"/>
    <x v="0"/>
    <n v="61.39"/>
    <n v="3.7320000000000002"/>
    <n v="129.03570970000001"/>
    <n v="7.1929999999999996"/>
  </r>
  <r>
    <x v="12"/>
    <x v="71"/>
    <n v="2086433.49"/>
    <x v="0"/>
    <n v="63.35"/>
    <n v="3.7040000000000002"/>
    <n v="129.04320000000001"/>
    <n v="7.1929999999999996"/>
  </r>
  <r>
    <x v="12"/>
    <x v="72"/>
    <n v="2009163.08"/>
    <x v="0"/>
    <n v="66.38"/>
    <n v="3.6680000000000001"/>
    <n v="129.06630000000001"/>
    <n v="7.1929999999999996"/>
  </r>
  <r>
    <x v="12"/>
    <x v="73"/>
    <n v="2048035.74"/>
    <x v="0"/>
    <n v="74.290000000000006"/>
    <n v="3.613"/>
    <n v="129.08940000000001"/>
    <n v="6.8769999999999998"/>
  </r>
  <r>
    <x v="12"/>
    <x v="74"/>
    <n v="2021699.38"/>
    <x v="0"/>
    <n v="77.3"/>
    <n v="3.5630000000000002"/>
    <n v="129.11250000000001"/>
    <n v="6.8769999999999998"/>
  </r>
  <r>
    <x v="12"/>
    <x v="75"/>
    <n v="1956813.31"/>
    <x v="0"/>
    <n v="75.59"/>
    <n v="3.5529999999999999"/>
    <n v="129.13383870000001"/>
    <n v="6.8769999999999998"/>
  </r>
  <r>
    <x v="12"/>
    <x v="76"/>
    <n v="1987089.36"/>
    <x v="0"/>
    <n v="78.5"/>
    <n v="3.5630000000000002"/>
    <n v="129.1507742"/>
    <n v="6.8769999999999998"/>
  </r>
  <r>
    <x v="12"/>
    <x v="77"/>
    <n v="1880785.69"/>
    <x v="0"/>
    <n v="77.62"/>
    <n v="3.5739999999999998"/>
    <n v="129.16770969999999"/>
    <n v="6.8769999999999998"/>
  </r>
  <r>
    <x v="12"/>
    <x v="78"/>
    <n v="2076231.8"/>
    <x v="0"/>
    <n v="75.56"/>
    <n v="3.5950000000000002"/>
    <n v="129.18464520000001"/>
    <n v="6.8769999999999998"/>
  </r>
  <r>
    <x v="12"/>
    <x v="79"/>
    <n v="1970341.38"/>
    <x v="0"/>
    <n v="75.95"/>
    <n v="3.6059999999999999"/>
    <n v="129.2015806"/>
    <n v="6.8769999999999998"/>
  </r>
  <r>
    <x v="12"/>
    <x v="80"/>
    <n v="2090340.98"/>
    <x v="0"/>
    <n v="76.680000000000007"/>
    <n v="3.5779999999999998"/>
    <n v="129.24058059999999"/>
    <n v="6.8769999999999998"/>
  </r>
  <r>
    <x v="12"/>
    <x v="81"/>
    <n v="2035244.54"/>
    <x v="0"/>
    <n v="81.53"/>
    <n v="3.57"/>
    <n v="129.28325810000001"/>
    <n v="6.8769999999999998"/>
  </r>
  <r>
    <x v="12"/>
    <x v="82"/>
    <n v="1953628.82"/>
    <x v="0"/>
    <n v="77"/>
    <n v="3.58"/>
    <n v="129.32593550000001"/>
    <n v="6.8769999999999998"/>
  </r>
  <r>
    <x v="12"/>
    <x v="83"/>
    <n v="1872921.31"/>
    <x v="1"/>
    <n v="70.19"/>
    <n v="3.6190000000000002"/>
    <n v="129.36861289999999"/>
    <n v="6.8769999999999998"/>
  </r>
  <r>
    <x v="12"/>
    <x v="84"/>
    <n v="1923223.82"/>
    <x v="0"/>
    <n v="67.540000000000006"/>
    <n v="3.641"/>
    <n v="129.4306"/>
    <n v="6.8769999999999998"/>
  </r>
  <r>
    <x v="12"/>
    <x v="85"/>
    <n v="1847430.96"/>
    <x v="0"/>
    <n v="63.6"/>
    <n v="3.6480000000000001"/>
    <n v="129.51833329999999"/>
    <n v="6.8769999999999998"/>
  </r>
  <r>
    <x v="12"/>
    <x v="86"/>
    <n v="1835662.69"/>
    <x v="0"/>
    <n v="68.28"/>
    <n v="3.6230000000000002"/>
    <n v="129.60606670000001"/>
    <n v="6.8769999999999998"/>
  </r>
  <r>
    <x v="12"/>
    <x v="87"/>
    <n v="2067232.56"/>
    <x v="0"/>
    <n v="60.62"/>
    <n v="3.5920000000000001"/>
    <n v="129.69380000000001"/>
    <n v="6.3920000000000003"/>
  </r>
  <r>
    <x v="12"/>
    <x v="88"/>
    <n v="1929659.07"/>
    <x v="0"/>
    <n v="51.74"/>
    <n v="3.5670000000000002"/>
    <n v="129.77064519999999"/>
    <n v="6.3920000000000003"/>
  </r>
  <r>
    <x v="12"/>
    <x v="89"/>
    <n v="1973544.27"/>
    <x v="0"/>
    <n v="54.66"/>
    <n v="3.5790000000000002"/>
    <n v="129.78216130000001"/>
    <n v="6.3920000000000003"/>
  </r>
  <r>
    <x v="12"/>
    <x v="90"/>
    <n v="1948733.81"/>
    <x v="0"/>
    <n v="47.41"/>
    <n v="3.5670000000000002"/>
    <n v="129.79367740000001"/>
    <n v="6.3920000000000003"/>
  </r>
  <r>
    <x v="12"/>
    <x v="91"/>
    <n v="2036317.54"/>
    <x v="0"/>
    <n v="43.51"/>
    <n v="3.5379999999999998"/>
    <n v="129.8051935"/>
    <n v="6.3920000000000003"/>
  </r>
  <r>
    <x v="12"/>
    <x v="92"/>
    <n v="2111592.09"/>
    <x v="0"/>
    <n v="33.799999999999997"/>
    <n v="3.5129999999999999"/>
    <n v="129.81670969999999"/>
    <n v="6.3920000000000003"/>
  </r>
  <r>
    <x v="12"/>
    <x v="93"/>
    <n v="2016323.51"/>
    <x v="0"/>
    <n v="40.65"/>
    <n v="3.4889999999999999"/>
    <n v="129.8268333"/>
    <n v="6.3920000000000003"/>
  </r>
  <r>
    <x v="12"/>
    <x v="94"/>
    <n v="2864170.61"/>
    <x v="1"/>
    <n v="38.89"/>
    <n v="3.4449999999999998"/>
    <n v="129.8364"/>
    <n v="6.3920000000000003"/>
  </r>
  <r>
    <x v="12"/>
    <x v="95"/>
    <n v="2051315.66"/>
    <x v="0"/>
    <n v="33.94"/>
    <n v="3.3889999999999998"/>
    <n v="129.84596669999999"/>
    <n v="6.3920000000000003"/>
  </r>
  <r>
    <x v="12"/>
    <x v="96"/>
    <n v="2462779.06"/>
    <x v="0"/>
    <n v="24.82"/>
    <n v="3.3410000000000002"/>
    <n v="129.85553329999999"/>
    <n v="6.3920000000000003"/>
  </r>
  <r>
    <x v="12"/>
    <x v="97"/>
    <n v="2760346.71"/>
    <x v="0"/>
    <n v="27.85"/>
    <n v="3.282"/>
    <n v="129.8980645"/>
    <n v="6.3920000000000003"/>
  </r>
  <r>
    <x v="12"/>
    <x v="98"/>
    <n v="3556766.03"/>
    <x v="0"/>
    <n v="24.76"/>
    <n v="3.1859999999999999"/>
    <n v="129.98454839999999"/>
    <n v="6.3920000000000003"/>
  </r>
  <r>
    <x v="12"/>
    <x v="99"/>
    <n v="1969056.91"/>
    <x v="1"/>
    <n v="31.53"/>
    <n v="3.1190000000000002"/>
    <n v="130.07103230000001"/>
    <n v="6.3920000000000003"/>
  </r>
  <r>
    <x v="12"/>
    <x v="100"/>
    <n v="1865752.78"/>
    <x v="0"/>
    <n v="33.799999999999997"/>
    <n v="3.08"/>
    <n v="130.15751610000001"/>
    <n v="6.1040000000000001"/>
  </r>
  <r>
    <x v="12"/>
    <x v="101"/>
    <n v="1794962.64"/>
    <x v="0"/>
    <n v="25.61"/>
    <n v="3.056"/>
    <n v="130.244"/>
    <n v="6.1040000000000001"/>
  </r>
  <r>
    <x v="12"/>
    <x v="102"/>
    <n v="1811606.21"/>
    <x v="0"/>
    <n v="32.71"/>
    <n v="3.0470000000000002"/>
    <n v="130.27922580000001"/>
    <n v="6.1040000000000001"/>
  </r>
  <r>
    <x v="12"/>
    <x v="103"/>
    <n v="1733983.09"/>
    <x v="0"/>
    <n v="34.32"/>
    <n v="3.0579999999999998"/>
    <n v="130.31445160000001"/>
    <n v="6.1040000000000001"/>
  </r>
  <r>
    <x v="12"/>
    <x v="104"/>
    <n v="1927780.74"/>
    <x v="0"/>
    <n v="31.39"/>
    <n v="3.077"/>
    <n v="130.34967739999999"/>
    <n v="6.1040000000000001"/>
  </r>
  <r>
    <x v="12"/>
    <x v="105"/>
    <n v="2069284.57"/>
    <x v="1"/>
    <n v="33.729999999999997"/>
    <n v="3.1160000000000001"/>
    <n v="130.3849032"/>
    <n v="6.1040000000000001"/>
  </r>
  <r>
    <x v="12"/>
    <x v="106"/>
    <n v="2214477.06"/>
    <x v="0"/>
    <n v="36.57"/>
    <n v="3.1190000000000002"/>
    <n v="130.45462069999999"/>
    <n v="6.1040000000000001"/>
  </r>
  <r>
    <x v="12"/>
    <x v="107"/>
    <n v="1929768.03"/>
    <x v="0"/>
    <n v="35.380000000000003"/>
    <n v="3.145"/>
    <n v="130.55020690000001"/>
    <n v="6.1040000000000001"/>
  </r>
  <r>
    <x v="12"/>
    <x v="108"/>
    <n v="1969742.76"/>
    <x v="0"/>
    <n v="32.36"/>
    <n v="3.242"/>
    <n v="130.64579309999999"/>
    <n v="6.1040000000000001"/>
  </r>
  <r>
    <x v="12"/>
    <x v="109"/>
    <n v="1986445.65"/>
    <x v="0"/>
    <n v="38.24"/>
    <n v="3.38"/>
    <n v="130.74137930000001"/>
    <n v="6.1040000000000001"/>
  </r>
  <r>
    <x v="12"/>
    <x v="110"/>
    <n v="2025582.62"/>
    <x v="0"/>
    <n v="52.5"/>
    <n v="3.5289999999999999"/>
    <n v="130.82619349999999"/>
    <n v="6.1040000000000001"/>
  </r>
  <r>
    <x v="12"/>
    <x v="111"/>
    <n v="1904421.74"/>
    <x v="0"/>
    <n v="47.83"/>
    <n v="3.6709999999999998"/>
    <n v="130.89664519999999"/>
    <n v="6.1040000000000001"/>
  </r>
  <r>
    <x v="12"/>
    <x v="112"/>
    <n v="1948982.7"/>
    <x v="0"/>
    <n v="53.2"/>
    <n v="3.734"/>
    <n v="130.96709680000001"/>
    <n v="6.1040000000000001"/>
  </r>
  <r>
    <x v="12"/>
    <x v="113"/>
    <n v="2271614.7599999998"/>
    <x v="0"/>
    <n v="48.85"/>
    <n v="3.7930000000000001"/>
    <n v="131.03754839999999"/>
    <n v="5.9649999999999999"/>
  </r>
  <r>
    <x v="12"/>
    <x v="114"/>
    <n v="2057637.86"/>
    <x v="0"/>
    <n v="51.7"/>
    <n v="3.8330000000000002"/>
    <n v="131.108"/>
    <n v="5.9649999999999999"/>
  </r>
  <r>
    <x v="12"/>
    <x v="115"/>
    <n v="1955689.12"/>
    <x v="0"/>
    <n v="50.24"/>
    <n v="3.8450000000000002"/>
    <n v="131.11733330000001"/>
    <n v="5.9649999999999999"/>
  </r>
  <r>
    <x v="12"/>
    <x v="116"/>
    <n v="1970121.65"/>
    <x v="0"/>
    <n v="64.8"/>
    <n v="3.8420000000000001"/>
    <n v="131.12666669999999"/>
    <n v="5.9649999999999999"/>
  </r>
  <r>
    <x v="12"/>
    <x v="117"/>
    <n v="1995994.51"/>
    <x v="0"/>
    <n v="54.41"/>
    <n v="3.831"/>
    <n v="131.136"/>
    <n v="5.9649999999999999"/>
  </r>
  <r>
    <x v="12"/>
    <x v="118"/>
    <n v="2080764.17"/>
    <x v="0"/>
    <n v="56.47"/>
    <n v="3.8090000000000002"/>
    <n v="131.1453333"/>
    <n v="5.9649999999999999"/>
  </r>
  <r>
    <x v="12"/>
    <x v="119"/>
    <n v="2131900.5499999998"/>
    <x v="0"/>
    <n v="65.17"/>
    <n v="3.8079999999999998"/>
    <n v="131.09832259999999"/>
    <n v="5.9649999999999999"/>
  </r>
  <r>
    <x v="12"/>
    <x v="120"/>
    <n v="2043349.41"/>
    <x v="0"/>
    <n v="62.39"/>
    <n v="3.8010000000000002"/>
    <n v="131.02877419999999"/>
    <n v="5.9649999999999999"/>
  </r>
  <r>
    <x v="12"/>
    <x v="121"/>
    <n v="2035431.39"/>
    <x v="0"/>
    <n v="61.11"/>
    <n v="3.7879999999999998"/>
    <n v="130.95922580000001"/>
    <n v="5.9649999999999999"/>
  </r>
  <r>
    <x v="12"/>
    <x v="122"/>
    <n v="2182437.9"/>
    <x v="0"/>
    <n v="68.400000000000006"/>
    <n v="3.7759999999999998"/>
    <n v="130.88967740000001"/>
    <n v="5.9649999999999999"/>
  </r>
  <r>
    <x v="12"/>
    <x v="123"/>
    <n v="2152229.11"/>
    <x v="0"/>
    <n v="65.97"/>
    <n v="3.7559999999999998"/>
    <n v="130.82953330000001"/>
    <n v="5.9649999999999999"/>
  </r>
  <r>
    <x v="12"/>
    <x v="124"/>
    <n v="2094373"/>
    <x v="0"/>
    <n v="72.89"/>
    <n v="3.7370000000000001"/>
    <n v="130.7929"/>
    <n v="5.9649999999999999"/>
  </r>
  <r>
    <x v="12"/>
    <x v="125"/>
    <n v="2037663.71"/>
    <x v="0"/>
    <n v="82"/>
    <n v="3.681"/>
    <n v="130.7562667"/>
    <n v="5.9649999999999999"/>
  </r>
  <r>
    <x v="12"/>
    <x v="126"/>
    <n v="2184980.35"/>
    <x v="0"/>
    <n v="79.23"/>
    <n v="3.63"/>
    <n v="130.7196333"/>
    <n v="5.7649999999999997"/>
  </r>
  <r>
    <x v="12"/>
    <x v="127"/>
    <n v="2002750.99"/>
    <x v="0"/>
    <n v="83.68"/>
    <n v="3.5950000000000002"/>
    <n v="130.68299999999999"/>
    <n v="5.7649999999999997"/>
  </r>
  <r>
    <x v="12"/>
    <x v="128"/>
    <n v="2053089.32"/>
    <x v="0"/>
    <n v="75.69"/>
    <n v="3.556"/>
    <n v="130.70129030000001"/>
    <n v="5.7649999999999997"/>
  </r>
  <r>
    <x v="12"/>
    <x v="129"/>
    <n v="1914430.53"/>
    <x v="0"/>
    <n v="80.42"/>
    <n v="3.5369999999999999"/>
    <n v="130.7195806"/>
    <n v="5.7649999999999997"/>
  </r>
  <r>
    <x v="12"/>
    <x v="130"/>
    <n v="2044148.23"/>
    <x v="0"/>
    <n v="81.99"/>
    <n v="3.512"/>
    <n v="130.73787100000001"/>
    <n v="5.7649999999999997"/>
  </r>
  <r>
    <x v="12"/>
    <x v="131"/>
    <n v="2041019.92"/>
    <x v="0"/>
    <n v="81.69"/>
    <n v="3.5089999999999999"/>
    <n v="130.7561613"/>
    <n v="5.7649999999999997"/>
  </r>
  <r>
    <x v="12"/>
    <x v="132"/>
    <n v="2095769.18"/>
    <x v="0"/>
    <n v="79.400000000000006"/>
    <n v="3.5449999999999999"/>
    <n v="130.79096770000001"/>
    <n v="5.7649999999999997"/>
  </r>
  <r>
    <x v="12"/>
    <x v="133"/>
    <n v="2059458.25"/>
    <x v="0"/>
    <n v="77.37"/>
    <n v="3.5819999999999999"/>
    <n v="130.8381613"/>
    <n v="5.7649999999999997"/>
  </r>
  <r>
    <x v="12"/>
    <x v="134"/>
    <n v="2073855.42"/>
    <x v="0"/>
    <n v="79.180000000000007"/>
    <n v="3.6240000000000001"/>
    <n v="130.88535479999999"/>
    <n v="5.7649999999999997"/>
  </r>
  <r>
    <x v="12"/>
    <x v="135"/>
    <n v="2165796.31"/>
    <x v="1"/>
    <n v="70.650000000000006"/>
    <n v="3.6890000000000001"/>
    <n v="130.9325484"/>
    <n v="5.7649999999999997"/>
  </r>
  <r>
    <x v="12"/>
    <x v="136"/>
    <n v="1919917.03"/>
    <x v="0"/>
    <n v="68.55"/>
    <n v="3.7490000000000001"/>
    <n v="130.97766669999999"/>
    <n v="5.7649999999999997"/>
  </r>
  <r>
    <x v="12"/>
    <x v="137"/>
    <n v="1938379.66"/>
    <x v="0"/>
    <n v="67.959999999999994"/>
    <n v="3.8210000000000002"/>
    <n v="131.01033330000001"/>
    <n v="5.7649999999999997"/>
  </r>
  <r>
    <x v="12"/>
    <x v="138"/>
    <n v="1927664.11"/>
    <x v="0"/>
    <n v="64.8"/>
    <n v="3.8210000000000002"/>
    <n v="131.04300000000001"/>
    <n v="5.7649999999999997"/>
  </r>
  <r>
    <x v="12"/>
    <x v="139"/>
    <n v="2041918.74"/>
    <x v="0"/>
    <n v="61.79"/>
    <n v="3.8149999999999999"/>
    <n v="131.0756667"/>
    <n v="5.6210000000000004"/>
  </r>
  <r>
    <x v="12"/>
    <x v="140"/>
    <n v="1999079.44"/>
    <x v="0"/>
    <n v="55.1"/>
    <n v="3.7970000000000002"/>
    <n v="131.1083333"/>
    <n v="5.6210000000000004"/>
  </r>
  <r>
    <x v="12"/>
    <x v="141"/>
    <n v="2018010.15"/>
    <x v="0"/>
    <n v="52.06"/>
    <n v="3.7810000000000001"/>
    <n v="131.14996769999999"/>
    <n v="5.6210000000000004"/>
  </r>
  <r>
    <x v="12"/>
    <x v="142"/>
    <n v="2035189.66"/>
    <x v="0"/>
    <n v="46.97"/>
    <n v="3.7549999999999999"/>
    <n v="131.19309680000001"/>
    <n v="5.6210000000000004"/>
  </r>
  <r>
    <x v="13"/>
    <x v="0"/>
    <n v="2623469.9500000002"/>
    <x v="0"/>
    <n v="27.31"/>
    <n v="2.7839999999999998"/>
    <n v="181.8711898"/>
    <n v="8.9920000000000009"/>
  </r>
  <r>
    <x v="13"/>
    <x v="1"/>
    <n v="1704218.84"/>
    <x v="1"/>
    <n v="27.73"/>
    <n v="2.7730000000000001"/>
    <n v="181.98231699999999"/>
    <n v="8.9920000000000009"/>
  </r>
  <r>
    <x v="13"/>
    <x v="2"/>
    <n v="2204556.7000000002"/>
    <x v="0"/>
    <n v="31.27"/>
    <n v="2.7450000000000001"/>
    <n v="182.0347816"/>
    <n v="8.9920000000000009"/>
  </r>
  <r>
    <x v="13"/>
    <x v="3"/>
    <n v="2095591.63"/>
    <x v="0"/>
    <n v="34.89"/>
    <n v="2.754"/>
    <n v="182.0774691"/>
    <n v="8.9920000000000009"/>
  </r>
  <r>
    <x v="13"/>
    <x v="4"/>
    <n v="2237544.75"/>
    <x v="0"/>
    <n v="37.130000000000003"/>
    <n v="2.7770000000000001"/>
    <n v="182.1201566"/>
    <n v="8.9920000000000009"/>
  </r>
  <r>
    <x v="13"/>
    <x v="5"/>
    <n v="2156035.06"/>
    <x v="0"/>
    <n v="45.8"/>
    <n v="2.8180000000000001"/>
    <n v="182.1628441"/>
    <n v="8.9920000000000009"/>
  </r>
  <r>
    <x v="13"/>
    <x v="6"/>
    <n v="2066219.3"/>
    <x v="0"/>
    <n v="48.79"/>
    <n v="2.8439999999999999"/>
    <n v="182.0779857"/>
    <n v="8.9920000000000009"/>
  </r>
  <r>
    <x v="13"/>
    <x v="7"/>
    <n v="2050396.27"/>
    <x v="0"/>
    <n v="54.36"/>
    <n v="2.8540000000000001"/>
    <n v="181.97186970000001"/>
    <n v="8.9920000000000009"/>
  </r>
  <r>
    <x v="13"/>
    <x v="8"/>
    <n v="2495630.5099999998"/>
    <x v="0"/>
    <n v="47.74"/>
    <n v="2.85"/>
    <n v="181.8657537"/>
    <n v="8.8989999999999991"/>
  </r>
  <r>
    <x v="13"/>
    <x v="9"/>
    <n v="2258781.2799999998"/>
    <x v="0"/>
    <n v="65.45"/>
    <n v="2.8690000000000002"/>
    <n v="181.75963770000001"/>
    <n v="8.8989999999999991"/>
  </r>
  <r>
    <x v="13"/>
    <x v="10"/>
    <n v="2121788.61"/>
    <x v="0"/>
    <n v="54.28"/>
    <n v="2.899"/>
    <n v="181.6924769"/>
    <n v="8.8989999999999991"/>
  </r>
  <r>
    <x v="13"/>
    <x v="11"/>
    <n v="2138144.91"/>
    <x v="0"/>
    <n v="53.47"/>
    <n v="2.9020000000000001"/>
    <n v="181.6772564"/>
    <n v="8.8989999999999991"/>
  </r>
  <r>
    <x v="13"/>
    <x v="12"/>
    <n v="2082355.12"/>
    <x v="0"/>
    <n v="53.15"/>
    <n v="2.9209999999999998"/>
    <n v="181.66203590000001"/>
    <n v="8.8989999999999991"/>
  </r>
  <r>
    <x v="13"/>
    <x v="13"/>
    <n v="2370116.52"/>
    <x v="0"/>
    <n v="70.75"/>
    <n v="2.9660000000000002"/>
    <n v="181.64681540000001"/>
    <n v="8.8989999999999991"/>
  </r>
  <r>
    <x v="13"/>
    <x v="14"/>
    <n v="2129771.13"/>
    <x v="0"/>
    <n v="54.26"/>
    <n v="2.9820000000000002"/>
    <n v="181.6612792"/>
    <n v="8.8989999999999991"/>
  </r>
  <r>
    <x v="13"/>
    <x v="15"/>
    <n v="2108187.1"/>
    <x v="0"/>
    <n v="62.62"/>
    <n v="2.9580000000000002"/>
    <n v="181.85384859999999"/>
    <n v="8.8989999999999991"/>
  </r>
  <r>
    <x v="13"/>
    <x v="16"/>
    <n v="2227152.16"/>
    <x v="0"/>
    <n v="69.27"/>
    <n v="2.899"/>
    <n v="182.04641810000001"/>
    <n v="8.8989999999999991"/>
  </r>
  <r>
    <x v="13"/>
    <x v="17"/>
    <n v="2363601.4700000002"/>
    <x v="0"/>
    <n v="75.930000000000007"/>
    <n v="2.847"/>
    <n v="182.2389876"/>
    <n v="8.8989999999999991"/>
  </r>
  <r>
    <x v="13"/>
    <x v="18"/>
    <n v="2249570.04"/>
    <x v="0"/>
    <n v="69.709999999999994"/>
    <n v="2.8090000000000002"/>
    <n v="182.43155709999999"/>
    <n v="8.8989999999999991"/>
  </r>
  <r>
    <x v="13"/>
    <x v="19"/>
    <n v="2248645.59"/>
    <x v="0"/>
    <n v="72.62"/>
    <n v="2.78"/>
    <n v="182.4424199"/>
    <n v="8.8989999999999991"/>
  </r>
  <r>
    <x v="13"/>
    <x v="20"/>
    <n v="2246179.91"/>
    <x v="0"/>
    <n v="79.319999999999993"/>
    <n v="2.8079999999999998"/>
    <n v="182.38059999999999"/>
    <n v="8.8989999999999991"/>
  </r>
  <r>
    <x v="13"/>
    <x v="21"/>
    <n v="2334788.42"/>
    <x v="0"/>
    <n v="76.61"/>
    <n v="2.8149999999999999"/>
    <n v="182.3187801"/>
    <n v="8.7430000000000003"/>
  </r>
  <r>
    <x v="13"/>
    <x v="22"/>
    <n v="2236209.13"/>
    <x v="0"/>
    <n v="82.45"/>
    <n v="2.7930000000000001"/>
    <n v="182.2569603"/>
    <n v="8.7430000000000003"/>
  </r>
  <r>
    <x v="13"/>
    <x v="23"/>
    <n v="2130287.27"/>
    <x v="0"/>
    <n v="77.84"/>
    <n v="2.7829999999999999"/>
    <n v="182.26044110000001"/>
    <n v="8.7430000000000003"/>
  </r>
  <r>
    <x v="13"/>
    <x v="24"/>
    <n v="2044155.39"/>
    <x v="0"/>
    <n v="81.459999999999994"/>
    <n v="2.7709999999999999"/>
    <n v="182.3509895"/>
    <n v="8.7430000000000003"/>
  </r>
  <r>
    <x v="13"/>
    <x v="25"/>
    <n v="2054843.28"/>
    <x v="0"/>
    <n v="79.78"/>
    <n v="2.7810000000000001"/>
    <n v="182.44153779999999"/>
    <n v="8.7430000000000003"/>
  </r>
  <r>
    <x v="13"/>
    <x v="26"/>
    <n v="2219813.5"/>
    <x v="0"/>
    <n v="77.17"/>
    <n v="2.7839999999999998"/>
    <n v="182.53208620000001"/>
    <n v="8.7430000000000003"/>
  </r>
  <r>
    <x v="13"/>
    <x v="27"/>
    <n v="2052984.81"/>
    <x v="0"/>
    <n v="78.44"/>
    <n v="2.8050000000000002"/>
    <n v="182.6226346"/>
    <n v="8.7430000000000003"/>
  </r>
  <r>
    <x v="13"/>
    <x v="28"/>
    <n v="2057138.31"/>
    <x v="0"/>
    <n v="76.010000000000005"/>
    <n v="2.7789999999999999"/>
    <n v="182.61652050000001"/>
    <n v="8.7430000000000003"/>
  </r>
  <r>
    <x v="13"/>
    <x v="29"/>
    <n v="2020332.07"/>
    <x v="0"/>
    <n v="71.36"/>
    <n v="2.7549999999999999"/>
    <n v="182.61040629999999"/>
    <n v="8.7430000000000003"/>
  </r>
  <r>
    <x v="13"/>
    <x v="30"/>
    <n v="2182563.66"/>
    <x v="0"/>
    <n v="78.37"/>
    <n v="2.7149999999999999"/>
    <n v="182.6042922"/>
    <n v="8.7430000000000003"/>
  </r>
  <r>
    <x v="13"/>
    <x v="31"/>
    <n v="2191767.7599999998"/>
    <x v="1"/>
    <n v="70.87"/>
    <n v="2.6989999999999998"/>
    <n v="182.59817799999999"/>
    <n v="8.7430000000000003"/>
  </r>
  <r>
    <x v="13"/>
    <x v="32"/>
    <n v="1953539.85"/>
    <x v="0"/>
    <n v="66.55"/>
    <n v="2.706"/>
    <n v="182.62250900000001"/>
    <n v="8.7430000000000003"/>
  </r>
  <r>
    <x v="13"/>
    <x v="33"/>
    <n v="1879891.13"/>
    <x v="0"/>
    <n v="68.59"/>
    <n v="2.7130000000000001"/>
    <n v="182.6696737"/>
    <n v="8.7430000000000003"/>
  </r>
  <r>
    <x v="13"/>
    <x v="34"/>
    <n v="1855703.66"/>
    <x v="0"/>
    <n v="70.58"/>
    <n v="2.7069999999999999"/>
    <n v="182.71683849999999"/>
    <n v="8.7240000000000002"/>
  </r>
  <r>
    <x v="13"/>
    <x v="35"/>
    <n v="2091663.2"/>
    <x v="0"/>
    <n v="56.49"/>
    <n v="2.7639999999999998"/>
    <n v="182.76400319999999"/>
    <n v="8.7240000000000002"/>
  </r>
  <r>
    <x v="13"/>
    <x v="36"/>
    <n v="1932162.63"/>
    <x v="0"/>
    <n v="58.61"/>
    <n v="2.8679999999999999"/>
    <n v="182.81062030000001"/>
    <n v="8.7240000000000002"/>
  </r>
  <r>
    <x v="13"/>
    <x v="37"/>
    <n v="1936621.09"/>
    <x v="0"/>
    <n v="53.15"/>
    <n v="2.9169999999999998"/>
    <n v="182.85586850000001"/>
    <n v="8.7240000000000002"/>
  </r>
  <r>
    <x v="13"/>
    <x v="38"/>
    <n v="1984768.34"/>
    <x v="0"/>
    <n v="61.3"/>
    <n v="2.9209999999999998"/>
    <n v="182.90111659999999"/>
    <n v="8.7240000000000002"/>
  </r>
  <r>
    <x v="13"/>
    <x v="39"/>
    <n v="2078417.47"/>
    <x v="0"/>
    <n v="45.65"/>
    <n v="2.9169999999999998"/>
    <n v="182.9463648"/>
    <n v="8.7240000000000002"/>
  </r>
  <r>
    <x v="13"/>
    <x v="40"/>
    <n v="2092189.06"/>
    <x v="0"/>
    <n v="46.14"/>
    <n v="2.931"/>
    <n v="182.99161290000001"/>
    <n v="8.7240000000000002"/>
  </r>
  <r>
    <x v="13"/>
    <x v="41"/>
    <n v="1968462.58"/>
    <x v="0"/>
    <n v="50.02"/>
    <n v="3"/>
    <n v="182.89893850000001"/>
    <n v="8.7240000000000002"/>
  </r>
  <r>
    <x v="13"/>
    <x v="42"/>
    <n v="2921709.71"/>
    <x v="1"/>
    <n v="46.15"/>
    <n v="3.0390000000000001"/>
    <n v="182.7832769"/>
    <n v="8.7240000000000002"/>
  </r>
  <r>
    <x v="13"/>
    <x v="43"/>
    <n v="2258489.63"/>
    <x v="0"/>
    <n v="40.93"/>
    <n v="3.0459999999999998"/>
    <n v="182.66761539999999"/>
    <n v="8.7240000000000002"/>
  </r>
  <r>
    <x v="13"/>
    <x v="44"/>
    <n v="2600519.2599999998"/>
    <x v="0"/>
    <n v="30.54"/>
    <n v="3.109"/>
    <n v="182.55195380000001"/>
    <n v="8.7240000000000002"/>
  </r>
  <r>
    <x v="13"/>
    <x v="45"/>
    <n v="2762861.41"/>
    <x v="0"/>
    <n v="30.51"/>
    <n v="3.14"/>
    <n v="182.517732"/>
    <n v="8.7240000000000002"/>
  </r>
  <r>
    <x v="13"/>
    <x v="46"/>
    <n v="3818686.45"/>
    <x v="0"/>
    <n v="30.59"/>
    <n v="3.141"/>
    <n v="182.54459"/>
    <n v="8.7240000000000002"/>
  </r>
  <r>
    <x v="13"/>
    <x v="47"/>
    <n v="1623716.46"/>
    <x v="1"/>
    <n v="29.67"/>
    <n v="3.1789999999999998"/>
    <n v="182.57144790000001"/>
    <n v="8.7240000000000002"/>
  </r>
  <r>
    <x v="13"/>
    <x v="48"/>
    <n v="1864746.1"/>
    <x v="0"/>
    <n v="34.32"/>
    <n v="3.1930000000000001"/>
    <n v="182.59830579999999"/>
    <n v="8.5489999999999995"/>
  </r>
  <r>
    <x v="13"/>
    <x v="49"/>
    <n v="1699095.9"/>
    <x v="0"/>
    <n v="24.78"/>
    <n v="3.2050000000000001"/>
    <n v="182.65857819999999"/>
    <n v="8.5489999999999995"/>
  </r>
  <r>
    <x v="13"/>
    <x v="50"/>
    <n v="1743188.87"/>
    <x v="0"/>
    <n v="30.55"/>
    <n v="3.2290000000000001"/>
    <n v="182.9193368"/>
    <n v="8.5489999999999995"/>
  </r>
  <r>
    <x v="13"/>
    <x v="51"/>
    <n v="1613718.38"/>
    <x v="0"/>
    <n v="24.05"/>
    <n v="3.2370000000000001"/>
    <n v="183.18009549999999"/>
    <n v="8.5489999999999995"/>
  </r>
  <r>
    <x v="13"/>
    <x v="52"/>
    <n v="1995891.87"/>
    <x v="0"/>
    <n v="28.73"/>
    <n v="3.2309999999999999"/>
    <n v="183.44085419999999"/>
    <n v="8.5489999999999995"/>
  </r>
  <r>
    <x v="13"/>
    <x v="53"/>
    <n v="1980405.03"/>
    <x v="1"/>
    <n v="30.3"/>
    <n v="3.2389999999999999"/>
    <n v="183.70161289999999"/>
    <n v="8.5489999999999995"/>
  </r>
  <r>
    <x v="13"/>
    <x v="54"/>
    <n v="2019031.67"/>
    <x v="0"/>
    <n v="40.700000000000003"/>
    <n v="3.2450000000000001"/>
    <n v="183.93713529999999"/>
    <n v="8.5489999999999995"/>
  </r>
  <r>
    <x v="13"/>
    <x v="55"/>
    <n v="1875708.88"/>
    <x v="0"/>
    <n v="35.78"/>
    <n v="3.274"/>
    <n v="184.16256319999999"/>
    <n v="8.5489999999999995"/>
  </r>
  <r>
    <x v="13"/>
    <x v="56"/>
    <n v="2041215.61"/>
    <x v="0"/>
    <n v="38.65"/>
    <n v="3.4329999999999998"/>
    <n v="184.38799109999999"/>
    <n v="8.5489999999999995"/>
  </r>
  <r>
    <x v="13"/>
    <x v="57"/>
    <n v="1931104.67"/>
    <x v="0"/>
    <n v="45.01"/>
    <n v="3.5819999999999999"/>
    <n v="184.61341899999999"/>
    <n v="8.5489999999999995"/>
  </r>
  <r>
    <x v="13"/>
    <x v="58"/>
    <n v="1932491.42"/>
    <x v="0"/>
    <n v="46.66"/>
    <n v="3.6309999999999998"/>
    <n v="184.809719"/>
    <n v="8.5489999999999995"/>
  </r>
  <r>
    <x v="13"/>
    <x v="59"/>
    <n v="1879451.23"/>
    <x v="0"/>
    <n v="41.76"/>
    <n v="3.625"/>
    <n v="184.99436789999999"/>
    <n v="8.5489999999999995"/>
  </r>
  <r>
    <x v="13"/>
    <x v="60"/>
    <n v="1869110.55"/>
    <x v="0"/>
    <n v="37.270000000000003"/>
    <n v="3.6379999999999999"/>
    <n v="185.17901670000001"/>
    <n v="8.5210000000000008"/>
  </r>
  <r>
    <x v="13"/>
    <x v="61"/>
    <n v="2037798.88"/>
    <x v="0"/>
    <n v="48.71"/>
    <n v="3.72"/>
    <n v="185.36366559999999"/>
    <n v="8.5210000000000008"/>
  </r>
  <r>
    <x v="13"/>
    <x v="62"/>
    <n v="1974960.86"/>
    <x v="0"/>
    <n v="53.69"/>
    <n v="3.8210000000000002"/>
    <n v="185.5339821"/>
    <n v="8.5210000000000008"/>
  </r>
  <r>
    <x v="13"/>
    <x v="63"/>
    <n v="2256461.39"/>
    <x v="0"/>
    <n v="53.04"/>
    <n v="3.8919999999999999"/>
    <n v="185.6684673"/>
    <n v="8.5210000000000008"/>
  </r>
  <r>
    <x v="13"/>
    <x v="64"/>
    <n v="1930617.64"/>
    <x v="0"/>
    <n v="66.180000000000007"/>
    <n v="3.9620000000000002"/>
    <n v="185.8029526"/>
    <n v="8.5210000000000008"/>
  </r>
  <r>
    <x v="13"/>
    <x v="65"/>
    <n v="2095599.93"/>
    <x v="0"/>
    <n v="58.21"/>
    <n v="4.0460000000000003"/>
    <n v="185.9374378"/>
    <n v="8.5210000000000008"/>
  </r>
  <r>
    <x v="13"/>
    <x v="66"/>
    <n v="2004330.3"/>
    <x v="0"/>
    <n v="60.38"/>
    <n v="4.0659999999999998"/>
    <n v="186.07192309999999"/>
    <n v="8.5210000000000008"/>
  </r>
  <r>
    <x v="13"/>
    <x v="67"/>
    <n v="1959967.8"/>
    <x v="0"/>
    <n v="62.28"/>
    <n v="4.0620000000000003"/>
    <n v="185.96611540000001"/>
    <n v="8.5210000000000008"/>
  </r>
  <r>
    <x v="13"/>
    <x v="68"/>
    <n v="2080694.24"/>
    <x v="0"/>
    <n v="69.7"/>
    <n v="3.9849999999999999"/>
    <n v="185.86030769999999"/>
    <n v="8.5210000000000008"/>
  </r>
  <r>
    <x v="13"/>
    <x v="69"/>
    <n v="2079899.47"/>
    <x v="0"/>
    <n v="76.38"/>
    <n v="3.9220000000000002"/>
    <n v="185.75450000000001"/>
    <n v="8.5210000000000008"/>
  </r>
  <r>
    <x v="13"/>
    <x v="70"/>
    <n v="2132446"/>
    <x v="0"/>
    <n v="73.88"/>
    <n v="3.8809999999999998"/>
    <n v="185.64869229999999"/>
    <n v="8.5210000000000008"/>
  </r>
  <r>
    <x v="13"/>
    <x v="71"/>
    <n v="2082083.34"/>
    <x v="0"/>
    <n v="69.319999999999993"/>
    <n v="3.8420000000000001"/>
    <n v="185.67193330000001"/>
    <n v="8.5210000000000008"/>
  </r>
  <r>
    <x v="13"/>
    <x v="72"/>
    <n v="2069523.52"/>
    <x v="0"/>
    <n v="74.849999999999994"/>
    <n v="3.8039999999999998"/>
    <n v="185.79196089999999"/>
    <n v="8.5210000000000008"/>
  </r>
  <r>
    <x v="13"/>
    <x v="73"/>
    <n v="2074668.19"/>
    <x v="0"/>
    <n v="74.040000000000006"/>
    <n v="3.7480000000000002"/>
    <n v="185.91198850000001"/>
    <n v="8.625"/>
  </r>
  <r>
    <x v="13"/>
    <x v="74"/>
    <n v="2063401.06"/>
    <x v="0"/>
    <n v="77.489999999999995"/>
    <n v="3.7109999999999999"/>
    <n v="186.032016"/>
    <n v="8.625"/>
  </r>
  <r>
    <x v="13"/>
    <x v="75"/>
    <n v="1953544.76"/>
    <x v="0"/>
    <n v="78.47"/>
    <n v="3.76"/>
    <n v="186.13998079999999"/>
    <n v="8.625"/>
  </r>
  <r>
    <x v="13"/>
    <x v="76"/>
    <n v="1882070.88"/>
    <x v="0"/>
    <n v="82.33"/>
    <n v="3.8109999999999999"/>
    <n v="186.21778850000001"/>
    <n v="8.625"/>
  </r>
  <r>
    <x v="13"/>
    <x v="77"/>
    <n v="1871021.01"/>
    <x v="0"/>
    <n v="81.31"/>
    <n v="3.8290000000000002"/>
    <n v="186.29559620000001"/>
    <n v="8.625"/>
  </r>
  <r>
    <x v="13"/>
    <x v="78"/>
    <n v="2066020.69"/>
    <x v="0"/>
    <n v="78.22"/>
    <n v="3.8420000000000001"/>
    <n v="186.37340380000001"/>
    <n v="8.625"/>
  </r>
  <r>
    <x v="13"/>
    <x v="79"/>
    <n v="1928773.82"/>
    <x v="0"/>
    <n v="77"/>
    <n v="3.8119999999999998"/>
    <n v="186.4512115"/>
    <n v="8.625"/>
  </r>
  <r>
    <x v="13"/>
    <x v="80"/>
    <n v="1896873.99"/>
    <x v="0"/>
    <n v="72.98"/>
    <n v="3.7469999999999999"/>
    <n v="186.5093071"/>
    <n v="8.625"/>
  </r>
  <r>
    <x v="13"/>
    <x v="81"/>
    <n v="2273470.62"/>
    <x v="0"/>
    <n v="72.55"/>
    <n v="3.7040000000000002"/>
    <n v="186.5641172"/>
    <n v="8.625"/>
  </r>
  <r>
    <x v="13"/>
    <x v="82"/>
    <n v="1750891.47"/>
    <x v="0"/>
    <n v="70.63"/>
    <n v="3.7029999999999998"/>
    <n v="186.61892739999999"/>
    <n v="8.625"/>
  </r>
  <r>
    <x v="13"/>
    <x v="83"/>
    <n v="2202742.9"/>
    <x v="1"/>
    <n v="71.48"/>
    <n v="3.738"/>
    <n v="186.67373760000001"/>
    <n v="8.625"/>
  </r>
  <r>
    <x v="13"/>
    <x v="84"/>
    <n v="1864637.89"/>
    <x v="0"/>
    <n v="69.17"/>
    <n v="3.742"/>
    <n v="186.80240000000001"/>
    <n v="8.625"/>
  </r>
  <r>
    <x v="13"/>
    <x v="85"/>
    <n v="1871555.64"/>
    <x v="0"/>
    <n v="63.75"/>
    <n v="3.7109999999999999"/>
    <n v="187.02953210000001"/>
    <n v="8.625"/>
  </r>
  <r>
    <x v="13"/>
    <x v="86"/>
    <n v="1809989.29"/>
    <x v="0"/>
    <n v="70.66"/>
    <n v="3.645"/>
    <n v="187.25666409999999"/>
    <n v="8.625"/>
  </r>
  <r>
    <x v="13"/>
    <x v="87"/>
    <n v="2078796.76"/>
    <x v="0"/>
    <n v="55.82"/>
    <n v="3.5830000000000002"/>
    <n v="187.4837962"/>
    <n v="8.5229999999999997"/>
  </r>
  <r>
    <x v="13"/>
    <x v="88"/>
    <n v="1890870.75"/>
    <x v="0"/>
    <n v="63.82"/>
    <n v="3.5409999999999999"/>
    <n v="187.69174810000001"/>
    <n v="8.5229999999999997"/>
  </r>
  <r>
    <x v="13"/>
    <x v="89"/>
    <n v="2009004.59"/>
    <x v="0"/>
    <n v="59.6"/>
    <n v="3.57"/>
    <n v="187.78461970000001"/>
    <n v="8.5229999999999997"/>
  </r>
  <r>
    <x v="13"/>
    <x v="90"/>
    <n v="2056846.12"/>
    <x v="0"/>
    <n v="51.78"/>
    <n v="3.569"/>
    <n v="187.8774913"/>
    <n v="8.5229999999999997"/>
  </r>
  <r>
    <x v="13"/>
    <x v="91"/>
    <n v="2174056.71"/>
    <x v="0"/>
    <n v="43.92"/>
    <n v="3.5510000000000002"/>
    <n v="187.9703629"/>
    <n v="8.5229999999999997"/>
  </r>
  <r>
    <x v="13"/>
    <x v="92"/>
    <n v="2081534.65"/>
    <x v="0"/>
    <n v="47.65"/>
    <n v="3.53"/>
    <n v="188.06323449999999"/>
    <n v="8.5229999999999997"/>
  </r>
  <r>
    <x v="13"/>
    <x v="93"/>
    <n v="1969360.72"/>
    <x v="0"/>
    <n v="51.34"/>
    <n v="3.53"/>
    <n v="188.1983654"/>
    <n v="8.5229999999999997"/>
  </r>
  <r>
    <x v="13"/>
    <x v="94"/>
    <n v="2685351.81"/>
    <x v="1"/>
    <n v="48.71"/>
    <n v="3.492"/>
    <n v="188.35040000000001"/>
    <n v="8.5229999999999997"/>
  </r>
  <r>
    <x v="13"/>
    <x v="95"/>
    <n v="2143080.5699999998"/>
    <x v="0"/>
    <n v="50.19"/>
    <n v="3.452"/>
    <n v="188.50243459999999"/>
    <n v="8.5229999999999997"/>
  </r>
  <r>
    <x v="13"/>
    <x v="96"/>
    <n v="2470581.29"/>
    <x v="0"/>
    <n v="46.57"/>
    <n v="3.415"/>
    <n v="188.65446919999999"/>
    <n v="8.5229999999999997"/>
  </r>
  <r>
    <x v="13"/>
    <x v="97"/>
    <n v="2594363.09"/>
    <x v="0"/>
    <n v="39.93"/>
    <n v="3.4129999999999998"/>
    <n v="188.7979349"/>
    <n v="8.5229999999999997"/>
  </r>
  <r>
    <x v="13"/>
    <x v="98"/>
    <n v="3369068.99"/>
    <x v="0"/>
    <n v="42.27"/>
    <n v="3.3889999999999998"/>
    <n v="188.9299752"/>
    <n v="8.5229999999999997"/>
  </r>
  <r>
    <x v="13"/>
    <x v="99"/>
    <n v="1914148.89"/>
    <x v="1"/>
    <n v="37.79"/>
    <n v="3.3889999999999998"/>
    <n v="189.0620155"/>
    <n v="8.5229999999999997"/>
  </r>
  <r>
    <x v="13"/>
    <x v="100"/>
    <n v="1859144.96"/>
    <x v="0"/>
    <n v="35.880000000000003"/>
    <n v="3.4220000000000002"/>
    <n v="189.1940558"/>
    <n v="8.4239999999999995"/>
  </r>
  <r>
    <x v="13"/>
    <x v="101"/>
    <n v="1696248.27"/>
    <x v="0"/>
    <n v="41.18"/>
    <n v="3.5129999999999999"/>
    <n v="189.32609619999999"/>
    <n v="8.4239999999999995"/>
  </r>
  <r>
    <x v="13"/>
    <x v="102"/>
    <n v="1789113.32"/>
    <x v="0"/>
    <n v="31.85"/>
    <n v="3.5329999999999999"/>
    <n v="189.4214733"/>
    <n v="8.4239999999999995"/>
  </r>
  <r>
    <x v="13"/>
    <x v="103"/>
    <n v="1595362.27"/>
    <x v="0"/>
    <n v="37.93"/>
    <n v="3.5670000000000002"/>
    <n v="189.5168505"/>
    <n v="8.4239999999999995"/>
  </r>
  <r>
    <x v="13"/>
    <x v="104"/>
    <n v="1877410.36"/>
    <x v="0"/>
    <n v="42.96"/>
    <n v="3.617"/>
    <n v="189.61222770000001"/>
    <n v="8.4239999999999995"/>
  </r>
  <r>
    <x v="13"/>
    <x v="105"/>
    <n v="2077256.24"/>
    <x v="1"/>
    <n v="37"/>
    <n v="3.64"/>
    <n v="189.70760480000001"/>
    <n v="8.4239999999999995"/>
  </r>
  <r>
    <x v="13"/>
    <x v="106"/>
    <n v="2020550.99"/>
    <x v="0"/>
    <n v="36.85"/>
    <n v="3.6949999999999998"/>
    <n v="189.84248339999999"/>
    <n v="8.4239999999999995"/>
  </r>
  <r>
    <x v="13"/>
    <x v="107"/>
    <n v="1875040.16"/>
    <x v="0"/>
    <n v="42.86"/>
    <n v="3.7389999999999999"/>
    <n v="190.0069881"/>
    <n v="8.4239999999999995"/>
  </r>
  <r>
    <x v="13"/>
    <x v="108"/>
    <n v="1926004.99"/>
    <x v="0"/>
    <n v="41.55"/>
    <n v="3.8159999999999998"/>
    <n v="190.17149269999999"/>
    <n v="8.4239999999999995"/>
  </r>
  <r>
    <x v="13"/>
    <x v="109"/>
    <n v="2020839.31"/>
    <x v="0"/>
    <n v="45.52"/>
    <n v="3.8479999999999999"/>
    <n v="190.3359973"/>
    <n v="8.4239999999999995"/>
  </r>
  <r>
    <x v="13"/>
    <x v="110"/>
    <n v="1941040.5"/>
    <x v="0"/>
    <n v="50.56"/>
    <n v="3.8620000000000001"/>
    <n v="190.4618964"/>
    <n v="8.4239999999999995"/>
  </r>
  <r>
    <x v="13"/>
    <x v="111"/>
    <n v="1893447.71"/>
    <x v="0"/>
    <n v="59.45"/>
    <n v="3.9"/>
    <n v="190.5363213"/>
    <n v="8.4239999999999995"/>
  </r>
  <r>
    <x v="13"/>
    <x v="112"/>
    <n v="1905033.01"/>
    <x v="0"/>
    <n v="50.04"/>
    <n v="3.9529999999999998"/>
    <n v="190.61074629999999"/>
    <n v="8.4239999999999995"/>
  </r>
  <r>
    <x v="13"/>
    <x v="113"/>
    <n v="2376022.2599999998"/>
    <x v="0"/>
    <n v="49.73"/>
    <n v="3.996"/>
    <n v="190.68517120000001"/>
    <n v="8.5670000000000002"/>
  </r>
  <r>
    <x v="13"/>
    <x v="114"/>
    <n v="1912909.69"/>
    <x v="0"/>
    <n v="51.83"/>
    <n v="4.0439999999999996"/>
    <n v="190.7595962"/>
    <n v="8.5670000000000002"/>
  </r>
  <r>
    <x v="13"/>
    <x v="115"/>
    <n v="1875686.44"/>
    <x v="0"/>
    <n v="63.13"/>
    <n v="4.0270000000000001"/>
    <n v="190.81380129999999"/>
    <n v="8.5670000000000002"/>
  </r>
  <r>
    <x v="13"/>
    <x v="116"/>
    <n v="1784029.95"/>
    <x v="0"/>
    <n v="53.2"/>
    <n v="4.0039999999999996"/>
    <n v="190.86800640000001"/>
    <n v="8.5670000000000002"/>
  </r>
  <r>
    <x v="13"/>
    <x v="117"/>
    <n v="1949354.29"/>
    <x v="0"/>
    <n v="55.21"/>
    <n v="3.9510000000000001"/>
    <n v="190.9222115"/>
    <n v="8.5670000000000002"/>
  </r>
  <r>
    <x v="13"/>
    <x v="118"/>
    <n v="1987531.05"/>
    <x v="0"/>
    <n v="61.24"/>
    <n v="3.8889999999999998"/>
    <n v="190.97641669999999"/>
    <n v="8.5670000000000002"/>
  </r>
  <r>
    <x v="13"/>
    <x v="119"/>
    <n v="1932233.17"/>
    <x v="0"/>
    <n v="66.3"/>
    <n v="3.8479999999999999"/>
    <n v="190.99644789999999"/>
    <n v="8.5670000000000002"/>
  </r>
  <r>
    <x v="13"/>
    <x v="120"/>
    <n v="2030869.61"/>
    <x v="0"/>
    <n v="67.209999999999994"/>
    <n v="3.798"/>
    <n v="191.00280960000001"/>
    <n v="8.5670000000000002"/>
  </r>
  <r>
    <x v="13"/>
    <x v="121"/>
    <n v="2049485.49"/>
    <x v="0"/>
    <n v="74.48"/>
    <n v="3.742"/>
    <n v="191.0091712"/>
    <n v="8.5670000000000002"/>
  </r>
  <r>
    <x v="13"/>
    <x v="122"/>
    <n v="2099615.88"/>
    <x v="0"/>
    <n v="64.3"/>
    <n v="3.6890000000000001"/>
    <n v="191.01553290000001"/>
    <n v="8.5670000000000002"/>
  </r>
  <r>
    <x v="13"/>
    <x v="123"/>
    <n v="1905733.68"/>
    <x v="0"/>
    <n v="71.930000000000007"/>
    <n v="3.62"/>
    <n v="191.02997310000001"/>
    <n v="8.5670000000000002"/>
  </r>
  <r>
    <x v="13"/>
    <x v="124"/>
    <n v="1660228.88"/>
    <x v="0"/>
    <n v="74.22"/>
    <n v="3.5640000000000001"/>
    <n v="191.06460960000001"/>
    <n v="8.5670000000000002"/>
  </r>
  <r>
    <x v="13"/>
    <x v="125"/>
    <n v="1591835.02"/>
    <x v="0"/>
    <n v="75.22"/>
    <n v="3.5059999999999998"/>
    <n v="191.09924620000001"/>
    <n v="8.5670000000000002"/>
  </r>
  <r>
    <x v="13"/>
    <x v="126"/>
    <n v="1862128.95"/>
    <x v="0"/>
    <n v="82.99"/>
    <n v="3.4750000000000001"/>
    <n v="191.13388269999999"/>
    <n v="8.6839999999999993"/>
  </r>
  <r>
    <x v="13"/>
    <x v="127"/>
    <n v="1544422.35"/>
    <x v="0"/>
    <n v="79.97"/>
    <n v="3.5230000000000001"/>
    <n v="191.16851919999999"/>
    <n v="8.6839999999999993"/>
  </r>
  <r>
    <x v="13"/>
    <x v="128"/>
    <n v="1553250.16"/>
    <x v="0"/>
    <n v="78.89"/>
    <n v="3.5670000000000002"/>
    <n v="191.16704279999999"/>
    <n v="8.6839999999999993"/>
  </r>
  <r>
    <x v="13"/>
    <x v="129"/>
    <n v="1479514.66"/>
    <x v="0"/>
    <n v="77.2"/>
    <n v="3.6469999999999998"/>
    <n v="191.16556639999999"/>
    <n v="8.6839999999999993"/>
  </r>
  <r>
    <x v="13"/>
    <x v="130"/>
    <n v="1656886.46"/>
    <x v="0"/>
    <n v="76.58"/>
    <n v="3.6539999999999999"/>
    <n v="191.16408999999999"/>
    <n v="8.6839999999999993"/>
  </r>
  <r>
    <x v="13"/>
    <x v="131"/>
    <n v="1648570.03"/>
    <x v="0"/>
    <n v="78.650000000000006"/>
    <n v="3.722"/>
    <n v="191.16261349999999"/>
    <n v="8.6839999999999993"/>
  </r>
  <r>
    <x v="13"/>
    <x v="132"/>
    <n v="1660433.3"/>
    <x v="0"/>
    <n v="75.709999999999994"/>
    <n v="3.8069999999999999"/>
    <n v="191.22849189999999"/>
    <n v="8.6839999999999993"/>
  </r>
  <r>
    <x v="13"/>
    <x v="133"/>
    <n v="1621841.33"/>
    <x v="0"/>
    <n v="72.62"/>
    <n v="3.8340000000000001"/>
    <n v="191.3448865"/>
    <n v="8.6839999999999993"/>
  </r>
  <r>
    <x v="13"/>
    <x v="134"/>
    <n v="1613342.19"/>
    <x v="0"/>
    <n v="75.09"/>
    <n v="3.867"/>
    <n v="191.46128100000001"/>
    <n v="8.6839999999999993"/>
  </r>
  <r>
    <x v="13"/>
    <x v="135"/>
    <n v="1904512.34"/>
    <x v="1"/>
    <n v="75.7"/>
    <n v="3.911"/>
    <n v="191.57767559999999"/>
    <n v="8.6839999999999993"/>
  </r>
  <r>
    <x v="13"/>
    <x v="136"/>
    <n v="1554794.22"/>
    <x v="0"/>
    <n v="67.87"/>
    <n v="3.948"/>
    <n v="191.69985"/>
    <n v="8.6839999999999993"/>
  </r>
  <r>
    <x v="13"/>
    <x v="137"/>
    <n v="1565352.46"/>
    <x v="0"/>
    <n v="65.319999999999993"/>
    <n v="4.0380000000000003"/>
    <n v="191.85670379999999"/>
    <n v="8.6839999999999993"/>
  </r>
  <r>
    <x v="13"/>
    <x v="138"/>
    <n v="1522512.2"/>
    <x v="0"/>
    <n v="64.88"/>
    <n v="3.9969999999999999"/>
    <n v="192.01355770000001"/>
    <n v="8.6839999999999993"/>
  </r>
  <r>
    <x v="13"/>
    <x v="139"/>
    <n v="1687592.16"/>
    <x v="0"/>
    <n v="64.89"/>
    <n v="3.9849999999999999"/>
    <n v="192.1704115"/>
    <n v="8.6669999999999998"/>
  </r>
  <r>
    <x v="13"/>
    <x v="140"/>
    <n v="1639585.61"/>
    <x v="0"/>
    <n v="54.47"/>
    <n v="4"/>
    <n v="192.32726539999999"/>
    <n v="8.6669999999999998"/>
  </r>
  <r>
    <x v="13"/>
    <x v="141"/>
    <n v="1590274.72"/>
    <x v="0"/>
    <n v="56.47"/>
    <n v="3.9689999999999999"/>
    <n v="192.3308542"/>
    <n v="8.6669999999999998"/>
  </r>
  <r>
    <x v="13"/>
    <x v="142"/>
    <n v="1704357.62"/>
    <x v="0"/>
    <n v="58.85"/>
    <n v="3.8820000000000001"/>
    <n v="192.3088989"/>
    <n v="8.6669999999999998"/>
  </r>
  <r>
    <x v="14"/>
    <x v="0"/>
    <n v="652122.43999999994"/>
    <x v="0"/>
    <n v="19.829999999999998"/>
    <n v="2.9540000000000002"/>
    <n v="131.5279032"/>
    <n v="8.35"/>
  </r>
  <r>
    <x v="14"/>
    <x v="1"/>
    <n v="682447.1"/>
    <x v="1"/>
    <n v="22"/>
    <n v="2.94"/>
    <n v="131.58661290000001"/>
    <n v="8.35"/>
  </r>
  <r>
    <x v="14"/>
    <x v="2"/>
    <n v="660838.75"/>
    <x v="0"/>
    <n v="27.54"/>
    <n v="2.9089999999999998"/>
    <n v="131.637"/>
    <n v="8.35"/>
  </r>
  <r>
    <x v="14"/>
    <x v="3"/>
    <n v="564883.19999999995"/>
    <x v="0"/>
    <n v="29.87"/>
    <n v="2.91"/>
    <n v="131.68600000000001"/>
    <n v="8.35"/>
  </r>
  <r>
    <x v="14"/>
    <x v="4"/>
    <n v="605325.43000000005"/>
    <x v="0"/>
    <n v="31.79"/>
    <n v="2.919"/>
    <n v="131.73500000000001"/>
    <n v="8.35"/>
  </r>
  <r>
    <x v="14"/>
    <x v="5"/>
    <n v="604173.59"/>
    <x v="0"/>
    <n v="41.39"/>
    <n v="2.9380000000000002"/>
    <n v="131.78399999999999"/>
    <n v="8.35"/>
  </r>
  <r>
    <x v="14"/>
    <x v="6"/>
    <n v="593710.67000000004"/>
    <x v="0"/>
    <n v="44.69"/>
    <n v="2.96"/>
    <n v="131.8242903"/>
    <n v="8.35"/>
  </r>
  <r>
    <x v="14"/>
    <x v="7"/>
    <n v="592111.49"/>
    <x v="0"/>
    <n v="39.53"/>
    <n v="2.9630000000000001"/>
    <n v="131.86312899999999"/>
    <n v="8.35"/>
  </r>
  <r>
    <x v="14"/>
    <x v="8"/>
    <n v="718470.71"/>
    <x v="0"/>
    <n v="45.27"/>
    <n v="2.9569999999999999"/>
    <n v="131.9019677"/>
    <n v="8.1850000000000005"/>
  </r>
  <r>
    <x v="14"/>
    <x v="9"/>
    <n v="634605.77"/>
    <x v="0"/>
    <n v="57.77"/>
    <n v="2.992"/>
    <n v="131.94080650000001"/>
    <n v="8.1850000000000005"/>
  </r>
  <r>
    <x v="14"/>
    <x v="10"/>
    <n v="641208.65"/>
    <x v="0"/>
    <n v="49.63"/>
    <n v="3.01"/>
    <n v="131.98089999999999"/>
    <n v="8.1850000000000005"/>
  </r>
  <r>
    <x v="14"/>
    <x v="11"/>
    <n v="643097.59999999998"/>
    <x v="0"/>
    <n v="46.54"/>
    <n v="3.0209999999999999"/>
    <n v="132.0226667"/>
    <n v="8.1850000000000005"/>
  </r>
  <r>
    <x v="14"/>
    <x v="12"/>
    <n v="570791.11"/>
    <x v="0"/>
    <n v="49.09"/>
    <n v="3.0419999999999998"/>
    <n v="132.06443329999999"/>
    <n v="8.1850000000000005"/>
  </r>
  <r>
    <x v="14"/>
    <x v="13"/>
    <n v="661348.88"/>
    <x v="0"/>
    <n v="63.16"/>
    <n v="3.0950000000000002"/>
    <n v="132.1062"/>
    <n v="8.1850000000000005"/>
  </r>
  <r>
    <x v="14"/>
    <x v="14"/>
    <n v="594385.19999999995"/>
    <x v="0"/>
    <n v="47.13"/>
    <n v="3.1120000000000001"/>
    <n v="132.152129"/>
    <n v="8.1850000000000005"/>
  </r>
  <r>
    <x v="14"/>
    <x v="15"/>
    <n v="616598.1"/>
    <x v="0"/>
    <n v="59.09"/>
    <n v="3.0960000000000001"/>
    <n v="132.2230323"/>
    <n v="8.1850000000000005"/>
  </r>
  <r>
    <x v="14"/>
    <x v="16"/>
    <n v="744772.88"/>
    <x v="0"/>
    <n v="70.61"/>
    <n v="3.0459999999999998"/>
    <n v="132.2939355"/>
    <n v="8.1850000000000005"/>
  </r>
  <r>
    <x v="14"/>
    <x v="17"/>
    <n v="693192.5"/>
    <x v="0"/>
    <n v="69.989999999999995"/>
    <n v="3.0059999999999998"/>
    <n v="132.36483870000001"/>
    <n v="8.1850000000000005"/>
  </r>
  <r>
    <x v="14"/>
    <x v="18"/>
    <n v="619337.29"/>
    <x v="0"/>
    <n v="61.04"/>
    <n v="2.972"/>
    <n v="132.43574190000001"/>
    <n v="8.1850000000000005"/>
  </r>
  <r>
    <x v="14"/>
    <x v="19"/>
    <n v="652329.53"/>
    <x v="0"/>
    <n v="65.83"/>
    <n v="2.9420000000000002"/>
    <n v="132.47333330000001"/>
    <n v="8.1850000000000005"/>
  </r>
  <r>
    <x v="14"/>
    <x v="20"/>
    <n v="672194.03"/>
    <x v="0"/>
    <n v="72.790000000000006"/>
    <n v="2.9580000000000002"/>
    <n v="132.49760000000001"/>
    <n v="8.1850000000000005"/>
  </r>
  <r>
    <x v="14"/>
    <x v="21"/>
    <n v="709337.11"/>
    <x v="0"/>
    <n v="66.13"/>
    <n v="2.9580000000000002"/>
    <n v="132.5218667"/>
    <n v="8.0990000000000002"/>
  </r>
  <r>
    <x v="14"/>
    <x v="22"/>
    <n v="691497.62"/>
    <x v="0"/>
    <n v="77.33"/>
    <n v="2.94"/>
    <n v="132.54613330000001"/>
    <n v="8.0990000000000002"/>
  </r>
  <r>
    <x v="14"/>
    <x v="23"/>
    <n v="633203.68999999994"/>
    <x v="0"/>
    <n v="72.83"/>
    <n v="2.9329999999999998"/>
    <n v="132.5667742"/>
    <n v="8.0990000000000002"/>
  </r>
  <r>
    <x v="14"/>
    <x v="24"/>
    <n v="598553.43000000005"/>
    <x v="0"/>
    <n v="73.2"/>
    <n v="2.9239999999999999"/>
    <n v="132.5825806"/>
    <n v="8.0990000000000002"/>
  </r>
  <r>
    <x v="14"/>
    <x v="25"/>
    <n v="619224.06000000006"/>
    <x v="0"/>
    <n v="72.040000000000006"/>
    <n v="2.9319999999999999"/>
    <n v="132.5983871"/>
    <n v="8.0990000000000002"/>
  </r>
  <r>
    <x v="14"/>
    <x v="26"/>
    <n v="639651.24"/>
    <x v="0"/>
    <n v="72.7"/>
    <n v="2.9420000000000002"/>
    <n v="132.6141935"/>
    <n v="8.0990000000000002"/>
  </r>
  <r>
    <x v="14"/>
    <x v="27"/>
    <n v="622437.07999999996"/>
    <x v="0"/>
    <n v="72.17"/>
    <n v="2.923"/>
    <n v="132.63"/>
    <n v="8.0990000000000002"/>
  </r>
  <r>
    <x v="14"/>
    <x v="28"/>
    <n v="637090.43999999994"/>
    <x v="0"/>
    <n v="71.099999999999994"/>
    <n v="2.9129999999999998"/>
    <n v="132.66161289999999"/>
    <n v="8.0990000000000002"/>
  </r>
  <r>
    <x v="14"/>
    <x v="29"/>
    <n v="649791.15"/>
    <x v="0"/>
    <n v="65.069999999999993"/>
    <n v="2.8849999999999998"/>
    <n v="132.69322579999999"/>
    <n v="8.0990000000000002"/>
  </r>
  <r>
    <x v="14"/>
    <x v="30"/>
    <n v="638647.21"/>
    <x v="0"/>
    <n v="73.17"/>
    <n v="2.86"/>
    <n v="132.72483869999999"/>
    <n v="8.0990000000000002"/>
  </r>
  <r>
    <x v="14"/>
    <x v="31"/>
    <n v="641965.19999999995"/>
    <x v="1"/>
    <n v="62.36"/>
    <n v="2.8370000000000002"/>
    <n v="132.75645159999999"/>
    <n v="8.0990000000000002"/>
  </r>
  <r>
    <x v="14"/>
    <x v="32"/>
    <n v="583210.87"/>
    <x v="0"/>
    <n v="57.94"/>
    <n v="2.8460000000000001"/>
    <n v="132.76706669999999"/>
    <n v="8.0990000000000002"/>
  </r>
  <r>
    <x v="14"/>
    <x v="33"/>
    <n v="548542.47"/>
    <x v="0"/>
    <n v="62.53"/>
    <n v="2.8370000000000002"/>
    <n v="132.76193330000001"/>
    <n v="8.0990000000000002"/>
  </r>
  <r>
    <x v="14"/>
    <x v="34"/>
    <n v="566945.94999999995"/>
    <x v="0"/>
    <n v="59.69"/>
    <n v="2.84"/>
    <n v="132.7568"/>
    <n v="8.0670000000000002"/>
  </r>
  <r>
    <x v="14"/>
    <x v="35"/>
    <n v="591603.79"/>
    <x v="0"/>
    <n v="52.19"/>
    <n v="2.903"/>
    <n v="132.75166669999999"/>
    <n v="8.0670000000000002"/>
  </r>
  <r>
    <x v="14"/>
    <x v="36"/>
    <n v="577011.26"/>
    <x v="0"/>
    <n v="49.96"/>
    <n v="2.9990000000000001"/>
    <n v="132.7633548"/>
    <n v="8.0670000000000002"/>
  </r>
  <r>
    <x v="14"/>
    <x v="37"/>
    <n v="600395.73"/>
    <x v="0"/>
    <n v="47.1"/>
    <n v="3.0489999999999999"/>
    <n v="132.8170968"/>
    <n v="8.0670000000000002"/>
  </r>
  <r>
    <x v="14"/>
    <x v="38"/>
    <n v="598301.5"/>
    <x v="0"/>
    <n v="55.09"/>
    <n v="3.0550000000000002"/>
    <n v="132.87083870000001"/>
    <n v="8.0670000000000002"/>
  </r>
  <r>
    <x v="14"/>
    <x v="39"/>
    <n v="612987.64"/>
    <x v="0"/>
    <n v="40.29"/>
    <n v="3.0489999999999999"/>
    <n v="132.92458060000001"/>
    <n v="8.0670000000000002"/>
  </r>
  <r>
    <x v="14"/>
    <x v="40"/>
    <n v="619639.74"/>
    <x v="0"/>
    <n v="39.630000000000003"/>
    <n v="3.0649999999999999"/>
    <n v="132.97832260000001"/>
    <n v="8.0670000000000002"/>
  </r>
  <r>
    <x v="14"/>
    <x v="41"/>
    <n v="608200.81000000006"/>
    <x v="0"/>
    <n v="44.1"/>
    <n v="3.1379999999999999"/>
    <n v="132.91720000000001"/>
    <n v="8.0670000000000002"/>
  </r>
  <r>
    <x v="14"/>
    <x v="42"/>
    <n v="1120018.92"/>
    <x v="1"/>
    <n v="40.71"/>
    <n v="3.1859999999999999"/>
    <n v="132.8369333"/>
    <n v="8.0670000000000002"/>
  </r>
  <r>
    <x v="14"/>
    <x v="43"/>
    <n v="754134.95"/>
    <x v="0"/>
    <n v="36"/>
    <n v="3.2"/>
    <n v="132.75666670000001"/>
    <n v="8.0670000000000002"/>
  </r>
  <r>
    <x v="14"/>
    <x v="44"/>
    <n v="847294.04"/>
    <x v="0"/>
    <n v="23.97"/>
    <n v="3.2549999999999999"/>
    <n v="132.6764"/>
    <n v="8.0670000000000002"/>
  </r>
  <r>
    <x v="14"/>
    <x v="45"/>
    <n v="983825.15"/>
    <x v="0"/>
    <n v="25.3"/>
    <n v="3.3010000000000002"/>
    <n v="132.6804516"/>
    <n v="8.0670000000000002"/>
  </r>
  <r>
    <x v="14"/>
    <x v="46"/>
    <n v="1368318.17"/>
    <x v="0"/>
    <n v="25.07"/>
    <n v="3.3090000000000002"/>
    <n v="132.74774189999999"/>
    <n v="8.0670000000000002"/>
  </r>
  <r>
    <x v="14"/>
    <x v="47"/>
    <n v="543754.17000000004"/>
    <x v="1"/>
    <n v="26.54"/>
    <n v="3.3359999999999999"/>
    <n v="132.81503230000001"/>
    <n v="8.0670000000000002"/>
  </r>
  <r>
    <x v="14"/>
    <x v="48"/>
    <n v="509640.77"/>
    <x v="0"/>
    <n v="30.53"/>
    <n v="3.351"/>
    <n v="132.88232260000001"/>
    <n v="7.7709999999999999"/>
  </r>
  <r>
    <x v="14"/>
    <x v="49"/>
    <n v="479424.2"/>
    <x v="0"/>
    <n v="19.53"/>
    <n v="3.367"/>
    <n v="132.9510645"/>
    <n v="7.7709999999999999"/>
  </r>
  <r>
    <x v="14"/>
    <x v="50"/>
    <n v="487311.03"/>
    <x v="0"/>
    <n v="21.84"/>
    <n v="3.391"/>
    <n v="133.02851609999999"/>
    <n v="7.7709999999999999"/>
  </r>
  <r>
    <x v="14"/>
    <x v="51"/>
    <n v="481119.6"/>
    <x v="0"/>
    <n v="19.61"/>
    <n v="3.4020000000000001"/>
    <n v="133.10596770000001"/>
    <n v="7.7709999999999999"/>
  </r>
  <r>
    <x v="14"/>
    <x v="52"/>
    <n v="556550.85"/>
    <x v="0"/>
    <n v="20.69"/>
    <n v="3.4"/>
    <n v="133.18341939999999"/>
    <n v="7.7709999999999999"/>
  </r>
  <r>
    <x v="14"/>
    <x v="53"/>
    <n v="582864.35"/>
    <x v="1"/>
    <n v="21.64"/>
    <n v="3.4159999999999999"/>
    <n v="133.26087100000001"/>
    <n v="7.7709999999999999"/>
  </r>
  <r>
    <x v="14"/>
    <x v="54"/>
    <n v="649993.5"/>
    <x v="0"/>
    <n v="33.06"/>
    <n v="3.42"/>
    <n v="133.37014289999999"/>
    <n v="7.7709999999999999"/>
  </r>
  <r>
    <x v="14"/>
    <x v="55"/>
    <n v="547564.09"/>
    <x v="0"/>
    <n v="20.87"/>
    <n v="3.452"/>
    <n v="133.4921429"/>
    <n v="7.7709999999999999"/>
  </r>
  <r>
    <x v="14"/>
    <x v="56"/>
    <n v="573374.49"/>
    <x v="0"/>
    <n v="28.16"/>
    <n v="3.605"/>
    <n v="133.61414289999999"/>
    <n v="7.7709999999999999"/>
  </r>
  <r>
    <x v="14"/>
    <x v="57"/>
    <n v="537035.28"/>
    <x v="0"/>
    <n v="34.270000000000003"/>
    <n v="3.7519999999999998"/>
    <n v="133.7361429"/>
    <n v="7.7709999999999999"/>
  </r>
  <r>
    <x v="14"/>
    <x v="58"/>
    <n v="551553.99"/>
    <x v="0"/>
    <n v="40.229999999999997"/>
    <n v="3.7959999999999998"/>
    <n v="133.8492258"/>
    <n v="7.7709999999999999"/>
  </r>
  <r>
    <x v="14"/>
    <x v="59"/>
    <n v="527389.28"/>
    <x v="0"/>
    <n v="32.630000000000003"/>
    <n v="3.7890000000000001"/>
    <n v="133.95874190000001"/>
    <n v="7.7709999999999999"/>
  </r>
  <r>
    <x v="14"/>
    <x v="60"/>
    <n v="542556.05000000005"/>
    <x v="0"/>
    <n v="30.34"/>
    <n v="3.8109999999999999"/>
    <n v="134.06825810000001"/>
    <n v="7.6580000000000004"/>
  </r>
  <r>
    <x v="14"/>
    <x v="61"/>
    <n v="587370.81000000006"/>
    <x v="0"/>
    <n v="40.94"/>
    <n v="3.895"/>
    <n v="134.17777419999999"/>
    <n v="7.6580000000000004"/>
  </r>
  <r>
    <x v="14"/>
    <x v="62"/>
    <n v="607691.36"/>
    <x v="0"/>
    <n v="48.63"/>
    <n v="3.9809999999999999"/>
    <n v="134.2784667"/>
    <n v="7.6580000000000004"/>
  </r>
  <r>
    <x v="14"/>
    <x v="63"/>
    <n v="655318.26"/>
    <x v="0"/>
    <n v="41.37"/>
    <n v="4.0609999999999999"/>
    <n v="134.3571"/>
    <n v="7.6580000000000004"/>
  </r>
  <r>
    <x v="14"/>
    <x v="64"/>
    <n v="560764.41"/>
    <x v="0"/>
    <n v="55.46"/>
    <n v="4.117"/>
    <n v="134.43573330000001"/>
    <n v="7.6580000000000004"/>
  </r>
  <r>
    <x v="14"/>
    <x v="65"/>
    <n v="630522.67000000004"/>
    <x v="0"/>
    <n v="49.87"/>
    <n v="4.1920000000000002"/>
    <n v="134.51436670000001"/>
    <n v="7.6580000000000004"/>
  </r>
  <r>
    <x v="14"/>
    <x v="66"/>
    <n v="630482.91"/>
    <x v="0"/>
    <n v="57.07"/>
    <n v="4.2110000000000003"/>
    <n v="134.59299999999999"/>
    <n v="7.6580000000000004"/>
  </r>
  <r>
    <x v="14"/>
    <x v="67"/>
    <n v="593941.9"/>
    <x v="0"/>
    <n v="57.19"/>
    <n v="4.202"/>
    <n v="134.68038709999999"/>
    <n v="7.6580000000000004"/>
  </r>
  <r>
    <x v="14"/>
    <x v="68"/>
    <n v="636193.24"/>
    <x v="0"/>
    <n v="65.87"/>
    <n v="4.1340000000000003"/>
    <n v="134.76777419999999"/>
    <n v="7.6580000000000004"/>
  </r>
  <r>
    <x v="14"/>
    <x v="69"/>
    <n v="695396.19"/>
    <x v="0"/>
    <n v="69.8"/>
    <n v="4.069"/>
    <n v="134.85516129999999"/>
    <n v="7.6580000000000004"/>
  </r>
  <r>
    <x v="14"/>
    <x v="70"/>
    <n v="642679.81000000006"/>
    <x v="0"/>
    <n v="69.86"/>
    <n v="4.0250000000000004"/>
    <n v="134.94254839999999"/>
    <n v="7.6580000000000004"/>
  </r>
  <r>
    <x v="14"/>
    <x v="71"/>
    <n v="639928.85"/>
    <x v="0"/>
    <n v="63.9"/>
    <n v="3.9889999999999999"/>
    <n v="135.08373330000001"/>
    <n v="7.6580000000000004"/>
  </r>
  <r>
    <x v="14"/>
    <x v="72"/>
    <n v="656594.94999999995"/>
    <x v="0"/>
    <n v="69.959999999999994"/>
    <n v="3.964"/>
    <n v="135.26526670000001"/>
    <n v="7.6580000000000004"/>
  </r>
  <r>
    <x v="14"/>
    <x v="73"/>
    <n v="674669.16"/>
    <x v="0"/>
    <n v="67.430000000000007"/>
    <n v="3.9159999999999999"/>
    <n v="135.4468"/>
    <n v="7.806"/>
  </r>
  <r>
    <x v="14"/>
    <x v="74"/>
    <n v="635118.48"/>
    <x v="0"/>
    <n v="73.47"/>
    <n v="3.8860000000000001"/>
    <n v="135.62833330000001"/>
    <n v="7.806"/>
  </r>
  <r>
    <x v="14"/>
    <x v="75"/>
    <n v="624114.56000000006"/>
    <x v="0"/>
    <n v="73.34"/>
    <n v="3.915"/>
    <n v="135.7837419"/>
    <n v="7.806"/>
  </r>
  <r>
    <x v="14"/>
    <x v="76"/>
    <n v="607475.43999999994"/>
    <x v="0"/>
    <n v="79.97"/>
    <n v="3.972"/>
    <n v="135.87383869999999"/>
    <n v="7.806"/>
  </r>
  <r>
    <x v="14"/>
    <x v="77"/>
    <n v="577511.02"/>
    <x v="0"/>
    <n v="74.67"/>
    <n v="4.0039999999999996"/>
    <n v="135.96393549999999"/>
    <n v="7.806"/>
  </r>
  <r>
    <x v="14"/>
    <x v="78"/>
    <n v="607961.21"/>
    <x v="0"/>
    <n v="73.63"/>
    <n v="4.0199999999999996"/>
    <n v="136.05403229999999"/>
    <n v="7.806"/>
  </r>
  <r>
    <x v="14"/>
    <x v="79"/>
    <n v="590836.37"/>
    <x v="0"/>
    <n v="70.63"/>
    <n v="3.9950000000000001"/>
    <n v="136.14412899999999"/>
    <n v="7.806"/>
  </r>
  <r>
    <x v="14"/>
    <x v="80"/>
    <n v="599488.98"/>
    <x v="0"/>
    <n v="70.41"/>
    <n v="3.9420000000000002"/>
    <n v="136.18312900000001"/>
    <n v="7.806"/>
  </r>
  <r>
    <x v="14"/>
    <x v="81"/>
    <n v="605413.17000000004"/>
    <x v="0"/>
    <n v="69.19"/>
    <n v="3.9060000000000001"/>
    <n v="136.21361289999999"/>
    <n v="7.806"/>
  </r>
  <r>
    <x v="14"/>
    <x v="82"/>
    <n v="649159.68000000005"/>
    <x v="0"/>
    <n v="67.63"/>
    <n v="3.879"/>
    <n v="136.24409679999999"/>
    <n v="7.806"/>
  </r>
  <r>
    <x v="14"/>
    <x v="83"/>
    <n v="607593.51"/>
    <x v="1"/>
    <n v="67.59"/>
    <n v="3.93"/>
    <n v="136.27458060000001"/>
    <n v="7.806"/>
  </r>
  <r>
    <x v="14"/>
    <x v="84"/>
    <n v="545052.34"/>
    <x v="0"/>
    <n v="62.1"/>
    <n v="3.9369999999999998"/>
    <n v="136.31450000000001"/>
    <n v="7.806"/>
  </r>
  <r>
    <x v="14"/>
    <x v="85"/>
    <n v="545570.86"/>
    <x v="0"/>
    <n v="59"/>
    <n v="3.899"/>
    <n v="136.36699999999999"/>
    <n v="7.806"/>
  </r>
  <r>
    <x v="14"/>
    <x v="86"/>
    <n v="521297.31"/>
    <x v="0"/>
    <n v="64.87"/>
    <n v="3.8580000000000001"/>
    <n v="136.4195"/>
    <n v="7.806"/>
  </r>
  <r>
    <x v="14"/>
    <x v="87"/>
    <n v="579068.88"/>
    <x v="0"/>
    <n v="51.24"/>
    <n v="3.7749999999999999"/>
    <n v="136.47200000000001"/>
    <n v="7.8659999999999997"/>
  </r>
  <r>
    <x v="14"/>
    <x v="88"/>
    <n v="537300.93999999994"/>
    <x v="0"/>
    <n v="61.3"/>
    <n v="3.7440000000000002"/>
    <n v="136.51509680000001"/>
    <n v="7.8659999999999997"/>
  </r>
  <r>
    <x v="14"/>
    <x v="89"/>
    <n v="603318.89"/>
    <x v="0"/>
    <n v="51.67"/>
    <n v="3.7570000000000001"/>
    <n v="136.5017742"/>
    <n v="7.8659999999999997"/>
  </r>
  <r>
    <x v="14"/>
    <x v="90"/>
    <n v="589842.68999999994"/>
    <x v="0"/>
    <n v="45.54"/>
    <n v="3.7570000000000001"/>
    <n v="136.48845159999999"/>
    <n v="7.8659999999999997"/>
  </r>
  <r>
    <x v="14"/>
    <x v="91"/>
    <n v="615121.78"/>
    <x v="0"/>
    <n v="43.39"/>
    <n v="3.738"/>
    <n v="136.47512900000001"/>
    <n v="7.8659999999999997"/>
  </r>
  <r>
    <x v="14"/>
    <x v="92"/>
    <n v="618949.81999999995"/>
    <x v="0"/>
    <n v="47.13"/>
    <n v="3.7189999999999999"/>
    <n v="136.46180649999999"/>
    <n v="7.8659999999999997"/>
  </r>
  <r>
    <x v="14"/>
    <x v="93"/>
    <n v="597856.51"/>
    <x v="0"/>
    <n v="46.53"/>
    <n v="3.7170000000000001"/>
    <n v="136.46666669999999"/>
    <n v="7.8659999999999997"/>
  </r>
  <r>
    <x v="14"/>
    <x v="94"/>
    <n v="1066478.1000000001"/>
    <x v="1"/>
    <n v="41.1"/>
    <n v="3.6890000000000001"/>
    <n v="136.47880000000001"/>
    <n v="7.8659999999999997"/>
  </r>
  <r>
    <x v="14"/>
    <x v="95"/>
    <n v="699028.66"/>
    <x v="0"/>
    <n v="45.67"/>
    <n v="3.6659999999999999"/>
    <n v="136.49093329999999"/>
    <n v="7.8659999999999997"/>
  </r>
  <r>
    <x v="14"/>
    <x v="96"/>
    <n v="764565.55"/>
    <x v="0"/>
    <n v="38.53"/>
    <n v="3.6269999999999998"/>
    <n v="136.50306670000001"/>
    <n v="7.8659999999999997"/>
  </r>
  <r>
    <x v="14"/>
    <x v="97"/>
    <n v="870415.49"/>
    <x v="0"/>
    <n v="35.49"/>
    <n v="3.6110000000000002"/>
    <n v="136.53351610000001"/>
    <n v="7.8659999999999997"/>
  </r>
  <r>
    <x v="14"/>
    <x v="98"/>
    <n v="1182691.8700000001"/>
    <x v="0"/>
    <n v="34.93"/>
    <n v="3.5870000000000002"/>
    <n v="136.58838710000001"/>
    <n v="7.8659999999999997"/>
  </r>
  <r>
    <x v="14"/>
    <x v="99"/>
    <n v="603460.79"/>
    <x v="1"/>
    <n v="31.44"/>
    <n v="3.5659999999999998"/>
    <n v="136.6432581"/>
    <n v="7.8659999999999997"/>
  </r>
  <r>
    <x v="14"/>
    <x v="100"/>
    <n v="516087.65"/>
    <x v="0"/>
    <n v="30.24"/>
    <n v="3.585"/>
    <n v="136.69812899999999"/>
    <n v="7.9429999999999996"/>
  </r>
  <r>
    <x v="14"/>
    <x v="101"/>
    <n v="454183.42"/>
    <x v="0"/>
    <n v="36.26"/>
    <n v="3.6659999999999999"/>
    <n v="136.75299999999999"/>
    <n v="7.9429999999999996"/>
  </r>
  <r>
    <x v="14"/>
    <x v="102"/>
    <n v="492721.85"/>
    <x v="0"/>
    <n v="21.39"/>
    <n v="3.7050000000000001"/>
    <n v="136.85641939999999"/>
    <n v="7.9429999999999996"/>
  </r>
  <r>
    <x v="14"/>
    <x v="103"/>
    <n v="466045.63"/>
    <x v="0"/>
    <n v="30.87"/>
    <n v="3.7370000000000001"/>
    <n v="136.95983870000001"/>
    <n v="7.9429999999999996"/>
  </r>
  <r>
    <x v="14"/>
    <x v="104"/>
    <n v="523831.64"/>
    <x v="0"/>
    <n v="35.299999999999997"/>
    <n v="3.7959999999999998"/>
    <n v="137.06325810000001"/>
    <n v="7.9429999999999996"/>
  </r>
  <r>
    <x v="14"/>
    <x v="105"/>
    <n v="628218.22"/>
    <x v="1"/>
    <n v="31.91"/>
    <n v="3.8260000000000001"/>
    <n v="137.1666774"/>
    <n v="7.9429999999999996"/>
  </r>
  <r>
    <x v="14"/>
    <x v="106"/>
    <n v="598502.82999999996"/>
    <x v="0"/>
    <n v="30.26"/>
    <n v="3.8740000000000001"/>
    <n v="137.25831030000001"/>
    <n v="7.9429999999999996"/>
  </r>
  <r>
    <x v="14"/>
    <x v="107"/>
    <n v="561137.06000000006"/>
    <x v="0"/>
    <n v="33.18"/>
    <n v="3.9169999999999998"/>
    <n v="137.34110340000001"/>
    <n v="7.9429999999999996"/>
  </r>
  <r>
    <x v="14"/>
    <x v="108"/>
    <n v="541292.64"/>
    <x v="0"/>
    <n v="33.24"/>
    <n v="3.9830000000000001"/>
    <n v="137.42389660000001"/>
    <n v="7.9429999999999996"/>
  </r>
  <r>
    <x v="14"/>
    <x v="109"/>
    <n v="545120.67000000004"/>
    <x v="0"/>
    <n v="36.97"/>
    <n v="4.0209999999999999"/>
    <n v="137.50668970000001"/>
    <n v="7.9429999999999996"/>
  </r>
  <r>
    <x v="14"/>
    <x v="110"/>
    <n v="570611.23"/>
    <x v="0"/>
    <n v="47.42"/>
    <n v="4.0209999999999999"/>
    <n v="137.58438709999999"/>
    <n v="7.9429999999999996"/>
  </r>
  <r>
    <x v="14"/>
    <x v="111"/>
    <n v="565481.88"/>
    <x v="0"/>
    <n v="58.92"/>
    <n v="4.0540000000000003"/>
    <n v="137.65529029999999"/>
    <n v="7.9429999999999996"/>
  </r>
  <r>
    <x v="14"/>
    <x v="112"/>
    <n v="557547.25"/>
    <x v="0"/>
    <n v="42.65"/>
    <n v="4.0979999999999999"/>
    <n v="137.72619349999999"/>
    <n v="7.9429999999999996"/>
  </r>
  <r>
    <x v="14"/>
    <x v="113"/>
    <n v="659950.36"/>
    <x v="0"/>
    <n v="40.01"/>
    <n v="4.1429999999999998"/>
    <n v="137.79709679999999"/>
    <n v="8.15"/>
  </r>
  <r>
    <x v="14"/>
    <x v="114"/>
    <n v="558585.13"/>
    <x v="0"/>
    <n v="43.52"/>
    <n v="4.1870000000000003"/>
    <n v="137.86799999999999"/>
    <n v="8.15"/>
  </r>
  <r>
    <x v="14"/>
    <x v="115"/>
    <n v="534780.56999999995"/>
    <x v="0"/>
    <n v="54.47"/>
    <n v="4.17"/>
    <n v="137.92306669999999"/>
    <n v="8.15"/>
  </r>
  <r>
    <x v="14"/>
    <x v="116"/>
    <n v="527402.62"/>
    <x v="0"/>
    <n v="41.57"/>
    <n v="4.1630000000000003"/>
    <n v="137.9781333"/>
    <n v="8.15"/>
  </r>
  <r>
    <x v="14"/>
    <x v="117"/>
    <n v="577868.38"/>
    <x v="0"/>
    <n v="51.04"/>
    <n v="4.1239999999999997"/>
    <n v="138.03319999999999"/>
    <n v="8.15"/>
  </r>
  <r>
    <x v="14"/>
    <x v="118"/>
    <n v="579539.94999999995"/>
    <x v="0"/>
    <n v="54.23"/>
    <n v="4.0549999999999997"/>
    <n v="138.08826669999999"/>
    <n v="8.15"/>
  </r>
  <r>
    <x v="14"/>
    <x v="119"/>
    <n v="600050.98"/>
    <x v="0"/>
    <n v="58.84"/>
    <n v="4.0289999999999999"/>
    <n v="138.1065806"/>
    <n v="8.15"/>
  </r>
  <r>
    <x v="14"/>
    <x v="120"/>
    <n v="693780.42"/>
    <x v="0"/>
    <n v="67.97"/>
    <n v="3.9790000000000001"/>
    <n v="138.11019350000001"/>
    <n v="8.15"/>
  </r>
  <r>
    <x v="14"/>
    <x v="121"/>
    <n v="663971.26"/>
    <x v="0"/>
    <n v="67.61"/>
    <n v="3.915"/>
    <n v="138.11380650000001"/>
    <n v="8.15"/>
  </r>
  <r>
    <x v="14"/>
    <x v="122"/>
    <n v="611390.67000000004"/>
    <x v="0"/>
    <n v="59.35"/>
    <n v="3.871"/>
    <n v="138.11741939999999"/>
    <n v="8.15"/>
  </r>
  <r>
    <x v="14"/>
    <x v="123"/>
    <n v="636737.65"/>
    <x v="0"/>
    <n v="67.7"/>
    <n v="3.786"/>
    <n v="138.12953329999999"/>
    <n v="8.15"/>
  </r>
  <r>
    <x v="14"/>
    <x v="124"/>
    <n v="687085.6"/>
    <x v="0"/>
    <n v="74.28"/>
    <n v="3.722"/>
    <n v="138.16290000000001"/>
    <n v="8.15"/>
  </r>
  <r>
    <x v="14"/>
    <x v="125"/>
    <n v="624099.48"/>
    <x v="0"/>
    <n v="68.91"/>
    <n v="3.6669999999999998"/>
    <n v="138.1962667"/>
    <n v="8.15"/>
  </r>
  <r>
    <x v="14"/>
    <x v="126"/>
    <n v="678024.75"/>
    <x v="0"/>
    <n v="74.64"/>
    <n v="3.6459999999999999"/>
    <n v="138.22963329999999"/>
    <n v="8.1929999999999996"/>
  </r>
  <r>
    <x v="14"/>
    <x v="127"/>
    <n v="591335.5"/>
    <x v="0"/>
    <n v="72.62"/>
    <n v="3.6890000000000001"/>
    <n v="138.26300000000001"/>
    <n v="8.1929999999999996"/>
  </r>
  <r>
    <x v="14"/>
    <x v="128"/>
    <n v="592369.22"/>
    <x v="0"/>
    <n v="75.31"/>
    <n v="3.7320000000000002"/>
    <n v="138.2331935"/>
    <n v="8.1929999999999996"/>
  </r>
  <r>
    <x v="14"/>
    <x v="129"/>
    <n v="571190.82999999996"/>
    <x v="0"/>
    <n v="73.900000000000006"/>
    <n v="3.82"/>
    <n v="138.20338709999999"/>
    <n v="8.1929999999999996"/>
  </r>
  <r>
    <x v="14"/>
    <x v="130"/>
    <n v="590739.62"/>
    <x v="0"/>
    <n v="73.13"/>
    <n v="3.819"/>
    <n v="138.17358060000001"/>
    <n v="8.1929999999999996"/>
  </r>
  <r>
    <x v="14"/>
    <x v="131"/>
    <n v="590453.63"/>
    <x v="0"/>
    <n v="73.989999999999995"/>
    <n v="3.863"/>
    <n v="138.1437742"/>
    <n v="8.1929999999999996"/>
  </r>
  <r>
    <x v="14"/>
    <x v="132"/>
    <n v="579738.19999999995"/>
    <x v="0"/>
    <n v="70.290000000000006"/>
    <n v="3.9630000000000001"/>
    <n v="138.18570969999999"/>
    <n v="8.1929999999999996"/>
  </r>
  <r>
    <x v="14"/>
    <x v="133"/>
    <n v="606210.77"/>
    <x v="0"/>
    <n v="66.98"/>
    <n v="3.9969999999999999"/>
    <n v="138.2814516"/>
    <n v="8.1929999999999996"/>
  </r>
  <r>
    <x v="14"/>
    <x v="134"/>
    <n v="610185.31999999995"/>
    <x v="0"/>
    <n v="71.42"/>
    <n v="4.0259999999999998"/>
    <n v="138.3771935"/>
    <n v="8.1929999999999996"/>
  </r>
  <r>
    <x v="14"/>
    <x v="135"/>
    <n v="587259.81999999995"/>
    <x v="1"/>
    <n v="71.61"/>
    <n v="4.0759999999999996"/>
    <n v="138.47293550000001"/>
    <n v="8.1929999999999996"/>
  </r>
  <r>
    <x v="14"/>
    <x v="136"/>
    <n v="527509.76000000001"/>
    <x v="0"/>
    <n v="65.44"/>
    <n v="4.0880000000000001"/>
    <n v="138.56729999999999"/>
    <n v="8.1929999999999996"/>
  </r>
  <r>
    <x v="14"/>
    <x v="137"/>
    <n v="533161.64"/>
    <x v="0"/>
    <n v="60.34"/>
    <n v="4.2030000000000003"/>
    <n v="138.6534"/>
    <n v="8.1929999999999996"/>
  </r>
  <r>
    <x v="14"/>
    <x v="138"/>
    <n v="553901.97"/>
    <x v="0"/>
    <n v="57.13"/>
    <n v="4.1580000000000004"/>
    <n v="138.73949999999999"/>
    <n v="8.1929999999999996"/>
  </r>
  <r>
    <x v="14"/>
    <x v="139"/>
    <n v="573498.64"/>
    <x v="0"/>
    <n v="59.57"/>
    <n v="4.1509999999999998"/>
    <n v="138.82560000000001"/>
    <n v="7.992"/>
  </r>
  <r>
    <x v="14"/>
    <x v="140"/>
    <n v="551799.63"/>
    <x v="0"/>
    <n v="49.12"/>
    <n v="4.1859999999999999"/>
    <n v="138.9117"/>
    <n v="7.992"/>
  </r>
  <r>
    <x v="14"/>
    <x v="141"/>
    <n v="555652.77"/>
    <x v="0"/>
    <n v="52.89"/>
    <n v="4.1529999999999996"/>
    <n v="138.83361289999999"/>
    <n v="7.992"/>
  </r>
  <r>
    <x v="14"/>
    <x v="142"/>
    <n v="558473.6"/>
    <x v="0"/>
    <n v="55.75"/>
    <n v="4.0709999999999997"/>
    <n v="138.72816130000001"/>
    <n v="7.992"/>
  </r>
  <r>
    <x v="15"/>
    <x v="0"/>
    <n v="477409.3"/>
    <x v="0"/>
    <n v="19.79"/>
    <n v="2.58"/>
    <n v="189.38169740000001"/>
    <n v="7.0389999999999997"/>
  </r>
  <r>
    <x v="15"/>
    <x v="1"/>
    <n v="472044.28"/>
    <x v="1"/>
    <n v="20.87"/>
    <n v="2.5720000000000001"/>
    <n v="189.46427249999999"/>
    <n v="7.0389999999999997"/>
  </r>
  <r>
    <x v="15"/>
    <x v="2"/>
    <n v="469868.7"/>
    <x v="0"/>
    <n v="21.13"/>
    <n v="2.5499999999999998"/>
    <n v="189.53409980000001"/>
    <n v="7.0389999999999997"/>
  </r>
  <r>
    <x v="15"/>
    <x v="3"/>
    <n v="443242.17"/>
    <x v="0"/>
    <n v="18.12"/>
    <n v="2.5859999999999999"/>
    <n v="189.6018023"/>
    <n v="7.0389999999999997"/>
  </r>
  <r>
    <x v="15"/>
    <x v="4"/>
    <n v="444181.85"/>
    <x v="0"/>
    <n v="27.92"/>
    <n v="2.62"/>
    <n v="189.66950489999999"/>
    <n v="7.0389999999999997"/>
  </r>
  <r>
    <x v="15"/>
    <x v="5"/>
    <n v="445393.74"/>
    <x v="0"/>
    <n v="28.64"/>
    <n v="2.6840000000000002"/>
    <n v="189.73720750000001"/>
    <n v="7.0389999999999997"/>
  </r>
  <r>
    <x v="15"/>
    <x v="6"/>
    <n v="504307.35"/>
    <x v="0"/>
    <n v="33.450000000000003"/>
    <n v="2.6920000000000002"/>
    <n v="189.734262"/>
    <n v="7.0389999999999997"/>
  </r>
  <r>
    <x v="15"/>
    <x v="7"/>
    <n v="483177.2"/>
    <x v="0"/>
    <n v="29.88"/>
    <n v="2.7170000000000001"/>
    <n v="189.71954170000001"/>
    <n v="7.0389999999999997"/>
  </r>
  <r>
    <x v="15"/>
    <x v="8"/>
    <n v="490503.69"/>
    <x v="0"/>
    <n v="36.19"/>
    <n v="2.7250000000000001"/>
    <n v="189.70482150000001"/>
    <n v="6.8419999999999996"/>
  </r>
  <r>
    <x v="15"/>
    <x v="9"/>
    <n v="424083.99"/>
    <x v="0"/>
    <n v="34.21"/>
    <n v="2.75"/>
    <n v="189.69010119999999"/>
    <n v="6.8419999999999996"/>
  </r>
  <r>
    <x v="15"/>
    <x v="10"/>
    <n v="436312.41"/>
    <x v="0"/>
    <n v="45.69"/>
    <n v="2.7650000000000001"/>
    <n v="189.66288449999999"/>
    <n v="6.8419999999999996"/>
  </r>
  <r>
    <x v="15"/>
    <x v="11"/>
    <n v="370230.94"/>
    <x v="0"/>
    <n v="44.9"/>
    <n v="2.7759999999999998"/>
    <n v="189.6190057"/>
    <n v="6.8419999999999996"/>
  </r>
  <r>
    <x v="15"/>
    <x v="12"/>
    <n v="383550.93"/>
    <x v="0"/>
    <n v="37.75"/>
    <n v="2.766"/>
    <n v="189.57512700000001"/>
    <n v="6.8419999999999996"/>
  </r>
  <r>
    <x v="15"/>
    <x v="13"/>
    <n v="403217.22"/>
    <x v="0"/>
    <n v="37.43"/>
    <n v="2.7709999999999999"/>
    <n v="189.53124829999999"/>
    <n v="6.8419999999999996"/>
  </r>
  <r>
    <x v="15"/>
    <x v="14"/>
    <n v="401770.9"/>
    <x v="0"/>
    <n v="41.26"/>
    <n v="2.7879999999999998"/>
    <n v="189.49041159999999"/>
    <n v="6.8419999999999996"/>
  </r>
  <r>
    <x v="15"/>
    <x v="15"/>
    <n v="435300.51"/>
    <x v="0"/>
    <n v="47.34"/>
    <n v="2.7759999999999998"/>
    <n v="189.467827"/>
    <n v="6.8419999999999996"/>
  </r>
  <r>
    <x v="15"/>
    <x v="16"/>
    <n v="479430"/>
    <x v="0"/>
    <n v="52.08"/>
    <n v="2.7370000000000001"/>
    <n v="189.44524250000001"/>
    <n v="6.8419999999999996"/>
  </r>
  <r>
    <x v="15"/>
    <x v="17"/>
    <n v="516295.81"/>
    <x v="0"/>
    <n v="53.76"/>
    <n v="2.7"/>
    <n v="189.42265800000001"/>
    <n v="6.8419999999999996"/>
  </r>
  <r>
    <x v="15"/>
    <x v="18"/>
    <n v="535587.31000000006"/>
    <x v="0"/>
    <n v="62.63"/>
    <n v="2.6840000000000002"/>
    <n v="189.4000734"/>
    <n v="6.8419999999999996"/>
  </r>
  <r>
    <x v="15"/>
    <x v="19"/>
    <n v="540149.85"/>
    <x v="0"/>
    <n v="52.4"/>
    <n v="2.6739999999999999"/>
    <n v="189.41852589999999"/>
    <n v="6.8419999999999996"/>
  </r>
  <r>
    <x v="15"/>
    <x v="20"/>
    <n v="546554.96"/>
    <x v="0"/>
    <n v="62.37"/>
    <n v="2.7149999999999999"/>
    <n v="189.4533931"/>
    <n v="6.8419999999999996"/>
  </r>
  <r>
    <x v="15"/>
    <x v="21"/>
    <n v="610641.42000000004"/>
    <x v="0"/>
    <n v="64.44"/>
    <n v="2.7280000000000002"/>
    <n v="189.48826030000001"/>
    <n v="6.8680000000000003"/>
  </r>
  <r>
    <x v="15"/>
    <x v="22"/>
    <n v="614253.32999999996"/>
    <x v="0"/>
    <n v="61.79"/>
    <n v="2.7109999999999999"/>
    <n v="189.52312760000001"/>
    <n v="6.8680000000000003"/>
  </r>
  <r>
    <x v="15"/>
    <x v="23"/>
    <n v="586583.68999999994"/>
    <x v="0"/>
    <n v="67.680000000000007"/>
    <n v="2.6989999999999998"/>
    <n v="189.6125456"/>
    <n v="6.8680000000000003"/>
  </r>
  <r>
    <x v="15"/>
    <x v="24"/>
    <n v="588344.18000000005"/>
    <x v="0"/>
    <n v="70.67"/>
    <n v="2.6909999999999998"/>
    <n v="189.774698"/>
    <n v="6.8680000000000003"/>
  </r>
  <r>
    <x v="15"/>
    <x v="25"/>
    <n v="562633.67000000004"/>
    <x v="0"/>
    <n v="70.709999999999994"/>
    <n v="2.69"/>
    <n v="189.9368504"/>
    <n v="6.8680000000000003"/>
  </r>
  <r>
    <x v="15"/>
    <x v="26"/>
    <n v="586936.44999999995"/>
    <x v="0"/>
    <n v="67.42"/>
    <n v="2.69"/>
    <n v="190.09900279999999"/>
    <n v="6.8680000000000003"/>
  </r>
  <r>
    <x v="15"/>
    <x v="27"/>
    <n v="543757.97"/>
    <x v="0"/>
    <n v="63.91"/>
    <n v="2.7229999999999999"/>
    <n v="190.26115519999999"/>
    <n v="6.8680000000000003"/>
  </r>
  <r>
    <x v="15"/>
    <x v="28"/>
    <n v="521516.96"/>
    <x v="0"/>
    <n v="63.59"/>
    <n v="2.7320000000000002"/>
    <n v="190.29482369999999"/>
    <n v="6.8680000000000003"/>
  </r>
  <r>
    <x v="15"/>
    <x v="29"/>
    <n v="581010.52"/>
    <x v="0"/>
    <n v="65.66"/>
    <n v="2.7309999999999999"/>
    <n v="190.3284922"/>
    <n v="6.8680000000000003"/>
  </r>
  <r>
    <x v="15"/>
    <x v="30"/>
    <n v="542087.89"/>
    <x v="0"/>
    <n v="58.02"/>
    <n v="2.7730000000000001"/>
    <n v="190.3621607"/>
    <n v="6.8680000000000003"/>
  </r>
  <r>
    <x v="15"/>
    <x v="31"/>
    <n v="537518.56999999995"/>
    <x v="1"/>
    <n v="57.24"/>
    <n v="2.78"/>
    <n v="190.3958293"/>
    <n v="6.8680000000000003"/>
  </r>
  <r>
    <x v="15"/>
    <x v="32"/>
    <n v="522049.52"/>
    <x v="0"/>
    <n v="56.55"/>
    <n v="2.8"/>
    <n v="190.46882869999999"/>
    <n v="6.8680000000000003"/>
  </r>
  <r>
    <x v="15"/>
    <x v="33"/>
    <n v="511330.32"/>
    <x v="0"/>
    <n v="58.19"/>
    <n v="2.7930000000000001"/>
    <n v="190.5713264"/>
    <n v="6.8680000000000003"/>
  </r>
  <r>
    <x v="15"/>
    <x v="34"/>
    <n v="463977.54"/>
    <x v="0"/>
    <n v="59.39"/>
    <n v="2.7589999999999999"/>
    <n v="190.67382409999999"/>
    <n v="6.9859999999999998"/>
  </r>
  <r>
    <x v="15"/>
    <x v="35"/>
    <n v="442894.2"/>
    <x v="0"/>
    <n v="54.29"/>
    <n v="2.7450000000000001"/>
    <n v="190.77632180000001"/>
    <n v="6.9859999999999998"/>
  </r>
  <r>
    <x v="15"/>
    <x v="36"/>
    <n v="452169.28"/>
    <x v="0"/>
    <n v="45"/>
    <n v="2.762"/>
    <n v="190.8623087"/>
    <n v="6.9859999999999998"/>
  </r>
  <r>
    <x v="15"/>
    <x v="37"/>
    <n v="541216.92000000004"/>
    <x v="0"/>
    <n v="45.85"/>
    <n v="2.762"/>
    <n v="190.9070184"/>
    <n v="6.9859999999999998"/>
  </r>
  <r>
    <x v="15"/>
    <x v="38"/>
    <n v="495022.51"/>
    <x v="0"/>
    <n v="35.76"/>
    <n v="2.7480000000000002"/>
    <n v="190.951728"/>
    <n v="6.9859999999999998"/>
  </r>
  <r>
    <x v="15"/>
    <x v="39"/>
    <n v="446905.02"/>
    <x v="0"/>
    <n v="39.94"/>
    <n v="2.7290000000000001"/>
    <n v="190.9964377"/>
    <n v="6.9859999999999998"/>
  </r>
  <r>
    <x v="15"/>
    <x v="40"/>
    <n v="453632.76"/>
    <x v="0"/>
    <n v="34.04"/>
    <n v="2.7370000000000001"/>
    <n v="191.0411474"/>
    <n v="6.9859999999999998"/>
  </r>
  <r>
    <x v="15"/>
    <x v="41"/>
    <n v="458634.68"/>
    <x v="0"/>
    <n v="27.26"/>
    <n v="2.758"/>
    <n v="191.03121719999999"/>
    <n v="6.9859999999999998"/>
  </r>
  <r>
    <x v="15"/>
    <x v="42"/>
    <n v="651837.77"/>
    <x v="1"/>
    <n v="23.46"/>
    <n v="2.742"/>
    <n v="191.0121805"/>
    <n v="6.9859999999999998"/>
  </r>
  <r>
    <x v="15"/>
    <x v="43"/>
    <n v="512260.59"/>
    <x v="0"/>
    <n v="23.68"/>
    <n v="2.7120000000000002"/>
    <n v="190.99314369999999"/>
    <n v="6.9859999999999998"/>
  </r>
  <r>
    <x v="15"/>
    <x v="44"/>
    <n v="570103.64"/>
    <x v="0"/>
    <n v="32.020000000000003"/>
    <n v="2.7280000000000002"/>
    <n v="190.97410690000001"/>
    <n v="6.9859999999999998"/>
  </r>
  <r>
    <x v="15"/>
    <x v="45"/>
    <n v="648652.01"/>
    <x v="0"/>
    <n v="26.01"/>
    <n v="2.778"/>
    <n v="191.0303376"/>
    <n v="6.9859999999999998"/>
  </r>
  <r>
    <x v="15"/>
    <x v="46"/>
    <n v="1004730.69"/>
    <x v="0"/>
    <n v="32.46"/>
    <n v="2.7810000000000001"/>
    <n v="191.14301889999999"/>
    <n v="6.9859999999999998"/>
  </r>
  <r>
    <x v="15"/>
    <x v="47"/>
    <n v="575317.38"/>
    <x v="1"/>
    <n v="19.66"/>
    <n v="2.8290000000000002"/>
    <n v="191.25570020000001"/>
    <n v="6.9859999999999998"/>
  </r>
  <r>
    <x v="15"/>
    <x v="48"/>
    <n v="573545.96"/>
    <x v="0"/>
    <n v="12.39"/>
    <n v="2.8820000000000001"/>
    <n v="191.3683815"/>
    <n v="6.6139999999999999"/>
  </r>
  <r>
    <x v="15"/>
    <x v="49"/>
    <n v="470365.59"/>
    <x v="0"/>
    <n v="17.46"/>
    <n v="2.911"/>
    <n v="191.47849389999999"/>
    <n v="6.6139999999999999"/>
  </r>
  <r>
    <x v="15"/>
    <x v="50"/>
    <n v="462888.13"/>
    <x v="0"/>
    <n v="28.6"/>
    <n v="2.9729999999999999"/>
    <n v="191.57319240000001"/>
    <n v="6.6139999999999999"/>
  </r>
  <r>
    <x v="15"/>
    <x v="51"/>
    <n v="448391.99"/>
    <x v="0"/>
    <n v="20.8"/>
    <n v="3.008"/>
    <n v="191.667891"/>
    <n v="6.6139999999999999"/>
  </r>
  <r>
    <x v="15"/>
    <x v="52"/>
    <n v="479263.15"/>
    <x v="0"/>
    <n v="13.64"/>
    <n v="3.0110000000000001"/>
    <n v="191.76258949999999"/>
    <n v="6.6139999999999999"/>
  </r>
  <r>
    <x v="15"/>
    <x v="53"/>
    <n v="466806.89"/>
    <x v="1"/>
    <n v="15.02"/>
    <n v="3.0369999999999999"/>
    <n v="191.85728810000001"/>
    <n v="6.6139999999999999"/>
  </r>
  <r>
    <x v="15"/>
    <x v="54"/>
    <n v="491179.79"/>
    <x v="0"/>
    <n v="27.18"/>
    <n v="3.0510000000000002"/>
    <n v="191.9178331"/>
    <n v="6.6139999999999999"/>
  </r>
  <r>
    <x v="15"/>
    <x v="55"/>
    <n v="475201.64"/>
    <x v="0"/>
    <n v="26.15"/>
    <n v="3.101"/>
    <n v="191.9647167"/>
    <n v="6.6139999999999999"/>
  </r>
  <r>
    <x v="15"/>
    <x v="56"/>
    <n v="484829.07"/>
    <x v="0"/>
    <n v="31.77"/>
    <n v="3.2320000000000002"/>
    <n v="192.01160039999999"/>
    <n v="6.6139999999999999"/>
  </r>
  <r>
    <x v="15"/>
    <x v="57"/>
    <n v="457504.35"/>
    <x v="0"/>
    <n v="29.36"/>
    <n v="3.3719999999999999"/>
    <n v="192.05848399999999"/>
    <n v="6.6139999999999999"/>
  </r>
  <r>
    <x v="15"/>
    <x v="58"/>
    <n v="497373.49"/>
    <x v="0"/>
    <n v="36.5"/>
    <n v="3.4060000000000001"/>
    <n v="192.12379809999999"/>
    <n v="6.6139999999999999"/>
  </r>
  <r>
    <x v="15"/>
    <x v="59"/>
    <n v="465279.68"/>
    <x v="0"/>
    <n v="32.61"/>
    <n v="3.4140000000000001"/>
    <n v="192.1964844"/>
    <n v="6.6139999999999999"/>
  </r>
  <r>
    <x v="15"/>
    <x v="60"/>
    <n v="459756.11"/>
    <x v="0"/>
    <n v="35.75"/>
    <n v="3.4609999999999999"/>
    <n v="192.26917069999999"/>
    <n v="6.3390000000000004"/>
  </r>
  <r>
    <x v="15"/>
    <x v="61"/>
    <n v="439276.5"/>
    <x v="0"/>
    <n v="38.04"/>
    <n v="3.532"/>
    <n v="192.3418571"/>
    <n v="6.3390000000000004"/>
  </r>
  <r>
    <x v="15"/>
    <x v="62"/>
    <n v="427855.24"/>
    <x v="0"/>
    <n v="34.590000000000003"/>
    <n v="3.6110000000000002"/>
    <n v="192.42259540000001"/>
    <n v="6.3390000000000004"/>
  </r>
  <r>
    <x v="15"/>
    <x v="63"/>
    <n v="368600"/>
    <x v="0"/>
    <n v="40.74"/>
    <n v="3.6360000000000001"/>
    <n v="192.5234638"/>
    <n v="6.3390000000000004"/>
  </r>
  <r>
    <x v="15"/>
    <x v="64"/>
    <n v="378100.31"/>
    <x v="0"/>
    <n v="37.770000000000003"/>
    <n v="3.6629999999999998"/>
    <n v="192.6243322"/>
    <n v="6.3390000000000004"/>
  </r>
  <r>
    <x v="15"/>
    <x v="65"/>
    <n v="423805.22"/>
    <x v="0"/>
    <n v="38.64"/>
    <n v="3.7349999999999999"/>
    <n v="192.72520059999999"/>
    <n v="6.3390000000000004"/>
  </r>
  <r>
    <x v="15"/>
    <x v="66"/>
    <n v="410406.95"/>
    <x v="0"/>
    <n v="43.29"/>
    <n v="3.7669999999999999"/>
    <n v="192.82606899999999"/>
    <n v="6.3390000000000004"/>
  </r>
  <r>
    <x v="15"/>
    <x v="67"/>
    <n v="435397.19"/>
    <x v="0"/>
    <n v="43.95"/>
    <n v="3.8279999999999998"/>
    <n v="192.83131700000001"/>
    <n v="6.3390000000000004"/>
  </r>
  <r>
    <x v="15"/>
    <x v="68"/>
    <n v="444718.68"/>
    <x v="0"/>
    <n v="45.17"/>
    <n v="3.7949999999999999"/>
    <n v="192.8365651"/>
    <n v="6.3390000000000004"/>
  </r>
  <r>
    <x v="15"/>
    <x v="69"/>
    <n v="531080.31000000006"/>
    <x v="0"/>
    <n v="54.08"/>
    <n v="3.7629999999999999"/>
    <n v="192.8418131"/>
    <n v="6.3390000000000004"/>
  </r>
  <r>
    <x v="15"/>
    <x v="70"/>
    <n v="600952.06000000006"/>
    <x v="0"/>
    <n v="55.78"/>
    <n v="3.7349999999999999"/>
    <n v="192.84706120000001"/>
    <n v="6.3390000000000004"/>
  </r>
  <r>
    <x v="15"/>
    <x v="71"/>
    <n v="581546.23"/>
    <x v="0"/>
    <n v="58.34"/>
    <n v="3.6970000000000001"/>
    <n v="192.90347589999999"/>
    <n v="6.3390000000000004"/>
  </r>
  <r>
    <x v="15"/>
    <x v="72"/>
    <n v="569105.03"/>
    <x v="0"/>
    <n v="54.36"/>
    <n v="3.661"/>
    <n v="192.9982655"/>
    <n v="6.3390000000000004"/>
  </r>
  <r>
    <x v="15"/>
    <x v="73"/>
    <n v="608737.56000000006"/>
    <x v="0"/>
    <n v="63.59"/>
    <n v="3.597"/>
    <n v="193.09305520000001"/>
    <n v="6.3380000000000001"/>
  </r>
  <r>
    <x v="15"/>
    <x v="74"/>
    <n v="634634.66"/>
    <x v="0"/>
    <n v="65"/>
    <n v="3.54"/>
    <n v="193.18784479999999"/>
    <n v="6.3380000000000001"/>
  </r>
  <r>
    <x v="15"/>
    <x v="75"/>
    <n v="586841.77"/>
    <x v="0"/>
    <n v="65.16"/>
    <n v="3.532"/>
    <n v="193.3125484"/>
    <n v="6.3380000000000001"/>
  </r>
  <r>
    <x v="15"/>
    <x v="76"/>
    <n v="581758.22"/>
    <x v="0"/>
    <n v="65.36"/>
    <n v="3.5449999999999999"/>
    <n v="193.51203670000001"/>
    <n v="6.3380000000000001"/>
  </r>
  <r>
    <x v="15"/>
    <x v="77"/>
    <n v="582381.94999999995"/>
    <x v="0"/>
    <n v="66.84"/>
    <n v="3.5470000000000002"/>
    <n v="193.71152499999999"/>
    <n v="6.3380000000000001"/>
  </r>
  <r>
    <x v="15"/>
    <x v="78"/>
    <n v="592981.32999999996"/>
    <x v="0"/>
    <n v="63.96"/>
    <n v="3.5539999999999998"/>
    <n v="193.91101330000001"/>
    <n v="6.3380000000000001"/>
  </r>
  <r>
    <x v="15"/>
    <x v="79"/>
    <n v="563884.47"/>
    <x v="0"/>
    <n v="67.09"/>
    <n v="3.5419999999999998"/>
    <n v="194.11050169999999"/>
    <n v="6.3380000000000001"/>
  </r>
  <r>
    <x v="15"/>
    <x v="80"/>
    <n v="554630.42000000004"/>
    <x v="0"/>
    <n v="68.83"/>
    <n v="3.4990000000000001"/>
    <n v="194.25006339999999"/>
    <n v="6.3380000000000001"/>
  </r>
  <r>
    <x v="15"/>
    <x v="81"/>
    <n v="557312.01"/>
    <x v="0"/>
    <n v="67.510000000000005"/>
    <n v="3.4849999999999999"/>
    <n v="194.37963740000001"/>
    <n v="6.3380000000000001"/>
  </r>
  <r>
    <x v="15"/>
    <x v="82"/>
    <n v="580805.32999999996"/>
    <x v="0"/>
    <n v="63.44"/>
    <n v="3.5110000000000001"/>
    <n v="194.5092113"/>
    <n v="6.3380000000000001"/>
  </r>
  <r>
    <x v="15"/>
    <x v="83"/>
    <n v="574622.56000000006"/>
    <x v="1"/>
    <n v="56.99"/>
    <n v="3.5659999999999998"/>
    <n v="194.6387853"/>
    <n v="6.3380000000000001"/>
  </r>
  <r>
    <x v="15"/>
    <x v="84"/>
    <n v="539081.09"/>
    <x v="0"/>
    <n v="53.68"/>
    <n v="3.5960000000000001"/>
    <n v="194.7419707"/>
    <n v="6.3380000000000001"/>
  </r>
  <r>
    <x v="15"/>
    <x v="85"/>
    <n v="504856.97"/>
    <x v="0"/>
    <n v="50.39"/>
    <n v="3.581"/>
    <n v="194.8099713"/>
    <n v="6.3380000000000001"/>
  </r>
  <r>
    <x v="15"/>
    <x v="86"/>
    <n v="450075.31"/>
    <x v="0"/>
    <n v="57.61"/>
    <n v="3.5379999999999998"/>
    <n v="194.87797180000001"/>
    <n v="6.3380000000000001"/>
  </r>
  <r>
    <x v="15"/>
    <x v="87"/>
    <n v="482926.93"/>
    <x v="0"/>
    <n v="48.91"/>
    <n v="3.4980000000000002"/>
    <n v="194.94597239999999"/>
    <n v="6.2320000000000002"/>
  </r>
  <r>
    <x v="15"/>
    <x v="88"/>
    <n v="498241.06"/>
    <x v="0"/>
    <n v="39.97"/>
    <n v="3.4910000000000001"/>
    <n v="195.0261012"/>
    <n v="6.2320000000000002"/>
  </r>
  <r>
    <x v="15"/>
    <x v="89"/>
    <n v="560104.16"/>
    <x v="0"/>
    <n v="46.99"/>
    <n v="3.548"/>
    <n v="195.17899940000001"/>
    <n v="6.2320000000000002"/>
  </r>
  <r>
    <x v="15"/>
    <x v="90"/>
    <n v="505918.21"/>
    <x v="0"/>
    <n v="41.97"/>
    <n v="3.55"/>
    <n v="195.33189770000001"/>
    <n v="6.2320000000000002"/>
  </r>
  <r>
    <x v="15"/>
    <x v="91"/>
    <n v="511059.95"/>
    <x v="0"/>
    <n v="33.43"/>
    <n v="3.5270000000000001"/>
    <n v="195.48479589999999"/>
    <n v="6.2320000000000002"/>
  </r>
  <r>
    <x v="15"/>
    <x v="92"/>
    <n v="513181.31"/>
    <x v="0"/>
    <n v="29.56"/>
    <n v="3.5049999999999999"/>
    <n v="195.6376941"/>
    <n v="6.2320000000000002"/>
  </r>
  <r>
    <x v="15"/>
    <x v="93"/>
    <n v="480353.64"/>
    <x v="0"/>
    <n v="31.73"/>
    <n v="3.4790000000000001"/>
    <n v="195.7184713"/>
    <n v="6.2320000000000002"/>
  </r>
  <r>
    <x v="15"/>
    <x v="94"/>
    <n v="712422.40000000002"/>
    <x v="1"/>
    <n v="31.39"/>
    <n v="3.4239999999999999"/>
    <n v="195.7704"/>
    <n v="6.2320000000000002"/>
  </r>
  <r>
    <x v="15"/>
    <x v="95"/>
    <n v="530492.84"/>
    <x v="0"/>
    <n v="27.83"/>
    <n v="3.3780000000000001"/>
    <n v="195.82232870000001"/>
    <n v="6.2320000000000002"/>
  </r>
  <r>
    <x v="15"/>
    <x v="96"/>
    <n v="574798.86"/>
    <x v="0"/>
    <n v="14.44"/>
    <n v="3.331"/>
    <n v="195.8742575"/>
    <n v="6.2320000000000002"/>
  </r>
  <r>
    <x v="15"/>
    <x v="97"/>
    <n v="679481.9"/>
    <x v="0"/>
    <n v="22.5"/>
    <n v="3.266"/>
    <n v="195.98416850000001"/>
    <n v="6.2320000000000002"/>
  </r>
  <r>
    <x v="15"/>
    <x v="98"/>
    <n v="950691.96"/>
    <x v="0"/>
    <n v="20.79"/>
    <n v="3.173"/>
    <n v="196.17138929999999"/>
    <n v="6.2320000000000002"/>
  </r>
  <r>
    <x v="15"/>
    <x v="99"/>
    <n v="665861.06000000006"/>
    <x v="1"/>
    <n v="23.91"/>
    <n v="3.1190000000000002"/>
    <n v="196.35861009999999"/>
    <n v="6.2320000000000002"/>
  </r>
  <r>
    <x v="15"/>
    <x v="100"/>
    <n v="564538.06999999995"/>
    <x v="0"/>
    <n v="26.49"/>
    <n v="3.0950000000000002"/>
    <n v="196.5458309"/>
    <n v="6.1619999999999999"/>
  </r>
  <r>
    <x v="15"/>
    <x v="101"/>
    <n v="508520.09"/>
    <x v="0"/>
    <n v="19.55"/>
    <n v="3.077"/>
    <n v="196.7330517"/>
    <n v="6.1619999999999999"/>
  </r>
  <r>
    <x v="15"/>
    <x v="102"/>
    <n v="474389.75"/>
    <x v="0"/>
    <n v="29.3"/>
    <n v="3.0550000000000002"/>
    <n v="196.77966520000001"/>
    <n v="6.1619999999999999"/>
  </r>
  <r>
    <x v="15"/>
    <x v="103"/>
    <n v="453979.19"/>
    <x v="0"/>
    <n v="28.17"/>
    <n v="3.0379999999999998"/>
    <n v="196.82627859999999"/>
    <n v="6.1619999999999999"/>
  </r>
  <r>
    <x v="15"/>
    <x v="104"/>
    <n v="475905.1"/>
    <x v="0"/>
    <n v="25.53"/>
    <n v="3.0310000000000001"/>
    <n v="196.8728921"/>
    <n v="6.1619999999999999"/>
  </r>
  <r>
    <x v="15"/>
    <x v="105"/>
    <n v="473766.97"/>
    <x v="1"/>
    <n v="23.69"/>
    <n v="3.1030000000000002"/>
    <n v="196.91950560000001"/>
    <n v="6.1619999999999999"/>
  </r>
  <r>
    <x v="15"/>
    <x v="106"/>
    <n v="494069.49"/>
    <x v="0"/>
    <n v="31.19"/>
    <n v="3.113"/>
    <n v="196.9432711"/>
    <n v="6.1619999999999999"/>
  </r>
  <r>
    <x v="15"/>
    <x v="107"/>
    <n v="495720.3"/>
    <x v="0"/>
    <n v="26.21"/>
    <n v="3.129"/>
    <n v="196.9499007"/>
    <n v="6.1619999999999999"/>
  </r>
  <r>
    <x v="15"/>
    <x v="108"/>
    <n v="464189.09"/>
    <x v="0"/>
    <n v="23.4"/>
    <n v="3.1909999999999998"/>
    <n v="196.9565303"/>
    <n v="6.1619999999999999"/>
  </r>
  <r>
    <x v="15"/>
    <x v="109"/>
    <n v="495951.66"/>
    <x v="0"/>
    <n v="28.16"/>
    <n v="3.286"/>
    <n v="196.96315989999999"/>
    <n v="6.1619999999999999"/>
  </r>
  <r>
    <x v="15"/>
    <x v="110"/>
    <n v="520850.71"/>
    <x v="0"/>
    <n v="38.020000000000003"/>
    <n v="3.4860000000000002"/>
    <n v="197.0457208"/>
    <n v="6.1619999999999999"/>
  </r>
  <r>
    <x v="15"/>
    <x v="111"/>
    <n v="493503.89"/>
    <x v="0"/>
    <n v="38.700000000000003"/>
    <n v="3.6640000000000001"/>
    <n v="197.22952340000001"/>
    <n v="6.1619999999999999"/>
  </r>
  <r>
    <x v="15"/>
    <x v="112"/>
    <n v="485095.41"/>
    <x v="0"/>
    <n v="48.29"/>
    <n v="3.75"/>
    <n v="197.41332589999999"/>
    <n v="6.1619999999999999"/>
  </r>
  <r>
    <x v="15"/>
    <x v="113"/>
    <n v="502662.07"/>
    <x v="0"/>
    <n v="48.93"/>
    <n v="3.8540000000000001"/>
    <n v="197.5971285"/>
    <n v="6.1689999999999996"/>
  </r>
  <r>
    <x v="15"/>
    <x v="114"/>
    <n v="450756.71"/>
    <x v="0"/>
    <n v="45.83"/>
    <n v="3.9009999999999998"/>
    <n v="197.78093100000001"/>
    <n v="6.1689999999999996"/>
  </r>
  <r>
    <x v="15"/>
    <x v="115"/>
    <n v="436221.26"/>
    <x v="0"/>
    <n v="43.61"/>
    <n v="3.9359999999999999"/>
    <n v="197.72273849999999"/>
    <n v="6.1689999999999996"/>
  </r>
  <r>
    <x v="15"/>
    <x v="116"/>
    <n v="398445.15"/>
    <x v="0"/>
    <n v="59.69"/>
    <n v="3.927"/>
    <n v="197.664546"/>
    <n v="6.1689999999999996"/>
  </r>
  <r>
    <x v="15"/>
    <x v="117"/>
    <n v="426959.62"/>
    <x v="0"/>
    <n v="51.34"/>
    <n v="3.903"/>
    <n v="197.60635339999999"/>
    <n v="6.1689999999999996"/>
  </r>
  <r>
    <x v="15"/>
    <x v="118"/>
    <n v="479855"/>
    <x v="0"/>
    <n v="53.57"/>
    <n v="3.87"/>
    <n v="197.5481609"/>
    <n v="6.1689999999999996"/>
  </r>
  <r>
    <x v="15"/>
    <x v="119"/>
    <n v="493506.47"/>
    <x v="0"/>
    <n v="56.74"/>
    <n v="3.8370000000000002"/>
    <n v="197.5553137"/>
    <n v="6.1689999999999996"/>
  </r>
  <r>
    <x v="15"/>
    <x v="120"/>
    <n v="518045.09"/>
    <x v="0"/>
    <n v="57.36"/>
    <n v="3.8039999999999998"/>
    <n v="197.5886046"/>
    <n v="6.1689999999999996"/>
  </r>
  <r>
    <x v="15"/>
    <x v="121"/>
    <n v="532311.93000000005"/>
    <x v="0"/>
    <n v="58.97"/>
    <n v="3.7639999999999998"/>
    <n v="197.6218954"/>
    <n v="6.1689999999999996"/>
  </r>
  <r>
    <x v="15"/>
    <x v="122"/>
    <n v="603618.89"/>
    <x v="0"/>
    <n v="65.430000000000007"/>
    <n v="3.7410000000000001"/>
    <n v="197.6551863"/>
    <n v="6.1689999999999996"/>
  </r>
  <r>
    <x v="15"/>
    <x v="123"/>
    <n v="570045.79"/>
    <x v="0"/>
    <n v="65.36"/>
    <n v="3.7229999999999999"/>
    <n v="197.69229200000001"/>
    <n v="6.1689999999999996"/>
  </r>
  <r>
    <x v="15"/>
    <x v="124"/>
    <n v="581745.72"/>
    <x v="0"/>
    <n v="70.41"/>
    <n v="3.7349999999999999"/>
    <n v="197.7389345"/>
    <n v="6.1689999999999996"/>
  </r>
  <r>
    <x v="15"/>
    <x v="125"/>
    <n v="570162.28"/>
    <x v="0"/>
    <n v="77.31"/>
    <n v="3.6930000000000001"/>
    <n v="197.78557699999999"/>
    <n v="6.1689999999999996"/>
  </r>
  <r>
    <x v="15"/>
    <x v="126"/>
    <n v="641763.53"/>
    <x v="0"/>
    <n v="70.489999999999995"/>
    <n v="3.6459999999999999"/>
    <n v="197.83221950000001"/>
    <n v="6.0609999999999999"/>
  </r>
  <r>
    <x v="15"/>
    <x v="127"/>
    <n v="569005.06000000006"/>
    <x v="0"/>
    <n v="70.290000000000006"/>
    <n v="3.613"/>
    <n v="197.87886209999999"/>
    <n v="6.0609999999999999"/>
  </r>
  <r>
    <x v="15"/>
    <x v="128"/>
    <n v="565297.54"/>
    <x v="0"/>
    <n v="68.430000000000007"/>
    <n v="3.585"/>
    <n v="197.9290378"/>
    <n v="6.0609999999999999"/>
  </r>
  <r>
    <x v="15"/>
    <x v="129"/>
    <n v="539337.87"/>
    <x v="0"/>
    <n v="69"/>
    <n v="3.57"/>
    <n v="197.97921360000001"/>
    <n v="6.0609999999999999"/>
  </r>
  <r>
    <x v="15"/>
    <x v="130"/>
    <n v="584000.71"/>
    <x v="0"/>
    <n v="68.59"/>
    <n v="3.528"/>
    <n v="198.02938929999999"/>
    <n v="6.0609999999999999"/>
  </r>
  <r>
    <x v="15"/>
    <x v="131"/>
    <n v="554036.84"/>
    <x v="0"/>
    <n v="70.239999999999995"/>
    <n v="3.5089999999999999"/>
    <n v="198.0795651"/>
    <n v="6.0609999999999999"/>
  </r>
  <r>
    <x v="15"/>
    <x v="132"/>
    <n v="521896.6"/>
    <x v="0"/>
    <n v="62.07"/>
    <n v="3.5449999999999999"/>
    <n v="198.1001057"/>
    <n v="6.0609999999999999"/>
  </r>
  <r>
    <x v="15"/>
    <x v="133"/>
    <n v="551152.15"/>
    <x v="0"/>
    <n v="61.44"/>
    <n v="3.5579999999999998"/>
    <n v="198.09841990000001"/>
    <n v="6.0609999999999999"/>
  </r>
  <r>
    <x v="15"/>
    <x v="134"/>
    <n v="551837.31000000006"/>
    <x v="0"/>
    <n v="64.19"/>
    <n v="3.556"/>
    <n v="198.09673409999999"/>
    <n v="6.0609999999999999"/>
  </r>
  <r>
    <x v="15"/>
    <x v="135"/>
    <n v="537138.57999999996"/>
    <x v="1"/>
    <n v="60.09"/>
    <n v="3.5960000000000001"/>
    <n v="198.0950484"/>
    <n v="6.0609999999999999"/>
  </r>
  <r>
    <x v="15"/>
    <x v="136"/>
    <n v="526525.16"/>
    <x v="0"/>
    <n v="56.69"/>
    <n v="3.6589999999999998"/>
    <n v="198.12671839999999"/>
    <n v="6.0609999999999999"/>
  </r>
  <r>
    <x v="15"/>
    <x v="137"/>
    <n v="509942.56"/>
    <x v="0"/>
    <n v="56.48"/>
    <n v="3.7650000000000001"/>
    <n v="198.35852299999999"/>
    <n v="6.0609999999999999"/>
  </r>
  <r>
    <x v="15"/>
    <x v="138"/>
    <n v="469607.73"/>
    <x v="0"/>
    <n v="51.4"/>
    <n v="3.7890000000000001"/>
    <n v="198.59032759999999"/>
    <n v="6.0609999999999999"/>
  </r>
  <r>
    <x v="15"/>
    <x v="139"/>
    <n v="471281.68"/>
    <x v="0"/>
    <n v="50.46"/>
    <n v="3.7789999999999999"/>
    <n v="198.8221322"/>
    <n v="5.8470000000000004"/>
  </r>
  <r>
    <x v="15"/>
    <x v="140"/>
    <n v="491817.19"/>
    <x v="0"/>
    <n v="43.26"/>
    <n v="3.76"/>
    <n v="199.0539368"/>
    <n v="5.8470000000000004"/>
  </r>
  <r>
    <x v="15"/>
    <x v="141"/>
    <n v="577198.97"/>
    <x v="0"/>
    <n v="40.590000000000003"/>
    <n v="3.75"/>
    <n v="199.1481963"/>
    <n v="5.8470000000000004"/>
  </r>
  <r>
    <x v="15"/>
    <x v="142"/>
    <n v="475770.14"/>
    <x v="0"/>
    <n v="40.99"/>
    <n v="3.6859999999999999"/>
    <n v="199.2195317"/>
    <n v="5.8470000000000004"/>
  </r>
  <r>
    <x v="16"/>
    <x v="0"/>
    <n v="789036.02"/>
    <x v="0"/>
    <n v="23.11"/>
    <n v="2.6659999999999999"/>
    <n v="126.4420645"/>
    <n v="6.548"/>
  </r>
  <r>
    <x v="16"/>
    <x v="1"/>
    <n v="841951.91"/>
    <x v="1"/>
    <n v="18.36"/>
    <n v="2.6709999999999998"/>
    <n v="126.49625810000001"/>
    <n v="6.548"/>
  </r>
  <r>
    <x v="16"/>
    <x v="2"/>
    <n v="800714"/>
    <x v="0"/>
    <n v="25.06"/>
    <n v="2.6539999999999999"/>
    <n v="126.5262857"/>
    <n v="6.548"/>
  </r>
  <r>
    <x v="16"/>
    <x v="3"/>
    <n v="749549.55"/>
    <x v="0"/>
    <n v="15.64"/>
    <n v="2.6669999999999998"/>
    <n v="126.5522857"/>
    <n v="6.548"/>
  </r>
  <r>
    <x v="16"/>
    <x v="4"/>
    <n v="783300.05"/>
    <x v="0"/>
    <n v="31.58"/>
    <n v="2.681"/>
    <n v="126.5782857"/>
    <n v="6.548"/>
  </r>
  <r>
    <x v="16"/>
    <x v="5"/>
    <n v="763961.82"/>
    <x v="0"/>
    <n v="29.71"/>
    <n v="2.7330000000000001"/>
    <n v="126.60428570000001"/>
    <n v="6.548"/>
  </r>
  <r>
    <x v="16"/>
    <x v="6"/>
    <n v="752034.52"/>
    <x v="0"/>
    <n v="33.96"/>
    <n v="2.782"/>
    <n v="126.6066452"/>
    <n v="6.548"/>
  </r>
  <r>
    <x v="16"/>
    <x v="7"/>
    <n v="793097.64"/>
    <x v="0"/>
    <n v="35.590000000000003"/>
    <n v="2.819"/>
    <n v="126.6050645"/>
    <n v="6.548"/>
  </r>
  <r>
    <x v="16"/>
    <x v="8"/>
    <n v="848521.17"/>
    <x v="0"/>
    <n v="36.94"/>
    <n v="2.8420000000000001"/>
    <n v="126.6034839"/>
    <n v="6.6349999999999998"/>
  </r>
  <r>
    <x v="16"/>
    <x v="9"/>
    <n v="770228.02"/>
    <x v="0"/>
    <n v="34.049999999999997"/>
    <n v="2.8769999999999998"/>
    <n v="126.6019032"/>
    <n v="6.6349999999999998"/>
  </r>
  <r>
    <x v="16"/>
    <x v="10"/>
    <n v="757738.76"/>
    <x v="0"/>
    <n v="45.22"/>
    <n v="2.915"/>
    <n v="126.5621"/>
    <n v="6.6349999999999998"/>
  </r>
  <r>
    <x v="16"/>
    <x v="11"/>
    <n v="977790.83"/>
    <x v="0"/>
    <n v="52.25"/>
    <n v="2.9359999999999999"/>
    <n v="126.4713333"/>
    <n v="6.6349999999999998"/>
  </r>
  <r>
    <x v="16"/>
    <x v="12"/>
    <n v="807798.73"/>
    <x v="0"/>
    <n v="43.82"/>
    <n v="2.9409999999999998"/>
    <n v="126.3805667"/>
    <n v="6.6349999999999998"/>
  </r>
  <r>
    <x v="16"/>
    <x v="13"/>
    <n v="843848.65"/>
    <x v="0"/>
    <n v="40.26"/>
    <n v="2.948"/>
    <n v="126.2898"/>
    <n v="6.6349999999999998"/>
  </r>
  <r>
    <x v="16"/>
    <x v="14"/>
    <n v="813756.09"/>
    <x v="0"/>
    <n v="47.28"/>
    <n v="2.9620000000000002"/>
    <n v="126.2085484"/>
    <n v="6.6349999999999998"/>
  </r>
  <r>
    <x v="16"/>
    <x v="15"/>
    <n v="826626.5"/>
    <x v="0"/>
    <n v="53.94"/>
    <n v="2.95"/>
    <n v="126.1843871"/>
    <n v="6.6349999999999998"/>
  </r>
  <r>
    <x v="16"/>
    <x v="16"/>
    <n v="872817.62"/>
    <x v="0"/>
    <n v="48.19"/>
    <n v="2.9079999999999999"/>
    <n v="126.16022580000001"/>
    <n v="6.6349999999999998"/>
  </r>
  <r>
    <x v="16"/>
    <x v="17"/>
    <n v="876902.87"/>
    <x v="0"/>
    <n v="53.79"/>
    <n v="2.871"/>
    <n v="126.1360645"/>
    <n v="6.6349999999999998"/>
  </r>
  <r>
    <x v="16"/>
    <x v="18"/>
    <n v="845252.21"/>
    <x v="0"/>
    <n v="57.14"/>
    <n v="2.8410000000000002"/>
    <n v="126.1119032"/>
    <n v="6.6349999999999998"/>
  </r>
  <r>
    <x v="16"/>
    <x v="19"/>
    <n v="877996.27"/>
    <x v="0"/>
    <n v="54.94"/>
    <n v="2.819"/>
    <n v="126.114"/>
    <n v="6.6349999999999998"/>
  </r>
  <r>
    <x v="16"/>
    <x v="20"/>
    <n v="893995.44"/>
    <x v="0"/>
    <n v="62.64"/>
    <n v="2.82"/>
    <n v="126.1266"/>
    <n v="6.6349999999999998"/>
  </r>
  <r>
    <x v="16"/>
    <x v="21"/>
    <n v="958875.37"/>
    <x v="0"/>
    <n v="68.98"/>
    <n v="2.8140000000000001"/>
    <n v="126.1392"/>
    <n v="6.6970000000000001"/>
  </r>
  <r>
    <x v="16"/>
    <x v="22"/>
    <n v="836915.92"/>
    <x v="0"/>
    <n v="62.41"/>
    <n v="2.802"/>
    <n v="126.15179999999999"/>
    <n v="6.6970000000000001"/>
  </r>
  <r>
    <x v="16"/>
    <x v="23"/>
    <n v="876591.41"/>
    <x v="0"/>
    <n v="65.66"/>
    <n v="2.7909999999999999"/>
    <n v="126.1498065"/>
    <n v="6.6970000000000001"/>
  </r>
  <r>
    <x v="16"/>
    <x v="24"/>
    <n v="893504.87"/>
    <x v="0"/>
    <n v="69.66"/>
    <n v="2.7970000000000002"/>
    <n v="126.1283548"/>
    <n v="6.6970000000000001"/>
  </r>
  <r>
    <x v="16"/>
    <x v="25"/>
    <n v="833517.19"/>
    <x v="0"/>
    <n v="69.959999999999994"/>
    <n v="2.7970000000000002"/>
    <n v="126.1069032"/>
    <n v="6.6970000000000001"/>
  </r>
  <r>
    <x v="16"/>
    <x v="26"/>
    <n v="795301.17"/>
    <x v="0"/>
    <n v="70.53"/>
    <n v="2.802"/>
    <n v="126.0854516"/>
    <n v="6.6970000000000001"/>
  </r>
  <r>
    <x v="16"/>
    <x v="27"/>
    <n v="759995.18"/>
    <x v="0"/>
    <n v="65.17"/>
    <n v="2.8370000000000002"/>
    <n v="126.06399999999999"/>
    <n v="6.6970000000000001"/>
  </r>
  <r>
    <x v="16"/>
    <x v="28"/>
    <n v="783929.7"/>
    <x v="0"/>
    <n v="67.040000000000006"/>
    <n v="2.85"/>
    <n v="126.0766452"/>
    <n v="6.6970000000000001"/>
  </r>
  <r>
    <x v="16"/>
    <x v="29"/>
    <n v="802583.89"/>
    <x v="0"/>
    <n v="65.03"/>
    <n v="2.8540000000000001"/>
    <n v="126.0892903"/>
    <n v="6.6970000000000001"/>
  </r>
  <r>
    <x v="16"/>
    <x v="30"/>
    <n v="834373.73"/>
    <x v="0"/>
    <n v="57.86"/>
    <n v="2.8679999999999999"/>
    <n v="126.1019355"/>
    <n v="6.6970000000000001"/>
  </r>
  <r>
    <x v="16"/>
    <x v="31"/>
    <n v="1200888.28"/>
    <x v="1"/>
    <n v="56.28"/>
    <n v="2.87"/>
    <n v="126.1145806"/>
    <n v="6.6970000000000001"/>
  </r>
  <r>
    <x v="16"/>
    <x v="32"/>
    <n v="871264.25"/>
    <x v="0"/>
    <n v="58.53"/>
    <n v="2.875"/>
    <n v="126.1454667"/>
    <n v="6.6970000000000001"/>
  </r>
  <r>
    <x v="16"/>
    <x v="33"/>
    <n v="852876.29"/>
    <x v="0"/>
    <n v="58.39"/>
    <n v="2.8719999999999999"/>
    <n v="126.1900333"/>
    <n v="6.6970000000000001"/>
  </r>
  <r>
    <x v="16"/>
    <x v="34"/>
    <n v="829207.27"/>
    <x v="0"/>
    <n v="60.07"/>
    <n v="2.8530000000000002"/>
    <n v="126.2346"/>
    <n v="6.8849999999999998"/>
  </r>
  <r>
    <x v="16"/>
    <x v="35"/>
    <n v="827738.06"/>
    <x v="0"/>
    <n v="58.06"/>
    <n v="2.8410000000000002"/>
    <n v="126.2791667"/>
    <n v="6.8849999999999998"/>
  </r>
  <r>
    <x v="16"/>
    <x v="36"/>
    <n v="838297.32"/>
    <x v="0"/>
    <n v="47.35"/>
    <n v="2.8450000000000002"/>
    <n v="126.32667739999999"/>
    <n v="6.8849999999999998"/>
  </r>
  <r>
    <x v="16"/>
    <x v="37"/>
    <n v="815093.76000000001"/>
    <x v="0"/>
    <n v="47.95"/>
    <n v="2.8490000000000002"/>
    <n v="126.3815484"/>
    <n v="6.8849999999999998"/>
  </r>
  <r>
    <x v="16"/>
    <x v="38"/>
    <n v="861941.25"/>
    <x v="0"/>
    <n v="39.869999999999997"/>
    <n v="2.8410000000000002"/>
    <n v="126.43641940000001"/>
    <n v="6.8849999999999998"/>
  </r>
  <r>
    <x v="16"/>
    <x v="39"/>
    <n v="818434.49"/>
    <x v="0"/>
    <n v="42.54"/>
    <n v="2.831"/>
    <n v="126.4912903"/>
    <n v="6.8849999999999998"/>
  </r>
  <r>
    <x v="16"/>
    <x v="40"/>
    <n v="855459.96"/>
    <x v="0"/>
    <n v="36.32"/>
    <n v="2.831"/>
    <n v="126.54616129999999"/>
    <n v="6.8849999999999998"/>
  </r>
  <r>
    <x v="16"/>
    <x v="41"/>
    <n v="782252.57"/>
    <x v="0"/>
    <n v="36.31"/>
    <n v="2.8420000000000001"/>
    <n v="126.60720000000001"/>
    <n v="6.8849999999999998"/>
  </r>
  <r>
    <x v="16"/>
    <x v="42"/>
    <n v="1005448.76"/>
    <x v="1"/>
    <n v="19.03"/>
    <n v="2.83"/>
    <n v="126.66926669999999"/>
    <n v="6.8849999999999998"/>
  </r>
  <r>
    <x v="16"/>
    <x v="43"/>
    <n v="926573.81"/>
    <x v="0"/>
    <n v="22.47"/>
    <n v="2.8119999999999998"/>
    <n v="126.7313333"/>
    <n v="6.8849999999999998"/>
  </r>
  <r>
    <x v="16"/>
    <x v="44"/>
    <n v="962475.55"/>
    <x v="0"/>
    <n v="31.64"/>
    <n v="2.8170000000000002"/>
    <n v="126.79340000000001"/>
    <n v="6.8849999999999998"/>
  </r>
  <r>
    <x v="16"/>
    <x v="45"/>
    <n v="1049372.3799999999"/>
    <x v="0"/>
    <n v="25.13"/>
    <n v="2.8420000000000001"/>
    <n v="126.8794839"/>
    <n v="6.8849999999999998"/>
  </r>
  <r>
    <x v="16"/>
    <x v="46"/>
    <n v="1309226.79"/>
    <x v="0"/>
    <n v="26.58"/>
    <n v="2.8460000000000001"/>
    <n v="126.9835806"/>
    <n v="6.8849999999999998"/>
  </r>
  <r>
    <x v="16"/>
    <x v="47"/>
    <n v="635862.55000000005"/>
    <x v="1"/>
    <n v="20.79"/>
    <n v="2.8679999999999999"/>
    <n v="127.0876774"/>
    <n v="6.8849999999999998"/>
  </r>
  <r>
    <x v="16"/>
    <x v="48"/>
    <n v="1083071.1399999999"/>
    <x v="0"/>
    <n v="6.23"/>
    <n v="2.891"/>
    <n v="127.1917742"/>
    <n v="6.8659999999999997"/>
  </r>
  <r>
    <x v="16"/>
    <x v="49"/>
    <n v="758510.36"/>
    <x v="0"/>
    <n v="16.57"/>
    <n v="2.903"/>
    <n v="127.30093549999999"/>
    <n v="6.8659999999999997"/>
  </r>
  <r>
    <x v="16"/>
    <x v="50"/>
    <n v="755804.37"/>
    <x v="0"/>
    <n v="26.62"/>
    <n v="2.9340000000000002"/>
    <n v="127.4404839"/>
    <n v="6.8659999999999997"/>
  </r>
  <r>
    <x v="16"/>
    <x v="51"/>
    <n v="736335.69"/>
    <x v="0"/>
    <n v="22.16"/>
    <n v="2.96"/>
    <n v="127.5800323"/>
    <n v="6.8659999999999997"/>
  </r>
  <r>
    <x v="16"/>
    <x v="52"/>
    <n v="816603.05"/>
    <x v="0"/>
    <n v="11.29"/>
    <n v="2.9740000000000002"/>
    <n v="127.7195806"/>
    <n v="6.8659999999999997"/>
  </r>
  <r>
    <x v="16"/>
    <x v="53"/>
    <n v="813211.46"/>
    <x v="1"/>
    <n v="14.19"/>
    <n v="3.0339999999999998"/>
    <n v="127.859129"/>
    <n v="6.8659999999999997"/>
  </r>
  <r>
    <x v="16"/>
    <x v="54"/>
    <n v="860962.91"/>
    <x v="0"/>
    <n v="26.86"/>
    <n v="3.0619999999999998"/>
    <n v="127.99525"/>
    <n v="6.8659999999999997"/>
  </r>
  <r>
    <x v="16"/>
    <x v="55"/>
    <n v="767256.53"/>
    <x v="0"/>
    <n v="24.36"/>
    <n v="3.12"/>
    <n v="128.13"/>
    <n v="6.8659999999999997"/>
  </r>
  <r>
    <x v="16"/>
    <x v="56"/>
    <n v="816138.33"/>
    <x v="0"/>
    <n v="24.21"/>
    <n v="3.23"/>
    <n v="128.26474999999999"/>
    <n v="6.8659999999999997"/>
  </r>
  <r>
    <x v="16"/>
    <x v="57"/>
    <n v="779602.36"/>
    <x v="0"/>
    <n v="32.42"/>
    <n v="3.3460000000000001"/>
    <n v="128.39949999999999"/>
    <n v="6.8659999999999997"/>
  </r>
  <r>
    <x v="16"/>
    <x v="58"/>
    <n v="778436.81"/>
    <x v="0"/>
    <n v="34.479999999999997"/>
    <n v="3.407"/>
    <n v="128.5121935"/>
    <n v="6.8659999999999997"/>
  </r>
  <r>
    <x v="16"/>
    <x v="59"/>
    <n v="781267.76"/>
    <x v="0"/>
    <n v="36.71"/>
    <n v="3.4350000000000001"/>
    <n v="128.61606449999999"/>
    <n v="6.8659999999999997"/>
  </r>
  <r>
    <x v="16"/>
    <x v="60"/>
    <n v="795859.23"/>
    <x v="0"/>
    <n v="39.380000000000003"/>
    <n v="3.4870000000000001"/>
    <n v="128.71993549999999"/>
    <n v="6.774"/>
  </r>
  <r>
    <x v="16"/>
    <x v="61"/>
    <n v="811855.72"/>
    <x v="0"/>
    <n v="39.159999999999997"/>
    <n v="3.5470000000000002"/>
    <n v="128.82380649999999"/>
    <n v="6.774"/>
  </r>
  <r>
    <x v="16"/>
    <x v="62"/>
    <n v="825283.43"/>
    <x v="0"/>
    <n v="39.979999999999997"/>
    <n v="3.6160000000000001"/>
    <n v="128.9107333"/>
    <n v="6.774"/>
  </r>
  <r>
    <x v="16"/>
    <x v="63"/>
    <n v="1060770.1100000001"/>
    <x v="0"/>
    <n v="42.24"/>
    <n v="3.6549999999999998"/>
    <n v="128.95529999999999"/>
    <n v="6.774"/>
  </r>
  <r>
    <x v="16"/>
    <x v="64"/>
    <n v="806979.15"/>
    <x v="0"/>
    <n v="40.14"/>
    <n v="3.6829999999999998"/>
    <n v="128.99986670000001"/>
    <n v="6.774"/>
  </r>
  <r>
    <x v="16"/>
    <x v="65"/>
    <n v="882132.28"/>
    <x v="0"/>
    <n v="45.66"/>
    <n v="3.7440000000000002"/>
    <n v="129.04443330000001"/>
    <n v="6.774"/>
  </r>
  <r>
    <x v="16"/>
    <x v="66"/>
    <n v="870625.49"/>
    <x v="0"/>
    <n v="49.26"/>
    <n v="3.77"/>
    <n v="129.089"/>
    <n v="6.774"/>
  </r>
  <r>
    <x v="16"/>
    <x v="67"/>
    <n v="844443.35"/>
    <x v="0"/>
    <n v="51.93"/>
    <n v="3.802"/>
    <n v="129.07567739999999"/>
    <n v="6.774"/>
  </r>
  <r>
    <x v="16"/>
    <x v="68"/>
    <n v="892056.64"/>
    <x v="0"/>
    <n v="51.04"/>
    <n v="3.778"/>
    <n v="129.06235480000001"/>
    <n v="6.774"/>
  </r>
  <r>
    <x v="16"/>
    <x v="69"/>
    <n v="895020.48"/>
    <x v="0"/>
    <n v="49.61"/>
    <n v="3.7519999999999998"/>
    <n v="129.04903229999999"/>
    <n v="6.774"/>
  </r>
  <r>
    <x v="16"/>
    <x v="70"/>
    <n v="881190.46"/>
    <x v="0"/>
    <n v="54.57"/>
    <n v="3.7320000000000002"/>
    <n v="129.03570970000001"/>
    <n v="6.774"/>
  </r>
  <r>
    <x v="16"/>
    <x v="71"/>
    <n v="894686.67"/>
    <x v="0"/>
    <n v="56.61"/>
    <n v="3.7040000000000002"/>
    <n v="129.04320000000001"/>
    <n v="6.774"/>
  </r>
  <r>
    <x v="16"/>
    <x v="72"/>
    <n v="920719.98"/>
    <x v="0"/>
    <n v="60.99"/>
    <n v="3.6680000000000001"/>
    <n v="129.06630000000001"/>
    <n v="6.774"/>
  </r>
  <r>
    <x v="16"/>
    <x v="73"/>
    <n v="940554.34"/>
    <x v="0"/>
    <n v="67.39"/>
    <n v="3.613"/>
    <n v="129.08940000000001"/>
    <n v="6.7450000000000001"/>
  </r>
  <r>
    <x v="16"/>
    <x v="74"/>
    <n v="915064.22"/>
    <x v="0"/>
    <n v="70.599999999999994"/>
    <n v="3.5630000000000002"/>
    <n v="129.11250000000001"/>
    <n v="6.7450000000000001"/>
  </r>
  <r>
    <x v="16"/>
    <x v="75"/>
    <n v="902727.76"/>
    <x v="0"/>
    <n v="67.930000000000007"/>
    <n v="3.5529999999999999"/>
    <n v="129.13383870000001"/>
    <n v="6.7450000000000001"/>
  </r>
  <r>
    <x v="16"/>
    <x v="76"/>
    <n v="899044.34"/>
    <x v="0"/>
    <n v="69.819999999999993"/>
    <n v="3.5630000000000002"/>
    <n v="129.1507742"/>
    <n v="6.7450000000000001"/>
  </r>
  <r>
    <x v="16"/>
    <x v="77"/>
    <n v="861894.77"/>
    <x v="0"/>
    <n v="68.59"/>
    <n v="3.5739999999999998"/>
    <n v="129.16770969999999"/>
    <n v="6.7450000000000001"/>
  </r>
  <r>
    <x v="16"/>
    <x v="78"/>
    <n v="866184.92"/>
    <x v="0"/>
    <n v="65.709999999999994"/>
    <n v="3.5950000000000002"/>
    <n v="129.18464520000001"/>
    <n v="6.7450000000000001"/>
  </r>
  <r>
    <x v="16"/>
    <x v="79"/>
    <n v="800819.79"/>
    <x v="0"/>
    <n v="64.790000000000006"/>
    <n v="3.6059999999999999"/>
    <n v="129.2015806"/>
    <n v="6.7450000000000001"/>
  </r>
  <r>
    <x v="16"/>
    <x v="80"/>
    <n v="797523.04"/>
    <x v="0"/>
    <n v="67.59"/>
    <n v="3.5779999999999998"/>
    <n v="129.24058059999999"/>
    <n v="6.7450000000000001"/>
  </r>
  <r>
    <x v="16"/>
    <x v="81"/>
    <n v="837390.79"/>
    <x v="0"/>
    <n v="72.040000000000006"/>
    <n v="3.57"/>
    <n v="129.28325810000001"/>
    <n v="6.7450000000000001"/>
  </r>
  <r>
    <x v="16"/>
    <x v="82"/>
    <n v="847380.07"/>
    <x v="0"/>
    <n v="69.31"/>
    <n v="3.58"/>
    <n v="129.32593550000001"/>
    <n v="6.7450000000000001"/>
  </r>
  <r>
    <x v="16"/>
    <x v="83"/>
    <n v="1161900.18"/>
    <x v="1"/>
    <n v="61.94"/>
    <n v="3.6190000000000002"/>
    <n v="129.36861289999999"/>
    <n v="6.7450000000000001"/>
  </r>
  <r>
    <x v="16"/>
    <x v="84"/>
    <n v="1051116.95"/>
    <x v="0"/>
    <n v="61.48"/>
    <n v="3.641"/>
    <n v="129.4306"/>
    <n v="6.7450000000000001"/>
  </r>
  <r>
    <x v="16"/>
    <x v="85"/>
    <n v="895535.31"/>
    <x v="0"/>
    <n v="56.96"/>
    <n v="3.6480000000000001"/>
    <n v="129.51833329999999"/>
    <n v="6.7450000000000001"/>
  </r>
  <r>
    <x v="16"/>
    <x v="86"/>
    <n v="868191.05"/>
    <x v="0"/>
    <n v="61.4"/>
    <n v="3.6230000000000002"/>
    <n v="129.60606670000001"/>
    <n v="6.7450000000000001"/>
  </r>
  <r>
    <x v="16"/>
    <x v="87"/>
    <n v="918006.9"/>
    <x v="0"/>
    <n v="54.4"/>
    <n v="3.5920000000000001"/>
    <n v="129.69380000000001"/>
    <n v="6.617"/>
  </r>
  <r>
    <x v="16"/>
    <x v="88"/>
    <n v="884042.63"/>
    <x v="0"/>
    <n v="47.69"/>
    <n v="3.5670000000000002"/>
    <n v="129.77064519999999"/>
    <n v="6.617"/>
  </r>
  <r>
    <x v="16"/>
    <x v="89"/>
    <n v="877380.22"/>
    <x v="0"/>
    <n v="47.27"/>
    <n v="3.5790000000000002"/>
    <n v="129.78216130000001"/>
    <n v="6.617"/>
  </r>
  <r>
    <x v="16"/>
    <x v="90"/>
    <n v="936508.43"/>
    <x v="0"/>
    <n v="41.89"/>
    <n v="3.5670000000000002"/>
    <n v="129.79367740000001"/>
    <n v="6.617"/>
  </r>
  <r>
    <x v="16"/>
    <x v="91"/>
    <n v="927657.63"/>
    <x v="0"/>
    <n v="37.520000000000003"/>
    <n v="3.5379999999999998"/>
    <n v="129.8051935"/>
    <n v="6.617"/>
  </r>
  <r>
    <x v="16"/>
    <x v="92"/>
    <n v="914759.2"/>
    <x v="0"/>
    <n v="27.61"/>
    <n v="3.5129999999999999"/>
    <n v="129.81670969999999"/>
    <n v="6.617"/>
  </r>
  <r>
    <x v="16"/>
    <x v="93"/>
    <n v="877724.31"/>
    <x v="0"/>
    <n v="32.93"/>
    <n v="3.4889999999999999"/>
    <n v="129.8268333"/>
    <n v="6.617"/>
  </r>
  <r>
    <x v="16"/>
    <x v="94"/>
    <n v="1225700.28"/>
    <x v="1"/>
    <n v="32.81"/>
    <n v="3.4449999999999998"/>
    <n v="129.8364"/>
    <n v="6.617"/>
  </r>
  <r>
    <x v="16"/>
    <x v="95"/>
    <n v="945267.68"/>
    <x v="0"/>
    <n v="26.47"/>
    <n v="3.3889999999999998"/>
    <n v="129.84596669999999"/>
    <n v="6.617"/>
  </r>
  <r>
    <x v="16"/>
    <x v="96"/>
    <n v="976522.93"/>
    <x v="0"/>
    <n v="17.559999999999999"/>
    <n v="3.3410000000000002"/>
    <n v="129.85553329999999"/>
    <n v="6.617"/>
  </r>
  <r>
    <x v="16"/>
    <x v="97"/>
    <n v="1067754.06"/>
    <x v="0"/>
    <n v="21.07"/>
    <n v="3.282"/>
    <n v="129.8980645"/>
    <n v="6.617"/>
  </r>
  <r>
    <x v="16"/>
    <x v="98"/>
    <n v="1289156.8999999999"/>
    <x v="0"/>
    <n v="18.760000000000002"/>
    <n v="3.1859999999999999"/>
    <n v="129.98454839999999"/>
    <n v="6.617"/>
  </r>
  <r>
    <x v="16"/>
    <x v="99"/>
    <n v="777207.3"/>
    <x v="1"/>
    <n v="26.73"/>
    <n v="3.1190000000000002"/>
    <n v="130.07103230000001"/>
    <n v="6.617"/>
  </r>
  <r>
    <x v="16"/>
    <x v="100"/>
    <n v="1198104.22"/>
    <x v="0"/>
    <n v="27.64"/>
    <n v="3.08"/>
    <n v="130.15751610000001"/>
    <n v="6.4029999999999996"/>
  </r>
  <r>
    <x v="16"/>
    <x v="101"/>
    <n v="873576.95999999996"/>
    <x v="0"/>
    <n v="20.28"/>
    <n v="3.056"/>
    <n v="130.244"/>
    <n v="6.4029999999999996"/>
  </r>
  <r>
    <x v="16"/>
    <x v="102"/>
    <n v="809272.65"/>
    <x v="0"/>
    <n v="27.26"/>
    <n v="3.0470000000000002"/>
    <n v="130.27922580000001"/>
    <n v="6.4029999999999996"/>
  </r>
  <r>
    <x v="16"/>
    <x v="103"/>
    <n v="769522.33"/>
    <x v="0"/>
    <n v="29.99"/>
    <n v="3.0579999999999998"/>
    <n v="130.31445160000001"/>
    <n v="6.4029999999999996"/>
  </r>
  <r>
    <x v="16"/>
    <x v="104"/>
    <n v="864852.85"/>
    <x v="0"/>
    <n v="26.26"/>
    <n v="3.077"/>
    <n v="130.34967739999999"/>
    <n v="6.4029999999999996"/>
  </r>
  <r>
    <x v="16"/>
    <x v="105"/>
    <n v="880165.7"/>
    <x v="1"/>
    <n v="23.63"/>
    <n v="3.1160000000000001"/>
    <n v="130.3849032"/>
    <n v="6.4029999999999996"/>
  </r>
  <r>
    <x v="16"/>
    <x v="106"/>
    <n v="927084.65"/>
    <x v="0"/>
    <n v="30.76"/>
    <n v="3.1190000000000002"/>
    <n v="130.45462069999999"/>
    <n v="6.4029999999999996"/>
  </r>
  <r>
    <x v="16"/>
    <x v="107"/>
    <n v="843864.43"/>
    <x v="0"/>
    <n v="30.01"/>
    <n v="3.145"/>
    <n v="130.55020690000001"/>
    <n v="6.4029999999999996"/>
  </r>
  <r>
    <x v="16"/>
    <x v="108"/>
    <n v="856178.47"/>
    <x v="0"/>
    <n v="26.28"/>
    <n v="3.242"/>
    <n v="130.64579309999999"/>
    <n v="6.4029999999999996"/>
  </r>
  <r>
    <x v="16"/>
    <x v="109"/>
    <n v="860224.98"/>
    <x v="0"/>
    <n v="32.020000000000003"/>
    <n v="3.38"/>
    <n v="130.74137930000001"/>
    <n v="6.4029999999999996"/>
  </r>
  <r>
    <x v="16"/>
    <x v="110"/>
    <n v="853136.46"/>
    <x v="0"/>
    <n v="43.69"/>
    <n v="3.5289999999999999"/>
    <n v="130.82619349999999"/>
    <n v="6.4029999999999996"/>
  </r>
  <r>
    <x v="16"/>
    <x v="111"/>
    <n v="851762.28"/>
    <x v="0"/>
    <n v="40.69"/>
    <n v="3.6709999999999998"/>
    <n v="130.89664519999999"/>
    <n v="6.4029999999999996"/>
  </r>
  <r>
    <x v="16"/>
    <x v="112"/>
    <n v="872469.03"/>
    <x v="0"/>
    <n v="45.29"/>
    <n v="3.734"/>
    <n v="130.96709680000001"/>
    <n v="6.4029999999999996"/>
  </r>
  <r>
    <x v="16"/>
    <x v="113"/>
    <n v="986922.62"/>
    <x v="0"/>
    <n v="43.92"/>
    <n v="3.7930000000000001"/>
    <n v="131.03754839999999"/>
    <n v="6.2350000000000003"/>
  </r>
  <r>
    <x v="16"/>
    <x v="114"/>
    <n v="877055.32"/>
    <x v="0"/>
    <n v="46.94"/>
    <n v="3.8330000000000002"/>
    <n v="131.108"/>
    <n v="6.2350000000000003"/>
  </r>
  <r>
    <x v="16"/>
    <x v="115"/>
    <n v="1119979.98"/>
    <x v="0"/>
    <n v="47.69"/>
    <n v="3.8450000000000002"/>
    <n v="131.11733330000001"/>
    <n v="6.2350000000000003"/>
  </r>
  <r>
    <x v="16"/>
    <x v="116"/>
    <n v="925916.65"/>
    <x v="0"/>
    <n v="59.11"/>
    <n v="3.8420000000000001"/>
    <n v="131.12666669999999"/>
    <n v="6.2350000000000003"/>
  </r>
  <r>
    <x v="16"/>
    <x v="117"/>
    <n v="930121.14"/>
    <x v="0"/>
    <n v="48.86"/>
    <n v="3.831"/>
    <n v="131.136"/>
    <n v="6.2350000000000003"/>
  </r>
  <r>
    <x v="16"/>
    <x v="118"/>
    <n v="944100.3"/>
    <x v="0"/>
    <n v="49.96"/>
    <n v="3.8090000000000002"/>
    <n v="131.1453333"/>
    <n v="6.2350000000000003"/>
  </r>
  <r>
    <x v="16"/>
    <x v="119"/>
    <n v="968816.33"/>
    <x v="0"/>
    <n v="59.67"/>
    <n v="3.8079999999999998"/>
    <n v="131.09832259999999"/>
    <n v="6.2350000000000003"/>
  </r>
  <r>
    <x v="16"/>
    <x v="120"/>
    <n v="984881.59"/>
    <x v="0"/>
    <n v="55.69"/>
    <n v="3.8010000000000002"/>
    <n v="131.02877419999999"/>
    <n v="6.2350000000000003"/>
  </r>
  <r>
    <x v="16"/>
    <x v="121"/>
    <n v="938914.28"/>
    <x v="0"/>
    <n v="54.13"/>
    <n v="3.7879999999999998"/>
    <n v="130.95922580000001"/>
    <n v="6.2350000000000003"/>
  </r>
  <r>
    <x v="16"/>
    <x v="122"/>
    <n v="987990.24"/>
    <x v="0"/>
    <n v="60.51"/>
    <n v="3.7759999999999998"/>
    <n v="130.88967740000001"/>
    <n v="6.2350000000000003"/>
  </r>
  <r>
    <x v="16"/>
    <x v="123"/>
    <n v="964169.67"/>
    <x v="0"/>
    <n v="56.67"/>
    <n v="3.7559999999999998"/>
    <n v="130.82953330000001"/>
    <n v="6.2350000000000003"/>
  </r>
  <r>
    <x v="16"/>
    <x v="124"/>
    <n v="981210.57"/>
    <x v="0"/>
    <n v="62.9"/>
    <n v="3.7370000000000001"/>
    <n v="130.7929"/>
    <n v="6.2350000000000003"/>
  </r>
  <r>
    <x v="16"/>
    <x v="125"/>
    <n v="982322.24"/>
    <x v="0"/>
    <n v="71.14"/>
    <n v="3.681"/>
    <n v="130.7562667"/>
    <n v="6.2350000000000003"/>
  </r>
  <r>
    <x v="16"/>
    <x v="126"/>
    <n v="1046782.52"/>
    <x v="0"/>
    <n v="68.91"/>
    <n v="3.63"/>
    <n v="130.7196333"/>
    <n v="5.9359999999999999"/>
  </r>
  <r>
    <x v="16"/>
    <x v="127"/>
    <n v="960746.04"/>
    <x v="0"/>
    <n v="72.94"/>
    <n v="3.5950000000000002"/>
    <n v="130.68299999999999"/>
    <n v="5.9359999999999999"/>
  </r>
  <r>
    <x v="16"/>
    <x v="128"/>
    <n v="944698.7"/>
    <x v="0"/>
    <n v="70.59"/>
    <n v="3.556"/>
    <n v="130.70129030000001"/>
    <n v="5.9359999999999999"/>
  </r>
  <r>
    <x v="16"/>
    <x v="129"/>
    <n v="907493.24"/>
    <x v="0"/>
    <n v="74.2"/>
    <n v="3.5369999999999999"/>
    <n v="130.7195806"/>
    <n v="5.9359999999999999"/>
  </r>
  <r>
    <x v="16"/>
    <x v="130"/>
    <n v="877813.33"/>
    <x v="0"/>
    <n v="72.94"/>
    <n v="3.512"/>
    <n v="130.73787100000001"/>
    <n v="5.9359999999999999"/>
  </r>
  <r>
    <x v="16"/>
    <x v="131"/>
    <n v="849074.04"/>
    <x v="0"/>
    <n v="73.290000000000006"/>
    <n v="3.5089999999999999"/>
    <n v="130.7561613"/>
    <n v="5.9359999999999999"/>
  </r>
  <r>
    <x v="16"/>
    <x v="132"/>
    <n v="844928.17"/>
    <x v="0"/>
    <n v="70.98"/>
    <n v="3.5449999999999999"/>
    <n v="130.79096770000001"/>
    <n v="5.9359999999999999"/>
  </r>
  <r>
    <x v="16"/>
    <x v="133"/>
    <n v="924299.78"/>
    <x v="0"/>
    <n v="68.89"/>
    <n v="3.5819999999999999"/>
    <n v="130.8381613"/>
    <n v="5.9359999999999999"/>
  </r>
  <r>
    <x v="16"/>
    <x v="134"/>
    <n v="865924.2"/>
    <x v="0"/>
    <n v="68.069999999999993"/>
    <n v="3.6240000000000001"/>
    <n v="130.88535479999999"/>
    <n v="5.9359999999999999"/>
  </r>
  <r>
    <x v="16"/>
    <x v="135"/>
    <n v="1255633.29"/>
    <x v="1"/>
    <n v="61.99"/>
    <n v="3.6890000000000001"/>
    <n v="130.9325484"/>
    <n v="5.9359999999999999"/>
  </r>
  <r>
    <x v="16"/>
    <x v="136"/>
    <n v="1071040.22"/>
    <x v="0"/>
    <n v="59.64"/>
    <n v="3.7490000000000001"/>
    <n v="130.97766669999999"/>
    <n v="5.9359999999999999"/>
  </r>
  <r>
    <x v="16"/>
    <x v="137"/>
    <n v="938303.28"/>
    <x v="0"/>
    <n v="58.43"/>
    <n v="3.8210000000000002"/>
    <n v="131.01033330000001"/>
    <n v="5.9359999999999999"/>
  </r>
  <r>
    <x v="16"/>
    <x v="138"/>
    <n v="972716.24"/>
    <x v="0"/>
    <n v="57.77"/>
    <n v="3.8210000000000002"/>
    <n v="131.04300000000001"/>
    <n v="5.9359999999999999"/>
  </r>
  <r>
    <x v="16"/>
    <x v="139"/>
    <n v="952609.17"/>
    <x v="0"/>
    <n v="52.81"/>
    <n v="3.8149999999999999"/>
    <n v="131.0756667"/>
    <n v="5.5270000000000001"/>
  </r>
  <r>
    <x v="16"/>
    <x v="140"/>
    <n v="919878.34"/>
    <x v="0"/>
    <n v="44.82"/>
    <n v="3.7970000000000002"/>
    <n v="131.1083333"/>
    <n v="5.5270000000000001"/>
  </r>
  <r>
    <x v="16"/>
    <x v="141"/>
    <n v="957356.84"/>
    <x v="0"/>
    <n v="48.16"/>
    <n v="3.7810000000000001"/>
    <n v="131.14996769999999"/>
    <n v="5.5270000000000001"/>
  </r>
  <r>
    <x v="16"/>
    <x v="142"/>
    <n v="943465.29"/>
    <x v="0"/>
    <n v="39.94"/>
    <n v="3.7549999999999999"/>
    <n v="131.19309680000001"/>
    <n v="5.5270000000000001"/>
  </r>
  <r>
    <x v="17"/>
    <x v="0"/>
    <n v="1205307.5"/>
    <x v="0"/>
    <n v="21.33"/>
    <n v="2.7879999999999998"/>
    <n v="131.5279032"/>
    <n v="9.202"/>
  </r>
  <r>
    <x v="17"/>
    <x v="1"/>
    <n v="1187880.7"/>
    <x v="1"/>
    <n v="26.41"/>
    <n v="2.7709999999999999"/>
    <n v="131.58661290000001"/>
    <n v="9.202"/>
  </r>
  <r>
    <x v="17"/>
    <x v="2"/>
    <n v="1150663.42"/>
    <x v="0"/>
    <n v="30.91"/>
    <n v="2.7469999999999999"/>
    <n v="131.637"/>
    <n v="9.202"/>
  </r>
  <r>
    <x v="17"/>
    <x v="3"/>
    <n v="1068157.45"/>
    <x v="0"/>
    <n v="35.42"/>
    <n v="2.7530000000000001"/>
    <n v="131.68600000000001"/>
    <n v="9.202"/>
  </r>
  <r>
    <x v="17"/>
    <x v="4"/>
    <n v="1179738.5"/>
    <x v="0"/>
    <n v="37.17"/>
    <n v="2.766"/>
    <n v="131.73500000000001"/>
    <n v="9.202"/>
  </r>
  <r>
    <x v="17"/>
    <x v="5"/>
    <n v="1138800.32"/>
    <x v="0"/>
    <n v="42.39"/>
    <n v="2.8050000000000002"/>
    <n v="131.78399999999999"/>
    <n v="9.202"/>
  </r>
  <r>
    <x v="17"/>
    <x v="6"/>
    <n v="1087507.47"/>
    <x v="0"/>
    <n v="45.42"/>
    <n v="2.8340000000000001"/>
    <n v="131.8242903"/>
    <n v="9.202"/>
  </r>
  <r>
    <x v="17"/>
    <x v="7"/>
    <n v="1092704.0900000001"/>
    <x v="0"/>
    <n v="47.55"/>
    <n v="2.831"/>
    <n v="131.86312899999999"/>
    <n v="9.202"/>
  </r>
  <r>
    <x v="17"/>
    <x v="8"/>
    <n v="1254107.8400000001"/>
    <x v="0"/>
    <n v="45.63"/>
    <n v="2.8260000000000001"/>
    <n v="131.9019677"/>
    <n v="9.2690000000000001"/>
  </r>
  <r>
    <x v="17"/>
    <x v="9"/>
    <n v="1174447.55"/>
    <x v="0"/>
    <n v="59.91"/>
    <n v="2.8490000000000002"/>
    <n v="131.94080650000001"/>
    <n v="9.2690000000000001"/>
  </r>
  <r>
    <x v="17"/>
    <x v="10"/>
    <n v="1135577.6200000001"/>
    <x v="0"/>
    <n v="50.26"/>
    <n v="2.8849999999999998"/>
    <n v="131.98089999999999"/>
    <n v="9.2690000000000001"/>
  </r>
  <r>
    <x v="17"/>
    <x v="11"/>
    <n v="1132433.55"/>
    <x v="0"/>
    <n v="50.3"/>
    <n v="2.895"/>
    <n v="132.0226667"/>
    <n v="9.2690000000000001"/>
  </r>
  <r>
    <x v="17"/>
    <x v="12"/>
    <n v="1060446.1599999999"/>
    <x v="0"/>
    <n v="51.12"/>
    <n v="2.9350000000000001"/>
    <n v="132.06443329999999"/>
    <n v="9.2690000000000001"/>
  </r>
  <r>
    <x v="17"/>
    <x v="13"/>
    <n v="1222255.47"/>
    <x v="0"/>
    <n v="65.64"/>
    <n v="2.9809999999999999"/>
    <n v="132.1062"/>
    <n v="9.2690000000000001"/>
  </r>
  <r>
    <x v="17"/>
    <x v="14"/>
    <n v="1092616.49"/>
    <x v="0"/>
    <n v="49.9"/>
    <n v="2.9830000000000001"/>
    <n v="132.152129"/>
    <n v="9.2690000000000001"/>
  </r>
  <r>
    <x v="17"/>
    <x v="15"/>
    <n v="1101621.3600000001"/>
    <x v="0"/>
    <n v="60.27"/>
    <n v="2.9609999999999999"/>
    <n v="132.2230323"/>
    <n v="9.2690000000000001"/>
  </r>
  <r>
    <x v="17"/>
    <x v="16"/>
    <n v="1256282.79"/>
    <x v="0"/>
    <n v="69.12"/>
    <n v="2.9060000000000001"/>
    <n v="132.2939355"/>
    <n v="9.2690000000000001"/>
  </r>
  <r>
    <x v="17"/>
    <x v="17"/>
    <n v="1271311.76"/>
    <x v="0"/>
    <n v="70.28"/>
    <n v="2.8570000000000002"/>
    <n v="132.36483870000001"/>
    <n v="9.2690000000000001"/>
  </r>
  <r>
    <x v="17"/>
    <x v="18"/>
    <n v="1173521.82"/>
    <x v="0"/>
    <n v="64.08"/>
    <n v="2.83"/>
    <n v="132.43574190000001"/>
    <n v="9.2690000000000001"/>
  </r>
  <r>
    <x v="17"/>
    <x v="19"/>
    <n v="1183225.92"/>
    <x v="0"/>
    <n v="65.959999999999994"/>
    <n v="2.8050000000000002"/>
    <n v="132.47333330000001"/>
    <n v="9.2690000000000001"/>
  </r>
  <r>
    <x v="17"/>
    <x v="20"/>
    <n v="1220983.17"/>
    <x v="0"/>
    <n v="74.040000000000006"/>
    <n v="2.81"/>
    <n v="132.49760000000001"/>
    <n v="9.2690000000000001"/>
  </r>
  <r>
    <x v="17"/>
    <x v="21"/>
    <n v="1257928.3500000001"/>
    <x v="0"/>
    <n v="71.22"/>
    <n v="2.8149999999999999"/>
    <n v="132.5218667"/>
    <n v="9.3420000000000005"/>
  </r>
  <r>
    <x v="17"/>
    <x v="22"/>
    <n v="1171391.4099999999"/>
    <x v="0"/>
    <n v="79.75"/>
    <n v="2.806"/>
    <n v="132.54613330000001"/>
    <n v="9.3420000000000005"/>
  </r>
  <r>
    <x v="17"/>
    <x v="23"/>
    <n v="1115514.6100000001"/>
    <x v="0"/>
    <n v="76.900000000000006"/>
    <n v="2.7959999999999998"/>
    <n v="132.5667742"/>
    <n v="9.3420000000000005"/>
  </r>
  <r>
    <x v="17"/>
    <x v="24"/>
    <n v="1032908.23"/>
    <x v="0"/>
    <n v="75.709999999999994"/>
    <n v="2.7839999999999998"/>
    <n v="132.5825806"/>
    <n v="9.3420000000000005"/>
  </r>
  <r>
    <x v="17"/>
    <x v="25"/>
    <n v="1078557.6200000001"/>
    <x v="0"/>
    <n v="75.790000000000006"/>
    <n v="2.7919999999999998"/>
    <n v="132.5983871"/>
    <n v="9.3420000000000005"/>
  </r>
  <r>
    <x v="17"/>
    <x v="26"/>
    <n v="1166117.8500000001"/>
    <x v="0"/>
    <n v="73.67"/>
    <n v="2.7919999999999998"/>
    <n v="132.6141935"/>
    <n v="9.3420000000000005"/>
  </r>
  <r>
    <x v="17"/>
    <x v="27"/>
    <n v="1084722.78"/>
    <x v="0"/>
    <n v="74.19"/>
    <n v="2.81"/>
    <n v="132.63"/>
    <n v="9.3420000000000005"/>
  </r>
  <r>
    <x v="17"/>
    <x v="28"/>
    <n v="1141860.67"/>
    <x v="0"/>
    <n v="71.760000000000005"/>
    <n v="2.7959999999999998"/>
    <n v="132.66161289999999"/>
    <n v="9.3420000000000005"/>
  </r>
  <r>
    <x v="17"/>
    <x v="29"/>
    <n v="1214302.76"/>
    <x v="0"/>
    <n v="67.05"/>
    <n v="2.77"/>
    <n v="132.69322579999999"/>
    <n v="9.3420000000000005"/>
  </r>
  <r>
    <x v="17"/>
    <x v="30"/>
    <n v="1187359.77"/>
    <x v="0"/>
    <n v="75.42"/>
    <n v="2.7349999999999999"/>
    <n v="132.72483869999999"/>
    <n v="9.3420000000000005"/>
  </r>
  <r>
    <x v="17"/>
    <x v="31"/>
    <n v="1011201.12"/>
    <x v="1"/>
    <n v="67.09"/>
    <n v="2.7170000000000001"/>
    <n v="132.75645159999999"/>
    <n v="9.3420000000000005"/>
  </r>
  <r>
    <x v="17"/>
    <x v="32"/>
    <n v="997998.21"/>
    <x v="0"/>
    <n v="60.94"/>
    <n v="2.7160000000000002"/>
    <n v="132.76706669999999"/>
    <n v="9.3420000000000005"/>
  </r>
  <r>
    <x v="17"/>
    <x v="33"/>
    <n v="950862.92"/>
    <x v="0"/>
    <n v="64.819999999999993"/>
    <n v="2.718"/>
    <n v="132.76193330000001"/>
    <n v="9.3420000000000005"/>
  </r>
  <r>
    <x v="17"/>
    <x v="34"/>
    <n v="948977.5"/>
    <x v="0"/>
    <n v="67.760000000000005"/>
    <n v="2.7170000000000001"/>
    <n v="132.7568"/>
    <n v="9.3309999999999995"/>
  </r>
  <r>
    <x v="17"/>
    <x v="35"/>
    <n v="1107432.71"/>
    <x v="0"/>
    <n v="54.73"/>
    <n v="2.7759999999999998"/>
    <n v="132.75166669999999"/>
    <n v="9.3309999999999995"/>
  </r>
  <r>
    <x v="17"/>
    <x v="36"/>
    <n v="1029618.1"/>
    <x v="0"/>
    <n v="52.02"/>
    <n v="2.8780000000000001"/>
    <n v="132.7633548"/>
    <n v="9.3309999999999995"/>
  </r>
  <r>
    <x v="17"/>
    <x v="37"/>
    <n v="1052120.43"/>
    <x v="0"/>
    <n v="47.12"/>
    <n v="2.919"/>
    <n v="132.8170968"/>
    <n v="9.3309999999999995"/>
  </r>
  <r>
    <x v="17"/>
    <x v="38"/>
    <n v="1038576.54"/>
    <x v="0"/>
    <n v="55.85"/>
    <n v="2.9380000000000002"/>
    <n v="132.87083870000001"/>
    <n v="9.3309999999999995"/>
  </r>
  <r>
    <x v="17"/>
    <x v="39"/>
    <n v="1089530.94"/>
    <x v="0"/>
    <n v="42.05"/>
    <n v="2.9380000000000002"/>
    <n v="132.92458060000001"/>
    <n v="9.3309999999999995"/>
  </r>
  <r>
    <x v="17"/>
    <x v="40"/>
    <n v="1081322.1200000001"/>
    <x v="0"/>
    <n v="43.17"/>
    <n v="2.9609999999999999"/>
    <n v="132.97832260000001"/>
    <n v="9.3309999999999995"/>
  </r>
  <r>
    <x v="17"/>
    <x v="41"/>
    <n v="1045722.37"/>
    <x v="0"/>
    <n v="45.26"/>
    <n v="3.03"/>
    <n v="132.91720000000001"/>
    <n v="9.3309999999999995"/>
  </r>
  <r>
    <x v="17"/>
    <x v="42"/>
    <n v="1653759.36"/>
    <x v="1"/>
    <n v="40.81"/>
    <n v="3.07"/>
    <n v="132.8369333"/>
    <n v="9.3309999999999995"/>
  </r>
  <r>
    <x v="17"/>
    <x v="43"/>
    <n v="1211026.1299999999"/>
    <x v="0"/>
    <n v="37.090000000000003"/>
    <n v="3.0649999999999999"/>
    <n v="132.75666670000001"/>
    <n v="9.3309999999999995"/>
  </r>
  <r>
    <x v="17"/>
    <x v="44"/>
    <n v="1416168.98"/>
    <x v="0"/>
    <n v="25.64"/>
    <n v="3.1320000000000001"/>
    <n v="132.6764"/>
    <n v="9.3309999999999995"/>
  </r>
  <r>
    <x v="17"/>
    <x v="45"/>
    <n v="1588430.71"/>
    <x v="0"/>
    <n v="27.4"/>
    <n v="3.1389999999999998"/>
    <n v="132.6804516"/>
    <n v="9.3309999999999995"/>
  </r>
  <r>
    <x v="17"/>
    <x v="46"/>
    <n v="2027507.15"/>
    <x v="0"/>
    <n v="28.16"/>
    <n v="3.15"/>
    <n v="132.74774189999999"/>
    <n v="9.3309999999999995"/>
  </r>
  <r>
    <x v="17"/>
    <x v="47"/>
    <n v="887907.01"/>
    <x v="1"/>
    <n v="26.1"/>
    <n v="3.177"/>
    <n v="132.81503230000001"/>
    <n v="9.3309999999999995"/>
  </r>
  <r>
    <x v="17"/>
    <x v="48"/>
    <n v="933960.3"/>
    <x v="0"/>
    <n v="30.1"/>
    <n v="3.1930000000000001"/>
    <n v="132.88232260000001"/>
    <n v="9.1310000000000002"/>
  </r>
  <r>
    <x v="17"/>
    <x v="49"/>
    <n v="777175.28"/>
    <x v="0"/>
    <n v="22.69"/>
    <n v="3.2149999999999999"/>
    <n v="132.9510645"/>
    <n v="9.1310000000000002"/>
  </r>
  <r>
    <x v="17"/>
    <x v="50"/>
    <n v="891148.55"/>
    <x v="0"/>
    <n v="22.55"/>
    <n v="3.2320000000000002"/>
    <n v="133.02851609999999"/>
    <n v="9.1310000000000002"/>
  </r>
  <r>
    <x v="17"/>
    <x v="51"/>
    <n v="849540.85"/>
    <x v="0"/>
    <n v="14.84"/>
    <n v="3.2429999999999999"/>
    <n v="133.10596770000001"/>
    <n v="9.1310000000000002"/>
  </r>
  <r>
    <x v="17"/>
    <x v="52"/>
    <n v="1055841.24"/>
    <x v="0"/>
    <n v="20.79"/>
    <n v="3.24"/>
    <n v="133.18341939999999"/>
    <n v="9.1310000000000002"/>
  </r>
  <r>
    <x v="17"/>
    <x v="53"/>
    <n v="1122053.58"/>
    <x v="1"/>
    <n v="24.3"/>
    <n v="3.2549999999999999"/>
    <n v="133.26087100000001"/>
    <n v="9.1310000000000002"/>
  </r>
  <r>
    <x v="17"/>
    <x v="54"/>
    <n v="1095058.57"/>
    <x v="0"/>
    <n v="31.59"/>
    <n v="3.2629999999999999"/>
    <n v="133.37014289999999"/>
    <n v="9.1310000000000002"/>
  </r>
  <r>
    <x v="17"/>
    <x v="55"/>
    <n v="1005983.31"/>
    <x v="0"/>
    <n v="26.15"/>
    <n v="3.2810000000000001"/>
    <n v="133.4921429"/>
    <n v="9.1310000000000002"/>
  </r>
  <r>
    <x v="17"/>
    <x v="56"/>
    <n v="1063310.6200000001"/>
    <x v="0"/>
    <n v="28.49"/>
    <n v="3.4369999999999998"/>
    <n v="133.61414289999999"/>
    <n v="9.1310000000000002"/>
  </r>
  <r>
    <x v="17"/>
    <x v="57"/>
    <n v="1002714.25"/>
    <x v="0"/>
    <n v="38.4"/>
    <n v="3.6"/>
    <n v="133.7361429"/>
    <n v="9.1310000000000002"/>
  </r>
  <r>
    <x v="17"/>
    <x v="58"/>
    <n v="945889.59"/>
    <x v="0"/>
    <n v="41.12"/>
    <n v="3.6339999999999999"/>
    <n v="133.8492258"/>
    <n v="9.1310000000000002"/>
  </r>
  <r>
    <x v="17"/>
    <x v="59"/>
    <n v="944523.3"/>
    <x v="0"/>
    <n v="36.65"/>
    <n v="3.6240000000000001"/>
    <n v="133.95874190000001"/>
    <n v="9.1310000000000002"/>
  </r>
  <r>
    <x v="17"/>
    <x v="60"/>
    <n v="938083.17"/>
    <x v="0"/>
    <n v="35.06"/>
    <n v="3.6379999999999999"/>
    <n v="134.06825810000001"/>
    <n v="8.9749999999999996"/>
  </r>
  <r>
    <x v="17"/>
    <x v="61"/>
    <n v="1018541.3"/>
    <x v="0"/>
    <n v="43.32"/>
    <n v="3.72"/>
    <n v="134.17777419999999"/>
    <n v="8.9749999999999996"/>
  </r>
  <r>
    <x v="17"/>
    <x v="62"/>
    <n v="988157.72"/>
    <x v="0"/>
    <n v="49.91"/>
    <n v="3.823"/>
    <n v="134.2784667"/>
    <n v="8.9749999999999996"/>
  </r>
  <r>
    <x v="17"/>
    <x v="63"/>
    <n v="1105860.06"/>
    <x v="0"/>
    <n v="45.99"/>
    <n v="3.919"/>
    <n v="134.3571"/>
    <n v="8.9749999999999996"/>
  </r>
  <r>
    <x v="17"/>
    <x v="64"/>
    <n v="974114.39"/>
    <x v="0"/>
    <n v="58.82"/>
    <n v="3.988"/>
    <n v="134.43573330000001"/>
    <n v="8.9749999999999996"/>
  </r>
  <r>
    <x v="17"/>
    <x v="65"/>
    <n v="1065427.3700000001"/>
    <x v="0"/>
    <n v="54.17"/>
    <n v="4.0780000000000003"/>
    <n v="134.51436670000001"/>
    <n v="8.9749999999999996"/>
  </r>
  <r>
    <x v="17"/>
    <x v="66"/>
    <n v="993172.98"/>
    <x v="0"/>
    <n v="58.48"/>
    <n v="4.0949999999999998"/>
    <n v="134.59299999999999"/>
    <n v="8.9749999999999996"/>
  </r>
  <r>
    <x v="17"/>
    <x v="67"/>
    <n v="994610.43"/>
    <x v="0"/>
    <n v="57.55"/>
    <n v="4.101"/>
    <n v="134.68038709999999"/>
    <n v="8.9749999999999996"/>
  </r>
  <r>
    <x v="17"/>
    <x v="68"/>
    <n v="1065214.1399999999"/>
    <x v="0"/>
    <n v="64.599999999999994"/>
    <n v="4.0339999999999998"/>
    <n v="134.76777419999999"/>
    <n v="8.9749999999999996"/>
  </r>
  <r>
    <x v="17"/>
    <x v="69"/>
    <n v="1178039"/>
    <x v="0"/>
    <n v="70.900000000000006"/>
    <n v="3.9729999999999999"/>
    <n v="134.85516129999999"/>
    <n v="8.9749999999999996"/>
  </r>
  <r>
    <x v="17"/>
    <x v="70"/>
    <n v="1044079.2"/>
    <x v="0"/>
    <n v="69.489999999999995"/>
    <n v="3.9239999999999999"/>
    <n v="134.94254839999999"/>
    <n v="8.9749999999999996"/>
  </r>
  <r>
    <x v="17"/>
    <x v="71"/>
    <n v="1045859.39"/>
    <x v="0"/>
    <n v="63.23"/>
    <n v="3.8730000000000002"/>
    <n v="135.08373330000001"/>
    <n v="8.9749999999999996"/>
  </r>
  <r>
    <x v="17"/>
    <x v="72"/>
    <n v="1056478.6499999999"/>
    <x v="0"/>
    <n v="67.41"/>
    <n v="3.851"/>
    <n v="135.26526670000001"/>
    <n v="8.9749999999999996"/>
  </r>
  <r>
    <x v="17"/>
    <x v="73"/>
    <n v="1087051.26"/>
    <x v="0"/>
    <n v="69.75"/>
    <n v="3.8149999999999999"/>
    <n v="135.4468"/>
    <n v="8.89"/>
  </r>
  <r>
    <x v="17"/>
    <x v="74"/>
    <n v="1048802.6200000001"/>
    <x v="0"/>
    <n v="73.12"/>
    <n v="3.7839999999999998"/>
    <n v="135.62833330000001"/>
    <n v="8.89"/>
  </r>
  <r>
    <x v="17"/>
    <x v="75"/>
    <n v="974916.13"/>
    <x v="0"/>
    <n v="74.36"/>
    <n v="3.827"/>
    <n v="135.7837419"/>
    <n v="8.89"/>
  </r>
  <r>
    <x v="17"/>
    <x v="76"/>
    <n v="991262.46"/>
    <x v="0"/>
    <n v="78.680000000000007"/>
    <n v="3.8820000000000001"/>
    <n v="135.87383869999999"/>
    <n v="8.89"/>
  </r>
  <r>
    <x v="17"/>
    <x v="77"/>
    <n v="954148.64"/>
    <x v="0"/>
    <n v="73.849999999999994"/>
    <n v="3.8980000000000001"/>
    <n v="135.96393549999999"/>
    <n v="8.89"/>
  </r>
  <r>
    <x v="17"/>
    <x v="78"/>
    <n v="1002806.39"/>
    <x v="0"/>
    <n v="74.58"/>
    <n v="3.903"/>
    <n v="136.05403229999999"/>
    <n v="8.89"/>
  </r>
  <r>
    <x v="17"/>
    <x v="79"/>
    <n v="928470.83"/>
    <x v="0"/>
    <n v="73.569999999999993"/>
    <n v="3.88"/>
    <n v="136.14412899999999"/>
    <n v="8.89"/>
  </r>
  <r>
    <x v="17"/>
    <x v="80"/>
    <n v="932679.79"/>
    <x v="0"/>
    <n v="69.239999999999995"/>
    <n v="3.82"/>
    <n v="136.18312900000001"/>
    <n v="8.89"/>
  </r>
  <r>
    <x v="17"/>
    <x v="81"/>
    <n v="1147906.46"/>
    <x v="0"/>
    <n v="70.319999999999993"/>
    <n v="3.7959999999999998"/>
    <n v="136.21361289999999"/>
    <n v="8.89"/>
  </r>
  <r>
    <x v="17"/>
    <x v="82"/>
    <n v="540922.93999999994"/>
    <x v="0"/>
    <n v="68.23"/>
    <n v="3.7839999999999998"/>
    <n v="136.24409679999999"/>
    <n v="8.89"/>
  </r>
  <r>
    <x v="17"/>
    <x v="83"/>
    <n v="951549.61"/>
    <x v="1"/>
    <n v="68.11"/>
    <n v="3.8090000000000002"/>
    <n v="136.27458060000001"/>
    <n v="8.89"/>
  </r>
  <r>
    <x v="17"/>
    <x v="84"/>
    <n v="845715.37"/>
    <x v="0"/>
    <n v="66.23"/>
    <n v="3.8090000000000002"/>
    <n v="136.31450000000001"/>
    <n v="8.89"/>
  </r>
  <r>
    <x v="17"/>
    <x v="85"/>
    <n v="853073.17"/>
    <x v="0"/>
    <n v="60.44"/>
    <n v="3.758"/>
    <n v="136.36699999999999"/>
    <n v="8.89"/>
  </r>
  <r>
    <x v="17"/>
    <x v="86"/>
    <n v="847348.08"/>
    <x v="0"/>
    <n v="69.010000000000005"/>
    <n v="3.6840000000000002"/>
    <n v="136.4195"/>
    <n v="8.89"/>
  </r>
  <r>
    <x v="17"/>
    <x v="87"/>
    <n v="1019741.1"/>
    <x v="0"/>
    <n v="54.65"/>
    <n v="3.633"/>
    <n v="136.47200000000001"/>
    <n v="8.4710000000000001"/>
  </r>
  <r>
    <x v="17"/>
    <x v="88"/>
    <n v="953533.95"/>
    <x v="0"/>
    <n v="60.26"/>
    <n v="3.5830000000000002"/>
    <n v="136.51509680000001"/>
    <n v="8.4710000000000001"/>
  </r>
  <r>
    <x v="17"/>
    <x v="89"/>
    <n v="1048212.62"/>
    <x v="0"/>
    <n v="55.83"/>
    <n v="3.6179999999999999"/>
    <n v="136.5017742"/>
    <n v="8.4710000000000001"/>
  </r>
  <r>
    <x v="17"/>
    <x v="90"/>
    <n v="1106642.6299999999"/>
    <x v="0"/>
    <n v="45.61"/>
    <n v="3.6040000000000001"/>
    <n v="136.48845159999999"/>
    <n v="8.4710000000000001"/>
  </r>
  <r>
    <x v="17"/>
    <x v="91"/>
    <n v="1100625.06"/>
    <x v="0"/>
    <n v="38.29"/>
    <n v="3.5859999999999999"/>
    <n v="136.47512900000001"/>
    <n v="8.4710000000000001"/>
  </r>
  <r>
    <x v="17"/>
    <x v="92"/>
    <n v="1079931.6299999999"/>
    <x v="0"/>
    <n v="45.69"/>
    <n v="3.57"/>
    <n v="136.46180649999999"/>
    <n v="8.4710000000000001"/>
  </r>
  <r>
    <x v="17"/>
    <x v="93"/>
    <n v="1056992.18"/>
    <x v="0"/>
    <n v="47.88"/>
    <n v="3.5710000000000002"/>
    <n v="136.46666669999999"/>
    <n v="8.4710000000000001"/>
  </r>
  <r>
    <x v="17"/>
    <x v="94"/>
    <n v="1624170.99"/>
    <x v="1"/>
    <n v="41.97"/>
    <n v="3.536"/>
    <n v="136.47880000000001"/>
    <n v="8.4710000000000001"/>
  </r>
  <r>
    <x v="17"/>
    <x v="95"/>
    <n v="1188047.6100000001"/>
    <x v="0"/>
    <n v="46.25"/>
    <n v="3.5009999999999999"/>
    <n v="136.49093329999999"/>
    <n v="8.4710000000000001"/>
  </r>
  <r>
    <x v="17"/>
    <x v="96"/>
    <n v="1368471.23"/>
    <x v="0"/>
    <n v="42.36"/>
    <n v="3.47"/>
    <n v="136.50306670000001"/>
    <n v="8.4710000000000001"/>
  </r>
  <r>
    <x v="17"/>
    <x v="97"/>
    <n v="1516924.23"/>
    <x v="0"/>
    <n v="35.520000000000003"/>
    <n v="3.4449999999999998"/>
    <n v="136.53351610000001"/>
    <n v="8.4710000000000001"/>
  </r>
  <r>
    <x v="17"/>
    <x v="98"/>
    <n v="1882393.4"/>
    <x v="0"/>
    <n v="35.78"/>
    <n v="3.4129999999999998"/>
    <n v="136.58838710000001"/>
    <n v="8.4710000000000001"/>
  </r>
  <r>
    <x v="17"/>
    <x v="99"/>
    <n v="1010562.49"/>
    <x v="1"/>
    <n v="32.36"/>
    <n v="3.4020000000000001"/>
    <n v="136.6432581"/>
    <n v="8.4710000000000001"/>
  </r>
  <r>
    <x v="17"/>
    <x v="100"/>
    <n v="977286.07"/>
    <x v="0"/>
    <n v="31.27"/>
    <n v="3.4390000000000001"/>
    <n v="136.69812899999999"/>
    <n v="8.0749999999999993"/>
  </r>
  <r>
    <x v="17"/>
    <x v="101"/>
    <n v="890130.25"/>
    <x v="0"/>
    <n v="35.25"/>
    <n v="3.5230000000000001"/>
    <n v="136.75299999999999"/>
    <n v="8.0749999999999993"/>
  </r>
  <r>
    <x v="17"/>
    <x v="102"/>
    <n v="937522.77"/>
    <x v="0"/>
    <n v="24.2"/>
    <n v="3.5419999999999998"/>
    <n v="136.85641939999999"/>
    <n v="8.0749999999999993"/>
  </r>
  <r>
    <x v="17"/>
    <x v="103"/>
    <n v="825584.22"/>
    <x v="0"/>
    <n v="30.44"/>
    <n v="3.5680000000000001"/>
    <n v="136.95983870000001"/>
    <n v="8.0749999999999993"/>
  </r>
  <r>
    <x v="17"/>
    <x v="104"/>
    <n v="1049772.04"/>
    <x v="0"/>
    <n v="37.619999999999997"/>
    <n v="3.633"/>
    <n v="137.06325810000001"/>
    <n v="8.0749999999999993"/>
  </r>
  <r>
    <x v="17"/>
    <x v="105"/>
    <n v="1161615.51"/>
    <x v="1"/>
    <n v="32.83"/>
    <n v="3.6549999999999998"/>
    <n v="137.1666774"/>
    <n v="8.0749999999999993"/>
  </r>
  <r>
    <x v="17"/>
    <x v="106"/>
    <n v="1115985.81"/>
    <x v="0"/>
    <n v="32.869999999999997"/>
    <n v="3.7029999999999998"/>
    <n v="137.25831030000001"/>
    <n v="8.0749999999999993"/>
  </r>
  <r>
    <x v="17"/>
    <x v="107"/>
    <n v="1037861.11"/>
    <x v="0"/>
    <n v="36.340000000000003"/>
    <n v="3.7509999999999999"/>
    <n v="137.34110340000001"/>
    <n v="8.0749999999999993"/>
  </r>
  <r>
    <x v="17"/>
    <x v="108"/>
    <n v="1047178.91"/>
    <x v="0"/>
    <n v="33.590000000000003"/>
    <n v="3.827"/>
    <n v="137.42389660000001"/>
    <n v="8.0749999999999993"/>
  </r>
  <r>
    <x v="17"/>
    <x v="109"/>
    <n v="1084894.47"/>
    <x v="0"/>
    <n v="38.1"/>
    <n v="3.8759999999999999"/>
    <n v="137.50668970000001"/>
    <n v="8.0749999999999993"/>
  </r>
  <r>
    <x v="17"/>
    <x v="110"/>
    <n v="1022018.43"/>
    <x v="0"/>
    <n v="45.84"/>
    <n v="3.867"/>
    <n v="137.58438709999999"/>
    <n v="8.0749999999999993"/>
  </r>
  <r>
    <x v="17"/>
    <x v="111"/>
    <n v="1031139.3"/>
    <x v="0"/>
    <n v="58.06"/>
    <n v="3.8889999999999998"/>
    <n v="137.65529029999999"/>
    <n v="8.0749999999999993"/>
  </r>
  <r>
    <x v="17"/>
    <x v="112"/>
    <n v="1009121.2"/>
    <x v="0"/>
    <n v="45.35"/>
    <n v="3.9209999999999998"/>
    <n v="137.72619349999999"/>
    <n v="8.0749999999999993"/>
  </r>
  <r>
    <x v="17"/>
    <x v="113"/>
    <n v="1200815.3"/>
    <x v="0"/>
    <n v="43.8"/>
    <n v="3.9569999999999999"/>
    <n v="137.79709679999999"/>
    <n v="8.3040000000000003"/>
  </r>
  <r>
    <x v="17"/>
    <x v="114"/>
    <n v="998443.5"/>
    <x v="0"/>
    <n v="47.75"/>
    <n v="4.0250000000000004"/>
    <n v="137.86799999999999"/>
    <n v="8.3040000000000003"/>
  </r>
  <r>
    <x v="17"/>
    <x v="115"/>
    <n v="1025813.8"/>
    <x v="0"/>
    <n v="60.88"/>
    <n v="4.0460000000000003"/>
    <n v="137.92306669999999"/>
    <n v="8.3040000000000003"/>
  </r>
  <r>
    <x v="17"/>
    <x v="116"/>
    <n v="961186.23"/>
    <x v="0"/>
    <n v="50.43"/>
    <n v="4.0229999999999997"/>
    <n v="137.9781333"/>
    <n v="8.3040000000000003"/>
  </r>
  <r>
    <x v="17"/>
    <x v="117"/>
    <n v="1050027.8899999999"/>
    <x v="0"/>
    <n v="49.66"/>
    <n v="3.9910000000000001"/>
    <n v="138.03319999999999"/>
    <n v="8.3040000000000003"/>
  </r>
  <r>
    <x v="17"/>
    <x v="118"/>
    <n v="1060433.1000000001"/>
    <x v="0"/>
    <n v="57.44"/>
    <n v="3.9470000000000001"/>
    <n v="138.08826669999999"/>
    <n v="8.3040000000000003"/>
  </r>
  <r>
    <x v="17"/>
    <x v="119"/>
    <n v="1047444.59"/>
    <x v="0"/>
    <n v="62.31"/>
    <n v="3.899"/>
    <n v="138.1065806"/>
    <n v="8.3040000000000003"/>
  </r>
  <r>
    <x v="17"/>
    <x v="120"/>
    <n v="1088446.58"/>
    <x v="0"/>
    <n v="65.48"/>
    <n v="3.85"/>
    <n v="138.11019350000001"/>
    <n v="8.3040000000000003"/>
  </r>
  <r>
    <x v="17"/>
    <x v="121"/>
    <n v="1118313.7"/>
    <x v="0"/>
    <n v="71.42"/>
    <n v="3.798"/>
    <n v="138.11380650000001"/>
    <n v="8.3040000000000003"/>
  </r>
  <r>
    <x v="17"/>
    <x v="122"/>
    <n v="1110479.94"/>
    <x v="0"/>
    <n v="59.1"/>
    <n v="3.746"/>
    <n v="138.11741939999999"/>
    <n v="8.3040000000000003"/>
  </r>
  <r>
    <x v="17"/>
    <x v="123"/>
    <n v="1057425.83"/>
    <x v="0"/>
    <n v="66.58"/>
    <n v="3.6829999999999998"/>
    <n v="138.12953329999999"/>
    <n v="8.3040000000000003"/>
  </r>
  <r>
    <x v="17"/>
    <x v="124"/>
    <n v="1080357.8899999999"/>
    <x v="0"/>
    <n v="70.92"/>
    <n v="3.629"/>
    <n v="138.16290000000001"/>
    <n v="8.3040000000000003"/>
  </r>
  <r>
    <x v="17"/>
    <x v="125"/>
    <n v="1097006.3"/>
    <x v="0"/>
    <n v="70.17"/>
    <n v="3.577"/>
    <n v="138.1962667"/>
    <n v="8.3040000000000003"/>
  </r>
  <r>
    <x v="17"/>
    <x v="126"/>
    <n v="1158247.31"/>
    <x v="0"/>
    <n v="76.08"/>
    <n v="3.5379999999999998"/>
    <n v="138.22963329999999"/>
    <n v="8.5350000000000001"/>
  </r>
  <r>
    <x v="17"/>
    <x v="127"/>
    <n v="1024784.92"/>
    <x v="0"/>
    <n v="75.09"/>
    <n v="3.5609999999999999"/>
    <n v="138.26300000000001"/>
    <n v="8.5350000000000001"/>
  </r>
  <r>
    <x v="17"/>
    <x v="128"/>
    <n v="1033543.56"/>
    <x v="0"/>
    <n v="77.430000000000007"/>
    <n v="3.61"/>
    <n v="138.2331935"/>
    <n v="8.5350000000000001"/>
  </r>
  <r>
    <x v="17"/>
    <x v="129"/>
    <n v="924506.26"/>
    <x v="0"/>
    <n v="72.97"/>
    <n v="3.7010000000000001"/>
    <n v="138.20338709999999"/>
    <n v="8.5350000000000001"/>
  </r>
  <r>
    <x v="17"/>
    <x v="130"/>
    <n v="1052066.58"/>
    <x v="0"/>
    <n v="72.67"/>
    <n v="3.698"/>
    <n v="138.17358060000001"/>
    <n v="8.5350000000000001"/>
  </r>
  <r>
    <x v="17"/>
    <x v="131"/>
    <n v="967304.07"/>
    <x v="0"/>
    <n v="75.7"/>
    <n v="3.7719999999999998"/>
    <n v="138.1437742"/>
    <n v="8.5350000000000001"/>
  </r>
  <r>
    <x v="17"/>
    <x v="132"/>
    <n v="1048134.24"/>
    <x v="0"/>
    <n v="73.25"/>
    <n v="3.84"/>
    <n v="138.18570969999999"/>
    <n v="8.5350000000000001"/>
  </r>
  <r>
    <x v="17"/>
    <x v="133"/>
    <n v="1145840.9099999999"/>
    <x v="0"/>
    <n v="68.52"/>
    <n v="3.8740000000000001"/>
    <n v="138.2814516"/>
    <n v="8.5350000000000001"/>
  </r>
  <r>
    <x v="17"/>
    <x v="134"/>
    <n v="1117097.23"/>
    <x v="0"/>
    <n v="70.09"/>
    <n v="3.8839999999999999"/>
    <n v="138.3771935"/>
    <n v="8.5350000000000001"/>
  </r>
  <r>
    <x v="17"/>
    <x v="135"/>
    <n v="1083521.24"/>
    <x v="1"/>
    <n v="71.849999999999994"/>
    <n v="3.9209999999999998"/>
    <n v="138.47293550000001"/>
    <n v="8.5350000000000001"/>
  </r>
  <r>
    <x v="17"/>
    <x v="136"/>
    <n v="960476.1"/>
    <x v="0"/>
    <n v="64.45"/>
    <n v="3.988"/>
    <n v="138.56729999999999"/>
    <n v="8.5350000000000001"/>
  </r>
  <r>
    <x v="17"/>
    <x v="137"/>
    <n v="971386.65"/>
    <x v="0"/>
    <n v="60.23"/>
    <n v="4.056"/>
    <n v="138.6534"/>
    <n v="8.5350000000000001"/>
  </r>
  <r>
    <x v="17"/>
    <x v="138"/>
    <n v="1002856.2"/>
    <x v="0"/>
    <n v="58.24"/>
    <n v="4.0179999999999998"/>
    <n v="138.73949999999999"/>
    <n v="8.5350000000000001"/>
  </r>
  <r>
    <x v="17"/>
    <x v="139"/>
    <n v="1092204.79"/>
    <x v="0"/>
    <n v="59.68"/>
    <n v="4.0270000000000001"/>
    <n v="138.82560000000001"/>
    <n v="8.2430000000000003"/>
  </r>
  <r>
    <x v="17"/>
    <x v="140"/>
    <n v="1074079"/>
    <x v="0"/>
    <n v="50.97"/>
    <n v="4.0289999999999999"/>
    <n v="138.9117"/>
    <n v="8.2430000000000003"/>
  </r>
  <r>
    <x v="17"/>
    <x v="141"/>
    <n v="1048706.75"/>
    <x v="0"/>
    <n v="51.96"/>
    <n v="4"/>
    <n v="138.83361289999999"/>
    <n v="8.2430000000000003"/>
  </r>
  <r>
    <x v="17"/>
    <x v="142"/>
    <n v="1127516.25"/>
    <x v="0"/>
    <n v="56.09"/>
    <n v="3.9169999999999998"/>
    <n v="138.72816130000001"/>
    <n v="8.2430000000000003"/>
  </r>
  <r>
    <x v="18"/>
    <x v="0"/>
    <n v="1507637.17"/>
    <x v="0"/>
    <n v="20.96"/>
    <n v="2.9540000000000002"/>
    <n v="131.5279032"/>
    <n v="8.35"/>
  </r>
  <r>
    <x v="18"/>
    <x v="1"/>
    <n v="1536549.95"/>
    <x v="1"/>
    <n v="23.22"/>
    <n v="2.94"/>
    <n v="131.58661290000001"/>
    <n v="8.35"/>
  </r>
  <r>
    <x v="18"/>
    <x v="2"/>
    <n v="1515976.11"/>
    <x v="0"/>
    <n v="28.57"/>
    <n v="2.9089999999999998"/>
    <n v="131.637"/>
    <n v="8.35"/>
  </r>
  <r>
    <x v="18"/>
    <x v="3"/>
    <n v="1373270.06"/>
    <x v="0"/>
    <n v="30.33"/>
    <n v="2.91"/>
    <n v="131.68600000000001"/>
    <n v="8.35"/>
  </r>
  <r>
    <x v="18"/>
    <x v="4"/>
    <n v="1495844.57"/>
    <x v="0"/>
    <n v="32.92"/>
    <n v="2.919"/>
    <n v="131.73500000000001"/>
    <n v="8.35"/>
  </r>
  <r>
    <x v="18"/>
    <x v="5"/>
    <n v="1467889.2"/>
    <x v="0"/>
    <n v="39.06"/>
    <n v="2.9380000000000002"/>
    <n v="131.78399999999999"/>
    <n v="8.35"/>
  </r>
  <r>
    <x v="18"/>
    <x v="6"/>
    <n v="1332940.3500000001"/>
    <x v="0"/>
    <n v="43.74"/>
    <n v="2.96"/>
    <n v="131.8242903"/>
    <n v="8.35"/>
  </r>
  <r>
    <x v="18"/>
    <x v="7"/>
    <n v="1427023.45"/>
    <x v="0"/>
    <n v="39.07"/>
    <n v="2.9630000000000001"/>
    <n v="131.86312899999999"/>
    <n v="8.35"/>
  </r>
  <r>
    <x v="18"/>
    <x v="8"/>
    <n v="1642970.27"/>
    <x v="0"/>
    <n v="45.26"/>
    <n v="2.9569999999999999"/>
    <n v="131.9019677"/>
    <n v="8.1850000000000005"/>
  </r>
  <r>
    <x v="18"/>
    <x v="9"/>
    <n v="1489613.32"/>
    <x v="0"/>
    <n v="55.66"/>
    <n v="2.992"/>
    <n v="131.94080650000001"/>
    <n v="8.1850000000000005"/>
  </r>
  <r>
    <x v="18"/>
    <x v="10"/>
    <n v="1460354.67"/>
    <x v="0"/>
    <n v="49.67"/>
    <n v="3.01"/>
    <n v="131.98089999999999"/>
    <n v="8.1850000000000005"/>
  </r>
  <r>
    <x v="18"/>
    <x v="11"/>
    <n v="1456793.33"/>
    <x v="0"/>
    <n v="46.87"/>
    <n v="3.0209999999999999"/>
    <n v="132.0226667"/>
    <n v="8.1850000000000005"/>
  </r>
  <r>
    <x v="18"/>
    <x v="12"/>
    <n v="1405065.57"/>
    <x v="0"/>
    <n v="49.89"/>
    <n v="3.0419999999999998"/>
    <n v="132.06443329999999"/>
    <n v="8.1850000000000005"/>
  </r>
  <r>
    <x v="18"/>
    <x v="13"/>
    <n v="1566219.77"/>
    <x v="0"/>
    <n v="62.54"/>
    <n v="3.0950000000000002"/>
    <n v="132.1062"/>
    <n v="8.1850000000000005"/>
  </r>
  <r>
    <x v="18"/>
    <x v="14"/>
    <n v="1437319.45"/>
    <x v="0"/>
    <n v="46.53"/>
    <n v="3.1120000000000001"/>
    <n v="132.152129"/>
    <n v="8.1850000000000005"/>
  </r>
  <r>
    <x v="18"/>
    <x v="15"/>
    <n v="1377716.17"/>
    <x v="0"/>
    <n v="57.53"/>
    <n v="3.0960000000000001"/>
    <n v="132.2230323"/>
    <n v="8.1850000000000005"/>
  </r>
  <r>
    <x v="18"/>
    <x v="16"/>
    <n v="1648882.62"/>
    <x v="0"/>
    <n v="68.849999999999994"/>
    <n v="3.0459999999999998"/>
    <n v="132.2939355"/>
    <n v="8.1850000000000005"/>
  </r>
  <r>
    <x v="18"/>
    <x v="17"/>
    <n v="1519013.49"/>
    <x v="0"/>
    <n v="68.88"/>
    <n v="3.0059999999999998"/>
    <n v="132.36483870000001"/>
    <n v="8.1850000000000005"/>
  </r>
  <r>
    <x v="18"/>
    <x v="18"/>
    <n v="1410683.94"/>
    <x v="0"/>
    <n v="61.64"/>
    <n v="2.972"/>
    <n v="132.43574190000001"/>
    <n v="8.1850000000000005"/>
  </r>
  <r>
    <x v="18"/>
    <x v="19"/>
    <n v="1457314.39"/>
    <x v="0"/>
    <n v="66.25"/>
    <n v="2.9420000000000002"/>
    <n v="132.47333330000001"/>
    <n v="8.1850000000000005"/>
  </r>
  <r>
    <x v="18"/>
    <x v="20"/>
    <n v="1450407.32"/>
    <x v="0"/>
    <n v="72.3"/>
    <n v="2.9580000000000002"/>
    <n v="132.49760000000001"/>
    <n v="8.1850000000000005"/>
  </r>
  <r>
    <x v="18"/>
    <x v="21"/>
    <n v="1549018.68"/>
    <x v="0"/>
    <n v="66.25"/>
    <n v="2.9580000000000002"/>
    <n v="132.5218667"/>
    <n v="8.0990000000000002"/>
  </r>
  <r>
    <x v="18"/>
    <x v="22"/>
    <n v="1577541.24"/>
    <x v="0"/>
    <n v="78.22"/>
    <n v="2.94"/>
    <n v="132.54613330000001"/>
    <n v="8.0990000000000002"/>
  </r>
  <r>
    <x v="18"/>
    <x v="23"/>
    <n v="1412157.02"/>
    <x v="0"/>
    <n v="74.599999999999994"/>
    <n v="2.9329999999999998"/>
    <n v="132.5667742"/>
    <n v="8.0990000000000002"/>
  </r>
  <r>
    <x v="18"/>
    <x v="24"/>
    <n v="1372043.71"/>
    <x v="0"/>
    <n v="74.680000000000007"/>
    <n v="2.9239999999999999"/>
    <n v="132.5825806"/>
    <n v="8.0990000000000002"/>
  </r>
  <r>
    <x v="18"/>
    <x v="25"/>
    <n v="1366395.96"/>
    <x v="0"/>
    <n v="72.83"/>
    <n v="2.9319999999999999"/>
    <n v="132.5983871"/>
    <n v="8.0990000000000002"/>
  </r>
  <r>
    <x v="18"/>
    <x v="26"/>
    <n v="1492060.89"/>
    <x v="0"/>
    <n v="74.2"/>
    <n v="2.9420000000000002"/>
    <n v="132.6141935"/>
    <n v="8.0990000000000002"/>
  </r>
  <r>
    <x v="18"/>
    <x v="27"/>
    <n v="1418027.08"/>
    <x v="0"/>
    <n v="72.709999999999994"/>
    <n v="2.923"/>
    <n v="132.63"/>
    <n v="8.0990000000000002"/>
  </r>
  <r>
    <x v="18"/>
    <x v="28"/>
    <n v="1419383.19"/>
    <x v="0"/>
    <n v="72.22"/>
    <n v="2.9129999999999998"/>
    <n v="132.66161289999999"/>
    <n v="8.0990000000000002"/>
  </r>
  <r>
    <x v="18"/>
    <x v="29"/>
    <n v="1557888.16"/>
    <x v="0"/>
    <n v="66.400000000000006"/>
    <n v="2.8849999999999998"/>
    <n v="132.69322579999999"/>
    <n v="8.0990000000000002"/>
  </r>
  <r>
    <x v="18"/>
    <x v="30"/>
    <n v="1623519.64"/>
    <x v="0"/>
    <n v="74.69"/>
    <n v="2.86"/>
    <n v="132.72483869999999"/>
    <n v="8.0990000000000002"/>
  </r>
  <r>
    <x v="18"/>
    <x v="31"/>
    <n v="1591453.39"/>
    <x v="1"/>
    <n v="63.36"/>
    <n v="2.8370000000000002"/>
    <n v="132.75645159999999"/>
    <n v="8.0990000000000002"/>
  </r>
  <r>
    <x v="18"/>
    <x v="32"/>
    <n v="1386789.31"/>
    <x v="0"/>
    <n v="58.68"/>
    <n v="2.8460000000000001"/>
    <n v="132.76706669999999"/>
    <n v="8.0990000000000002"/>
  </r>
  <r>
    <x v="18"/>
    <x v="33"/>
    <n v="1318343.58"/>
    <x v="0"/>
    <n v="63.43"/>
    <n v="2.8370000000000002"/>
    <n v="132.76193330000001"/>
    <n v="8.0990000000000002"/>
  </r>
  <r>
    <x v="18"/>
    <x v="34"/>
    <n v="1379456.3"/>
    <x v="0"/>
    <n v="59.91"/>
    <n v="2.84"/>
    <n v="132.7568"/>
    <n v="8.0670000000000002"/>
  </r>
  <r>
    <x v="18"/>
    <x v="35"/>
    <n v="1428960.72"/>
    <x v="0"/>
    <n v="53.74"/>
    <n v="2.903"/>
    <n v="132.75166669999999"/>
    <n v="8.0670000000000002"/>
  </r>
  <r>
    <x v="18"/>
    <x v="36"/>
    <n v="1369317.63"/>
    <x v="0"/>
    <n v="51.32"/>
    <n v="2.9990000000000001"/>
    <n v="132.7633548"/>
    <n v="8.0670000000000002"/>
  </r>
  <r>
    <x v="18"/>
    <x v="37"/>
    <n v="1357154.71"/>
    <x v="0"/>
    <n v="48.45"/>
    <n v="3.0489999999999999"/>
    <n v="132.8170968"/>
    <n v="8.0670000000000002"/>
  </r>
  <r>
    <x v="18"/>
    <x v="38"/>
    <n v="1404576.48"/>
    <x v="0"/>
    <n v="56.11"/>
    <n v="3.0550000000000002"/>
    <n v="132.87083870000001"/>
    <n v="8.0670000000000002"/>
  </r>
  <r>
    <x v="18"/>
    <x v="39"/>
    <n v="1435379.25"/>
    <x v="0"/>
    <n v="41.78"/>
    <n v="3.0489999999999999"/>
    <n v="132.92458060000001"/>
    <n v="8.0670000000000002"/>
  </r>
  <r>
    <x v="18"/>
    <x v="40"/>
    <n v="1490235.86"/>
    <x v="0"/>
    <n v="40.299999999999997"/>
    <n v="3.0649999999999999"/>
    <n v="132.97832260000001"/>
    <n v="8.0670000000000002"/>
  </r>
  <r>
    <x v="18"/>
    <x v="41"/>
    <n v="1377593.1"/>
    <x v="0"/>
    <n v="44.22"/>
    <n v="3.1379999999999999"/>
    <n v="132.91720000000001"/>
    <n v="8.0670000000000002"/>
  </r>
  <r>
    <x v="18"/>
    <x v="42"/>
    <n v="1993367.83"/>
    <x v="1"/>
    <n v="42.62"/>
    <n v="3.1859999999999999"/>
    <n v="132.8369333"/>
    <n v="8.0670000000000002"/>
  </r>
  <r>
    <x v="18"/>
    <x v="43"/>
    <n v="1615987.96"/>
    <x v="0"/>
    <n v="36.64"/>
    <n v="3.2"/>
    <n v="132.75666670000001"/>
    <n v="8.0670000000000002"/>
  </r>
  <r>
    <x v="18"/>
    <x v="44"/>
    <n v="1799070.98"/>
    <x v="0"/>
    <n v="25.12"/>
    <n v="3.2549999999999999"/>
    <n v="132.6764"/>
    <n v="8.0670000000000002"/>
  </r>
  <r>
    <x v="18"/>
    <x v="45"/>
    <n v="1911967.44"/>
    <x v="0"/>
    <n v="26.83"/>
    <n v="3.3010000000000002"/>
    <n v="132.6804516"/>
    <n v="8.0670000000000002"/>
  </r>
  <r>
    <x v="18"/>
    <x v="46"/>
    <n v="2678206.42"/>
    <x v="0"/>
    <n v="26.05"/>
    <n v="3.3090000000000002"/>
    <n v="132.74774189999999"/>
    <n v="8.0670000000000002"/>
  </r>
  <r>
    <x v="18"/>
    <x v="47"/>
    <n v="1275146.94"/>
    <x v="1"/>
    <n v="28.65"/>
    <n v="3.3359999999999999"/>
    <n v="132.81503230000001"/>
    <n v="8.0670000000000002"/>
  </r>
  <r>
    <x v="18"/>
    <x v="48"/>
    <n v="1224175.99"/>
    <x v="0"/>
    <n v="31.34"/>
    <n v="3.351"/>
    <n v="132.88232260000001"/>
    <n v="7.7709999999999999"/>
  </r>
  <r>
    <x v="18"/>
    <x v="49"/>
    <n v="1181204.53"/>
    <x v="0"/>
    <n v="21.68"/>
    <n v="3.367"/>
    <n v="132.9510645"/>
    <n v="7.7709999999999999"/>
  </r>
  <r>
    <x v="18"/>
    <x v="50"/>
    <n v="1212967.8400000001"/>
    <x v="0"/>
    <n v="22.8"/>
    <n v="3.391"/>
    <n v="133.02851609999999"/>
    <n v="7.7709999999999999"/>
  </r>
  <r>
    <x v="18"/>
    <x v="51"/>
    <n v="1284185.49"/>
    <x v="0"/>
    <n v="20.66"/>
    <n v="3.4020000000000001"/>
    <n v="133.10596770000001"/>
    <n v="7.7709999999999999"/>
  </r>
  <r>
    <x v="18"/>
    <x v="52"/>
    <n v="1370562.11"/>
    <x v="0"/>
    <n v="21.02"/>
    <n v="3.4"/>
    <n v="133.18341939999999"/>
    <n v="7.7709999999999999"/>
  </r>
  <r>
    <x v="18"/>
    <x v="53"/>
    <n v="1430851.11"/>
    <x v="1"/>
    <n v="21.79"/>
    <n v="3.4159999999999999"/>
    <n v="133.26087100000001"/>
    <n v="7.7709999999999999"/>
  </r>
  <r>
    <x v="18"/>
    <x v="54"/>
    <n v="1457270.16"/>
    <x v="0"/>
    <n v="34.74"/>
    <n v="3.42"/>
    <n v="133.37014289999999"/>
    <n v="7.7709999999999999"/>
  </r>
  <r>
    <x v="18"/>
    <x v="55"/>
    <n v="1296658.47"/>
    <x v="0"/>
    <n v="23.24"/>
    <n v="3.452"/>
    <n v="133.4921429"/>
    <n v="7.7709999999999999"/>
  </r>
  <r>
    <x v="18"/>
    <x v="56"/>
    <n v="1433569.44"/>
    <x v="0"/>
    <n v="29.28"/>
    <n v="3.605"/>
    <n v="133.61414289999999"/>
    <n v="7.7709999999999999"/>
  </r>
  <r>
    <x v="18"/>
    <x v="57"/>
    <n v="1351450.43"/>
    <x v="0"/>
    <n v="35.590000000000003"/>
    <n v="3.7519999999999998"/>
    <n v="133.7361429"/>
    <n v="7.7709999999999999"/>
  </r>
  <r>
    <x v="18"/>
    <x v="58"/>
    <n v="1257972.3700000001"/>
    <x v="0"/>
    <n v="40.32"/>
    <n v="3.7959999999999998"/>
    <n v="133.8492258"/>
    <n v="7.7709999999999999"/>
  </r>
  <r>
    <x v="18"/>
    <x v="59"/>
    <n v="1266564.94"/>
    <x v="0"/>
    <n v="33.26"/>
    <n v="3.7890000000000001"/>
    <n v="133.95874190000001"/>
    <n v="7.7709999999999999"/>
  </r>
  <r>
    <x v="18"/>
    <x v="60"/>
    <n v="1305950.22"/>
    <x v="0"/>
    <n v="30.68"/>
    <n v="3.8109999999999999"/>
    <n v="134.06825810000001"/>
    <n v="7.6580000000000004"/>
  </r>
  <r>
    <x v="18"/>
    <x v="61"/>
    <n v="1419911.91"/>
    <x v="0"/>
    <n v="41.26"/>
    <n v="3.895"/>
    <n v="134.17777419999999"/>
    <n v="7.6580000000000004"/>
  </r>
  <r>
    <x v="18"/>
    <x v="62"/>
    <n v="1392093.04"/>
    <x v="0"/>
    <n v="48.67"/>
    <n v="3.9809999999999999"/>
    <n v="134.2784667"/>
    <n v="7.6580000000000004"/>
  </r>
  <r>
    <x v="18"/>
    <x v="63"/>
    <n v="1514288.82"/>
    <x v="0"/>
    <n v="41.66"/>
    <n v="4.0609999999999999"/>
    <n v="134.3571"/>
    <n v="7.6580000000000004"/>
  </r>
  <r>
    <x v="18"/>
    <x v="64"/>
    <n v="1297237.7"/>
    <x v="0"/>
    <n v="54.23"/>
    <n v="4.117"/>
    <n v="134.43573330000001"/>
    <n v="7.6580000000000004"/>
  </r>
  <r>
    <x v="18"/>
    <x v="65"/>
    <n v="1451953.95"/>
    <x v="0"/>
    <n v="50.43"/>
    <n v="4.1920000000000002"/>
    <n v="134.51436670000001"/>
    <n v="7.6580000000000004"/>
  </r>
  <r>
    <x v="18"/>
    <x v="66"/>
    <n v="1429143.06"/>
    <x v="0"/>
    <n v="54.2"/>
    <n v="4.2110000000000003"/>
    <n v="134.59299999999999"/>
    <n v="7.6580000000000004"/>
  </r>
  <r>
    <x v="18"/>
    <x v="67"/>
    <n v="1355234.3"/>
    <x v="0"/>
    <n v="52.8"/>
    <n v="4.202"/>
    <n v="134.68038709999999"/>
    <n v="7.6580000000000004"/>
  </r>
  <r>
    <x v="18"/>
    <x v="68"/>
    <n v="1388553.11"/>
    <x v="0"/>
    <n v="63.2"/>
    <n v="4.1340000000000003"/>
    <n v="134.76777419999999"/>
    <n v="7.6580000000000004"/>
  </r>
  <r>
    <x v="18"/>
    <x v="69"/>
    <n v="1457345.75"/>
    <x v="0"/>
    <n v="66.010000000000005"/>
    <n v="4.069"/>
    <n v="134.85516129999999"/>
    <n v="7.6580000000000004"/>
  </r>
  <r>
    <x v="18"/>
    <x v="70"/>
    <n v="1467473.63"/>
    <x v="0"/>
    <n v="68.260000000000005"/>
    <n v="4.0250000000000004"/>
    <n v="134.94254839999999"/>
    <n v="7.6580000000000004"/>
  </r>
  <r>
    <x v="18"/>
    <x v="71"/>
    <n v="1418973.62"/>
    <x v="0"/>
    <n v="64.02"/>
    <n v="3.9889999999999999"/>
    <n v="135.08373330000001"/>
    <n v="7.6580000000000004"/>
  </r>
  <r>
    <x v="18"/>
    <x v="72"/>
    <n v="1440785.7"/>
    <x v="0"/>
    <n v="68.400000000000006"/>
    <n v="3.964"/>
    <n v="135.26526670000001"/>
    <n v="7.6580000000000004"/>
  </r>
  <r>
    <x v="18"/>
    <x v="73"/>
    <n v="1462731.93"/>
    <x v="0"/>
    <n v="67.64"/>
    <n v="3.9159999999999999"/>
    <n v="135.4468"/>
    <n v="7.806"/>
  </r>
  <r>
    <x v="18"/>
    <x v="74"/>
    <n v="1465489.75"/>
    <x v="0"/>
    <n v="73.2"/>
    <n v="3.8860000000000001"/>
    <n v="135.62833330000001"/>
    <n v="7.806"/>
  </r>
  <r>
    <x v="18"/>
    <x v="75"/>
    <n v="1391580.41"/>
    <x v="0"/>
    <n v="73.7"/>
    <n v="3.915"/>
    <n v="135.7837419"/>
    <n v="7.806"/>
  </r>
  <r>
    <x v="18"/>
    <x v="76"/>
    <n v="1377119.45"/>
    <x v="0"/>
    <n v="79.37"/>
    <n v="3.972"/>
    <n v="135.87383869999999"/>
    <n v="7.806"/>
  </r>
  <r>
    <x v="18"/>
    <x v="77"/>
    <n v="1298775.8"/>
    <x v="0"/>
    <n v="74.86"/>
    <n v="4.0039999999999996"/>
    <n v="135.96393549999999"/>
    <n v="7.806"/>
  </r>
  <r>
    <x v="18"/>
    <x v="78"/>
    <n v="1408968.55"/>
    <x v="0"/>
    <n v="73.84"/>
    <n v="4.0199999999999996"/>
    <n v="136.05403229999999"/>
    <n v="7.806"/>
  </r>
  <r>
    <x v="18"/>
    <x v="79"/>
    <n v="1360969.45"/>
    <x v="0"/>
    <n v="70.92"/>
    <n v="3.9950000000000001"/>
    <n v="136.14412899999999"/>
    <n v="7.806"/>
  </r>
  <r>
    <x v="18"/>
    <x v="80"/>
    <n v="1391792.69"/>
    <x v="0"/>
    <n v="71.14"/>
    <n v="3.9420000000000002"/>
    <n v="136.18312900000001"/>
    <n v="7.806"/>
  </r>
  <r>
    <x v="18"/>
    <x v="81"/>
    <n v="1547729.24"/>
    <x v="0"/>
    <n v="69.34"/>
    <n v="3.9060000000000001"/>
    <n v="136.21361289999999"/>
    <n v="7.806"/>
  </r>
  <r>
    <x v="18"/>
    <x v="82"/>
    <n v="1609951.02"/>
    <x v="0"/>
    <n v="69.27"/>
    <n v="3.879"/>
    <n v="136.24409679999999"/>
    <n v="7.806"/>
  </r>
  <r>
    <x v="18"/>
    <x v="83"/>
    <n v="1566712.79"/>
    <x v="1"/>
    <n v="68.28"/>
    <n v="3.93"/>
    <n v="136.27458060000001"/>
    <n v="7.806"/>
  </r>
  <r>
    <x v="18"/>
    <x v="84"/>
    <n v="1365633.53"/>
    <x v="0"/>
    <n v="62.76"/>
    <n v="3.9369999999999998"/>
    <n v="136.31450000000001"/>
    <n v="7.806"/>
  </r>
  <r>
    <x v="18"/>
    <x v="85"/>
    <n v="1300375.76"/>
    <x v="0"/>
    <n v="61.32"/>
    <n v="3.899"/>
    <n v="136.36699999999999"/>
    <n v="7.806"/>
  </r>
  <r>
    <x v="18"/>
    <x v="86"/>
    <n v="1330757.22"/>
    <x v="0"/>
    <n v="64.989999999999995"/>
    <n v="3.8580000000000001"/>
    <n v="136.4195"/>
    <n v="7.806"/>
  </r>
  <r>
    <x v="18"/>
    <x v="87"/>
    <n v="1461718.87"/>
    <x v="0"/>
    <n v="53.1"/>
    <n v="3.7749999999999999"/>
    <n v="136.47200000000001"/>
    <n v="7.8659999999999997"/>
  </r>
  <r>
    <x v="18"/>
    <x v="88"/>
    <n v="1318905.53"/>
    <x v="0"/>
    <n v="61.86"/>
    <n v="3.7440000000000002"/>
    <n v="136.51509680000001"/>
    <n v="7.8659999999999997"/>
  </r>
  <r>
    <x v="18"/>
    <x v="89"/>
    <n v="1374863.1"/>
    <x v="0"/>
    <n v="52.05"/>
    <n v="3.7570000000000001"/>
    <n v="136.5017742"/>
    <n v="7.8659999999999997"/>
  </r>
  <r>
    <x v="18"/>
    <x v="90"/>
    <n v="1396612.36"/>
    <x v="0"/>
    <n v="46.49"/>
    <n v="3.7570000000000001"/>
    <n v="136.48845159999999"/>
    <n v="7.8659999999999997"/>
  </r>
  <r>
    <x v="18"/>
    <x v="91"/>
    <n v="1480289.64"/>
    <x v="0"/>
    <n v="44.97"/>
    <n v="3.738"/>
    <n v="136.47512900000001"/>
    <n v="7.8659999999999997"/>
  </r>
  <r>
    <x v="18"/>
    <x v="92"/>
    <n v="1502078.93"/>
    <x v="0"/>
    <n v="48.22"/>
    <n v="3.7189999999999999"/>
    <n v="136.46180649999999"/>
    <n v="7.8659999999999997"/>
  </r>
  <r>
    <x v="18"/>
    <x v="93"/>
    <n v="1411835.57"/>
    <x v="0"/>
    <n v="48.21"/>
    <n v="3.7170000000000001"/>
    <n v="136.46666669999999"/>
    <n v="7.8659999999999997"/>
  </r>
  <r>
    <x v="18"/>
    <x v="94"/>
    <n v="1974646.78"/>
    <x v="1"/>
    <n v="42.75"/>
    <n v="3.6890000000000001"/>
    <n v="136.47880000000001"/>
    <n v="7.8659999999999997"/>
  </r>
  <r>
    <x v="18"/>
    <x v="95"/>
    <n v="1484708.38"/>
    <x v="0"/>
    <n v="45.67"/>
    <n v="3.6659999999999999"/>
    <n v="136.49093329999999"/>
    <n v="7.8659999999999997"/>
  </r>
  <r>
    <x v="18"/>
    <x v="96"/>
    <n v="1713769.06"/>
    <x v="0"/>
    <n v="40.18"/>
    <n v="3.6269999999999998"/>
    <n v="136.50306670000001"/>
    <n v="7.8659999999999997"/>
  </r>
  <r>
    <x v="18"/>
    <x v="97"/>
    <n v="1852179.15"/>
    <x v="0"/>
    <n v="37.07"/>
    <n v="3.6110000000000002"/>
    <n v="136.53351610000001"/>
    <n v="7.8659999999999997"/>
  </r>
  <r>
    <x v="18"/>
    <x v="98"/>
    <n v="2480159.4700000002"/>
    <x v="0"/>
    <n v="36.090000000000003"/>
    <n v="3.5870000000000002"/>
    <n v="136.58838710000001"/>
    <n v="7.8659999999999997"/>
  </r>
  <r>
    <x v="18"/>
    <x v="99"/>
    <n v="1405168.06"/>
    <x v="1"/>
    <n v="31.65"/>
    <n v="3.5659999999999998"/>
    <n v="136.6432581"/>
    <n v="7.8659999999999997"/>
  </r>
  <r>
    <x v="18"/>
    <x v="100"/>
    <n v="1266570.3999999999"/>
    <x v="0"/>
    <n v="31.84"/>
    <n v="3.585"/>
    <n v="136.69812899999999"/>
    <n v="7.9429999999999996"/>
  </r>
  <r>
    <x v="18"/>
    <x v="101"/>
    <n v="1182198.7"/>
    <x v="0"/>
    <n v="37.08"/>
    <n v="3.6659999999999999"/>
    <n v="136.75299999999999"/>
    <n v="7.9429999999999996"/>
  </r>
  <r>
    <x v="18"/>
    <x v="102"/>
    <n v="1237104.73"/>
    <x v="0"/>
    <n v="23.44"/>
    <n v="3.7050000000000001"/>
    <n v="136.85641939999999"/>
    <n v="7.9429999999999996"/>
  </r>
  <r>
    <x v="18"/>
    <x v="103"/>
    <n v="1279623.26"/>
    <x v="0"/>
    <n v="32.409999999999997"/>
    <n v="3.7370000000000001"/>
    <n v="136.95983870000001"/>
    <n v="7.9429999999999996"/>
  </r>
  <r>
    <x v="18"/>
    <x v="104"/>
    <n v="1345311.65"/>
    <x v="0"/>
    <n v="36.22"/>
    <n v="3.7959999999999998"/>
    <n v="137.06325810000001"/>
    <n v="7.9429999999999996"/>
  </r>
  <r>
    <x v="18"/>
    <x v="105"/>
    <n v="1499496.67"/>
    <x v="1"/>
    <n v="32.61"/>
    <n v="3.8260000000000001"/>
    <n v="137.1666774"/>
    <n v="7.9429999999999996"/>
  </r>
  <r>
    <x v="18"/>
    <x v="106"/>
    <n v="1424720.27"/>
    <x v="0"/>
    <n v="30.95"/>
    <n v="3.8740000000000001"/>
    <n v="137.25831030000001"/>
    <n v="7.9429999999999996"/>
  </r>
  <r>
    <x v="18"/>
    <x v="107"/>
    <n v="1352470.09"/>
    <x v="0"/>
    <n v="33.909999999999997"/>
    <n v="3.9169999999999998"/>
    <n v="137.34110340000001"/>
    <n v="7.9429999999999996"/>
  </r>
  <r>
    <x v="18"/>
    <x v="108"/>
    <n v="1308977.05"/>
    <x v="0"/>
    <n v="34.83"/>
    <n v="3.9830000000000001"/>
    <n v="137.42389660000001"/>
    <n v="7.9429999999999996"/>
  </r>
  <r>
    <x v="18"/>
    <x v="109"/>
    <n v="1358816.46"/>
    <x v="0"/>
    <n v="38.15"/>
    <n v="4.0209999999999999"/>
    <n v="137.50668970000001"/>
    <n v="7.9429999999999996"/>
  </r>
  <r>
    <x v="18"/>
    <x v="110"/>
    <n v="1312849.1000000001"/>
    <x v="0"/>
    <n v="48.2"/>
    <n v="4.0209999999999999"/>
    <n v="137.58438709999999"/>
    <n v="7.9429999999999996"/>
  </r>
  <r>
    <x v="18"/>
    <x v="111"/>
    <n v="1342254.55"/>
    <x v="0"/>
    <n v="56.72"/>
    <n v="4.0540000000000003"/>
    <n v="137.65529029999999"/>
    <n v="7.9429999999999996"/>
  </r>
  <r>
    <x v="18"/>
    <x v="112"/>
    <n v="1327139.3500000001"/>
    <x v="0"/>
    <n v="43.47"/>
    <n v="4.0979999999999999"/>
    <n v="137.72619349999999"/>
    <n v="7.9429999999999996"/>
  </r>
  <r>
    <x v="18"/>
    <x v="113"/>
    <n v="1631737.68"/>
    <x v="0"/>
    <n v="40.229999999999997"/>
    <n v="4.1429999999999998"/>
    <n v="137.79709679999999"/>
    <n v="8.15"/>
  </r>
  <r>
    <x v="18"/>
    <x v="114"/>
    <n v="1365098.46"/>
    <x v="0"/>
    <n v="44.42"/>
    <n v="4.1870000000000003"/>
    <n v="137.86799999999999"/>
    <n v="8.15"/>
  </r>
  <r>
    <x v="18"/>
    <x v="115"/>
    <n v="1255087.26"/>
    <x v="0"/>
    <n v="55.2"/>
    <n v="4.17"/>
    <n v="137.92306669999999"/>
    <n v="8.15"/>
  </r>
  <r>
    <x v="18"/>
    <x v="116"/>
    <n v="1285897.24"/>
    <x v="0"/>
    <n v="42.45"/>
    <n v="4.1630000000000003"/>
    <n v="137.9781333"/>
    <n v="8.15"/>
  </r>
  <r>
    <x v="18"/>
    <x v="117"/>
    <n v="1405007.44"/>
    <x v="0"/>
    <n v="50.76"/>
    <n v="4.1239999999999997"/>
    <n v="138.03319999999999"/>
    <n v="8.15"/>
  </r>
  <r>
    <x v="18"/>
    <x v="118"/>
    <n v="1442873.22"/>
    <x v="0"/>
    <n v="55.33"/>
    <n v="4.0549999999999997"/>
    <n v="138.08826669999999"/>
    <n v="8.15"/>
  </r>
  <r>
    <x v="18"/>
    <x v="119"/>
    <n v="1366937.1"/>
    <x v="0"/>
    <n v="58.81"/>
    <n v="4.0289999999999999"/>
    <n v="138.1065806"/>
    <n v="8.15"/>
  </r>
  <r>
    <x v="18"/>
    <x v="120"/>
    <n v="1485540.28"/>
    <x v="0"/>
    <n v="67.790000000000006"/>
    <n v="3.9790000000000001"/>
    <n v="138.11019350000001"/>
    <n v="8.15"/>
  </r>
  <r>
    <x v="18"/>
    <x v="121"/>
    <n v="1450733.29"/>
    <x v="0"/>
    <n v="68.180000000000007"/>
    <n v="3.915"/>
    <n v="138.11380650000001"/>
    <n v="8.15"/>
  </r>
  <r>
    <x v="18"/>
    <x v="122"/>
    <n v="1390122.11"/>
    <x v="0"/>
    <n v="60.19"/>
    <n v="3.871"/>
    <n v="138.11741939999999"/>
    <n v="8.15"/>
  </r>
  <r>
    <x v="18"/>
    <x v="123"/>
    <n v="1440263.15"/>
    <x v="0"/>
    <n v="68.19"/>
    <n v="3.786"/>
    <n v="138.12953329999999"/>
    <n v="8.15"/>
  </r>
  <r>
    <x v="18"/>
    <x v="124"/>
    <n v="1468350.36"/>
    <x v="0"/>
    <n v="75.83"/>
    <n v="3.722"/>
    <n v="138.16290000000001"/>
    <n v="8.15"/>
  </r>
  <r>
    <x v="18"/>
    <x v="125"/>
    <n v="1379652.65"/>
    <x v="0"/>
    <n v="69.92"/>
    <n v="3.6669999999999998"/>
    <n v="138.1962667"/>
    <n v="8.15"/>
  </r>
  <r>
    <x v="18"/>
    <x v="126"/>
    <n v="1557120.44"/>
    <x v="0"/>
    <n v="76.069999999999993"/>
    <n v="3.6459999999999999"/>
    <n v="138.22963329999999"/>
    <n v="8.1929999999999996"/>
  </r>
  <r>
    <x v="18"/>
    <x v="127"/>
    <n v="1321741.3500000001"/>
    <x v="0"/>
    <n v="73.17"/>
    <n v="3.6890000000000001"/>
    <n v="138.26300000000001"/>
    <n v="8.1929999999999996"/>
  </r>
  <r>
    <x v="18"/>
    <x v="128"/>
    <n v="1317672.92"/>
    <x v="0"/>
    <n v="76.17"/>
    <n v="3.7320000000000002"/>
    <n v="138.2331935"/>
    <n v="8.1929999999999996"/>
  </r>
  <r>
    <x v="18"/>
    <x v="129"/>
    <n v="1248915.43"/>
    <x v="0"/>
    <n v="74.430000000000007"/>
    <n v="3.82"/>
    <n v="138.20338709999999"/>
    <n v="8.1929999999999996"/>
  </r>
  <r>
    <x v="18"/>
    <x v="130"/>
    <n v="1342123.78"/>
    <x v="0"/>
    <n v="73.41"/>
    <n v="3.819"/>
    <n v="138.17358060000001"/>
    <n v="8.1929999999999996"/>
  </r>
  <r>
    <x v="18"/>
    <x v="131"/>
    <n v="1408907.89"/>
    <x v="0"/>
    <n v="74.45"/>
    <n v="3.863"/>
    <n v="138.1437742"/>
    <n v="8.1929999999999996"/>
  </r>
  <r>
    <x v="18"/>
    <x v="132"/>
    <n v="1375101.26"/>
    <x v="0"/>
    <n v="69.83"/>
    <n v="3.9630000000000001"/>
    <n v="138.18570969999999"/>
    <n v="8.1929999999999996"/>
  </r>
  <r>
    <x v="18"/>
    <x v="133"/>
    <n v="1544653.37"/>
    <x v="0"/>
    <n v="66.66"/>
    <n v="3.9969999999999999"/>
    <n v="138.2814516"/>
    <n v="8.1929999999999996"/>
  </r>
  <r>
    <x v="18"/>
    <x v="134"/>
    <n v="1542719.87"/>
    <x v="0"/>
    <n v="71.849999999999994"/>
    <n v="4.0259999999999998"/>
    <n v="138.3771935"/>
    <n v="8.1929999999999996"/>
  </r>
  <r>
    <x v="18"/>
    <x v="135"/>
    <n v="1497073.82"/>
    <x v="1"/>
    <n v="72.2"/>
    <n v="4.0759999999999996"/>
    <n v="138.47293550000001"/>
    <n v="8.1929999999999996"/>
  </r>
  <r>
    <x v="18"/>
    <x v="136"/>
    <n v="1370653.41"/>
    <x v="0"/>
    <n v="65.08"/>
    <n v="4.0880000000000001"/>
    <n v="138.56729999999999"/>
    <n v="8.1929999999999996"/>
  </r>
  <r>
    <x v="18"/>
    <x v="137"/>
    <n v="1338572.29"/>
    <x v="0"/>
    <n v="60.62"/>
    <n v="4.2030000000000003"/>
    <n v="138.6534"/>
    <n v="8.1929999999999996"/>
  </r>
  <r>
    <x v="18"/>
    <x v="138"/>
    <n v="1338299.02"/>
    <x v="0"/>
    <n v="56.81"/>
    <n v="4.1580000000000004"/>
    <n v="138.73949999999999"/>
    <n v="8.1929999999999996"/>
  </r>
  <r>
    <x v="18"/>
    <x v="139"/>
    <n v="1408016.1"/>
    <x v="0"/>
    <n v="59.86"/>
    <n v="4.1509999999999998"/>
    <n v="138.82560000000001"/>
    <n v="7.992"/>
  </r>
  <r>
    <x v="18"/>
    <x v="140"/>
    <n v="1352809.5"/>
    <x v="0"/>
    <n v="48.29"/>
    <n v="4.1859999999999999"/>
    <n v="138.9117"/>
    <n v="7.992"/>
  </r>
  <r>
    <x v="18"/>
    <x v="141"/>
    <n v="1321102.3500000001"/>
    <x v="0"/>
    <n v="53.44"/>
    <n v="4.1529999999999996"/>
    <n v="138.83361289999999"/>
    <n v="7.992"/>
  </r>
  <r>
    <x v="18"/>
    <x v="142"/>
    <n v="1322117.96"/>
    <x v="0"/>
    <n v="56.49"/>
    <n v="4.0709999999999997"/>
    <n v="138.72816130000001"/>
    <n v="7.992"/>
  </r>
  <r>
    <x v="19"/>
    <x v="0"/>
    <n v="2401395.4700000002"/>
    <x v="0"/>
    <n v="25.92"/>
    <n v="2.7839999999999998"/>
    <n v="204.24719350000001"/>
    <n v="8.1869999999999994"/>
  </r>
  <r>
    <x v="19"/>
    <x v="1"/>
    <n v="2109107.9"/>
    <x v="1"/>
    <n v="22.12"/>
    <n v="2.7730000000000001"/>
    <n v="204.3857472"/>
    <n v="8.1869999999999994"/>
  </r>
  <r>
    <x v="19"/>
    <x v="2"/>
    <n v="2161549.7599999998"/>
    <x v="0"/>
    <n v="25.43"/>
    <n v="2.7450000000000001"/>
    <n v="204.4321004"/>
    <n v="8.1869999999999994"/>
  </r>
  <r>
    <x v="19"/>
    <x v="3"/>
    <n v="1898193.95"/>
    <x v="0"/>
    <n v="32.32"/>
    <n v="2.754"/>
    <n v="204.46308690000001"/>
    <n v="8.1869999999999994"/>
  </r>
  <r>
    <x v="19"/>
    <x v="4"/>
    <n v="2119213.7200000002"/>
    <x v="0"/>
    <n v="31.75"/>
    <n v="2.7770000000000001"/>
    <n v="204.49407339999999"/>
    <n v="8.1869999999999994"/>
  </r>
  <r>
    <x v="19"/>
    <x v="5"/>
    <n v="2010974.84"/>
    <x v="0"/>
    <n v="43.82"/>
    <n v="2.8180000000000001"/>
    <n v="204.52505980000001"/>
    <n v="8.1869999999999994"/>
  </r>
  <r>
    <x v="19"/>
    <x v="6"/>
    <n v="1951848.43"/>
    <x v="0"/>
    <n v="47.32"/>
    <n v="2.8439999999999999"/>
    <n v="204.3782258"/>
    <n v="8.1869999999999994"/>
  </r>
  <r>
    <x v="19"/>
    <x v="7"/>
    <n v="1894742.95"/>
    <x v="0"/>
    <n v="50.49"/>
    <n v="2.8540000000000001"/>
    <n v="204.20175499999999"/>
    <n v="8.1869999999999994"/>
  </r>
  <r>
    <x v="19"/>
    <x v="8"/>
    <n v="2405395.2200000002"/>
    <x v="0"/>
    <n v="51"/>
    <n v="2.85"/>
    <n v="204.02528419999999"/>
    <n v="7.8559999999999999"/>
  </r>
  <r>
    <x v="19"/>
    <x v="9"/>
    <n v="2007796.26"/>
    <x v="0"/>
    <n v="65.099999999999994"/>
    <n v="2.8690000000000002"/>
    <n v="203.84881340000001"/>
    <n v="7.8559999999999999"/>
  </r>
  <r>
    <x v="19"/>
    <x v="10"/>
    <n v="1985784.59"/>
    <x v="0"/>
    <n v="55.43"/>
    <n v="2.899"/>
    <n v="203.7307486"/>
    <n v="7.8559999999999999"/>
  </r>
  <r>
    <x v="19"/>
    <x v="11"/>
    <n v="1878862.42"/>
    <x v="0"/>
    <n v="50.65"/>
    <n v="2.9020000000000001"/>
    <n v="203.6905586"/>
    <n v="7.8559999999999999"/>
  </r>
  <r>
    <x v="19"/>
    <x v="12"/>
    <n v="1919053.21"/>
    <x v="0"/>
    <n v="54.75"/>
    <n v="2.9209999999999998"/>
    <n v="203.65036850000001"/>
    <n v="7.8559999999999999"/>
  </r>
  <r>
    <x v="19"/>
    <x v="13"/>
    <n v="2137202.38"/>
    <x v="0"/>
    <n v="66.739999999999995"/>
    <n v="2.9660000000000002"/>
    <n v="203.6101784"/>
    <n v="7.8559999999999999"/>
  </r>
  <r>
    <x v="19"/>
    <x v="14"/>
    <n v="2033211.62"/>
    <x v="0"/>
    <n v="55.91"/>
    <n v="2.9820000000000002"/>
    <n v="203.61339150000001"/>
    <n v="7.8559999999999999"/>
  </r>
  <r>
    <x v="19"/>
    <x v="15"/>
    <n v="1893736.9"/>
    <x v="0"/>
    <n v="60.38"/>
    <n v="2.9580000000000002"/>
    <n v="203.87702350000001"/>
    <n v="7.8559999999999999"/>
  </r>
  <r>
    <x v="19"/>
    <x v="16"/>
    <n v="2065984.95"/>
    <x v="0"/>
    <n v="70.97"/>
    <n v="2.899"/>
    <n v="204.1406556"/>
    <n v="7.8559999999999999"/>
  </r>
  <r>
    <x v="19"/>
    <x v="17"/>
    <n v="2203619.35"/>
    <x v="0"/>
    <n v="72.52"/>
    <n v="2.847"/>
    <n v="204.4042877"/>
    <n v="7.8559999999999999"/>
  </r>
  <r>
    <x v="19"/>
    <x v="18"/>
    <n v="2100489.79"/>
    <x v="0"/>
    <n v="67.319999999999993"/>
    <n v="2.8090000000000002"/>
    <n v="204.66791979999999"/>
    <n v="7.8559999999999999"/>
  </r>
  <r>
    <x v="19"/>
    <x v="19"/>
    <n v="2091903.63"/>
    <x v="0"/>
    <n v="72.62"/>
    <n v="2.78"/>
    <n v="204.67003600000001"/>
    <n v="7.8559999999999999"/>
  </r>
  <r>
    <x v="19"/>
    <x v="20"/>
    <n v="1973135.87"/>
    <x v="0"/>
    <n v="75.17"/>
    <n v="2.8079999999999998"/>
    <n v="204.5675459"/>
    <n v="7.8559999999999999"/>
  </r>
  <r>
    <x v="19"/>
    <x v="21"/>
    <n v="2143676.77"/>
    <x v="0"/>
    <n v="70.099999999999994"/>
    <n v="2.8149999999999999"/>
    <n v="204.46505590000001"/>
    <n v="7.5270000000000001"/>
  </r>
  <r>
    <x v="19"/>
    <x v="22"/>
    <n v="2107285.85"/>
    <x v="0"/>
    <n v="78.09"/>
    <n v="2.7930000000000001"/>
    <n v="204.3625658"/>
    <n v="7.5270000000000001"/>
  </r>
  <r>
    <x v="19"/>
    <x v="23"/>
    <n v="2031852.16"/>
    <x v="0"/>
    <n v="75.14"/>
    <n v="2.7829999999999999"/>
    <n v="204.3571656"/>
    <n v="7.5270000000000001"/>
  </r>
  <r>
    <x v="19"/>
    <x v="24"/>
    <n v="1900535.9"/>
    <x v="0"/>
    <n v="77.75"/>
    <n v="2.7709999999999999"/>
    <n v="204.48121879999999"/>
    <n v="7.5270000000000001"/>
  </r>
  <r>
    <x v="19"/>
    <x v="25"/>
    <n v="1955896.59"/>
    <x v="0"/>
    <n v="76.03"/>
    <n v="2.7810000000000001"/>
    <n v="204.60527200000001"/>
    <n v="7.5270000000000001"/>
  </r>
  <r>
    <x v="19"/>
    <x v="26"/>
    <n v="1910177.38"/>
    <x v="0"/>
    <n v="74.569999999999993"/>
    <n v="2.7839999999999998"/>
    <n v="204.72932520000001"/>
    <n v="7.5270000000000001"/>
  </r>
  <r>
    <x v="19"/>
    <x v="27"/>
    <n v="2071022.45"/>
    <x v="0"/>
    <n v="75.98"/>
    <n v="2.8050000000000002"/>
    <n v="204.8533784"/>
    <n v="7.5270000000000001"/>
  </r>
  <r>
    <x v="19"/>
    <x v="28"/>
    <n v="1975374.56"/>
    <x v="0"/>
    <n v="75.34"/>
    <n v="2.7789999999999999"/>
    <n v="204.82170439999999"/>
    <n v="7.5270000000000001"/>
  </r>
  <r>
    <x v="19"/>
    <x v="29"/>
    <n v="1946369.57"/>
    <x v="0"/>
    <n v="70.510000000000005"/>
    <n v="2.7549999999999999"/>
    <n v="204.7900305"/>
    <n v="7.5270000000000001"/>
  </r>
  <r>
    <x v="19"/>
    <x v="30"/>
    <n v="2121561.41"/>
    <x v="0"/>
    <n v="75.5"/>
    <n v="2.7149999999999999"/>
    <n v="204.75835660000001"/>
    <n v="7.5270000000000001"/>
  </r>
  <r>
    <x v="19"/>
    <x v="31"/>
    <n v="2014954.79"/>
    <x v="1"/>
    <n v="65.02"/>
    <n v="2.6989999999999998"/>
    <n v="204.7266827"/>
    <n v="7.5270000000000001"/>
  </r>
  <r>
    <x v="19"/>
    <x v="32"/>
    <n v="1948359.78"/>
    <x v="0"/>
    <n v="65.28"/>
    <n v="2.706"/>
    <n v="204.75132790000001"/>
    <n v="7.5270000000000001"/>
  </r>
  <r>
    <x v="19"/>
    <x v="33"/>
    <n v="1789687.65"/>
    <x v="0"/>
    <n v="69.37"/>
    <n v="2.7130000000000001"/>
    <n v="204.81821260000001"/>
    <n v="7.5270000000000001"/>
  </r>
  <r>
    <x v="19"/>
    <x v="34"/>
    <n v="1933719.21"/>
    <x v="0"/>
    <n v="61.08"/>
    <n v="2.7069999999999999"/>
    <n v="204.88509730000001"/>
    <n v="7.484"/>
  </r>
  <r>
    <x v="19"/>
    <x v="35"/>
    <n v="2060389.27"/>
    <x v="0"/>
    <n v="51.5"/>
    <n v="2.7639999999999998"/>
    <n v="204.95198199999999"/>
    <n v="7.484"/>
  </r>
  <r>
    <x v="19"/>
    <x v="36"/>
    <n v="1950676.39"/>
    <x v="0"/>
    <n v="59.17"/>
    <n v="2.8679999999999999"/>
    <n v="205.0137637"/>
    <n v="7.484"/>
  </r>
  <r>
    <x v="19"/>
    <x v="37"/>
    <n v="1893955.27"/>
    <x v="0"/>
    <n v="50.52"/>
    <n v="2.9169999999999998"/>
    <n v="205.06278810000001"/>
    <n v="7.484"/>
  </r>
  <r>
    <x v="19"/>
    <x v="38"/>
    <n v="1891816"/>
    <x v="0"/>
    <n v="57.56"/>
    <n v="2.9209999999999998"/>
    <n v="205.11181260000001"/>
    <n v="7.484"/>
  </r>
  <r>
    <x v="19"/>
    <x v="39"/>
    <n v="2184316.64"/>
    <x v="0"/>
    <n v="42.78"/>
    <n v="2.9169999999999998"/>
    <n v="205.16083699999999"/>
    <n v="7.484"/>
  </r>
  <r>
    <x v="19"/>
    <x v="40"/>
    <n v="2187765.2799999998"/>
    <x v="0"/>
    <n v="42.38"/>
    <n v="2.931"/>
    <n v="205.20986139999999"/>
    <n v="7.484"/>
  </r>
  <r>
    <x v="19"/>
    <x v="41"/>
    <n v="2105058.91"/>
    <x v="0"/>
    <n v="45.88"/>
    <n v="3"/>
    <n v="205.09928110000001"/>
    <n v="7.484"/>
  </r>
  <r>
    <x v="19"/>
    <x v="42"/>
    <n v="2811634.04"/>
    <x v="1"/>
    <n v="46.66"/>
    <n v="3.0390000000000001"/>
    <n v="204.96209999999999"/>
    <n v="7.484"/>
  </r>
  <r>
    <x v="19"/>
    <x v="43"/>
    <n v="2416051.17"/>
    <x v="0"/>
    <n v="35.47"/>
    <n v="3.0459999999999998"/>
    <n v="204.8249189"/>
    <n v="7.484"/>
  </r>
  <r>
    <x v="19"/>
    <x v="44"/>
    <n v="2752122.08"/>
    <x v="0"/>
    <n v="24.27"/>
    <n v="3.109"/>
    <n v="204.68773780000001"/>
    <n v="7.484"/>
  </r>
  <r>
    <x v="19"/>
    <x v="45"/>
    <n v="2819193.17"/>
    <x v="0"/>
    <n v="24.07"/>
    <n v="3.14"/>
    <n v="204.63211939999999"/>
    <n v="7.484"/>
  </r>
  <r>
    <x v="19"/>
    <x v="46"/>
    <n v="3766687.43"/>
    <x v="0"/>
    <n v="25.17"/>
    <n v="3.141"/>
    <n v="204.6376731"/>
    <n v="7.484"/>
  </r>
  <r>
    <x v="19"/>
    <x v="47"/>
    <n v="1799737.79"/>
    <x v="1"/>
    <n v="28.85"/>
    <n v="3.1789999999999998"/>
    <n v="204.64322670000001"/>
    <n v="7.484"/>
  </r>
  <r>
    <x v="19"/>
    <x v="48"/>
    <n v="1843030.95"/>
    <x v="0"/>
    <n v="31.43"/>
    <n v="3.1930000000000001"/>
    <n v="204.6487803"/>
    <n v="7.343"/>
  </r>
  <r>
    <x v="19"/>
    <x v="49"/>
    <n v="1884345.01"/>
    <x v="0"/>
    <n v="20.39"/>
    <n v="3.2050000000000001"/>
    <n v="204.7026042"/>
    <n v="7.343"/>
  </r>
  <r>
    <x v="19"/>
    <x v="50"/>
    <n v="1781805.66"/>
    <x v="0"/>
    <n v="27.43"/>
    <n v="3.2290000000000001"/>
    <n v="205.0460497"/>
    <n v="7.343"/>
  </r>
  <r>
    <x v="19"/>
    <x v="51"/>
    <n v="1761506.68"/>
    <x v="0"/>
    <n v="23.21"/>
    <n v="3.2370000000000001"/>
    <n v="205.3894952"/>
    <n v="7.343"/>
  </r>
  <r>
    <x v="19"/>
    <x v="52"/>
    <n v="2351143.0699999998"/>
    <x v="0"/>
    <n v="28.58"/>
    <n v="3.2309999999999999"/>
    <n v="205.7329407"/>
    <n v="7.343"/>
  </r>
  <r>
    <x v="19"/>
    <x v="53"/>
    <n v="2211388.14"/>
    <x v="1"/>
    <n v="25.38"/>
    <n v="3.2389999999999999"/>
    <n v="206.0763862"/>
    <n v="7.343"/>
  </r>
  <r>
    <x v="19"/>
    <x v="54"/>
    <n v="2258616.2400000002"/>
    <x v="0"/>
    <n v="42.95"/>
    <n v="3.2450000000000001"/>
    <n v="206.3694701"/>
    <n v="7.343"/>
  </r>
  <r>
    <x v="19"/>
    <x v="55"/>
    <n v="1938608.52"/>
    <x v="0"/>
    <n v="33.200000000000003"/>
    <n v="3.274"/>
    <n v="206.6424093"/>
    <n v="7.343"/>
  </r>
  <r>
    <x v="19"/>
    <x v="56"/>
    <n v="2143424.61"/>
    <x v="0"/>
    <n v="37.33"/>
    <n v="3.4329999999999998"/>
    <n v="206.91534849999999"/>
    <n v="7.343"/>
  </r>
  <r>
    <x v="19"/>
    <x v="57"/>
    <n v="1990932.77"/>
    <x v="0"/>
    <n v="39.53"/>
    <n v="3.5819999999999999"/>
    <n v="207.1882876"/>
    <n v="7.343"/>
  </r>
  <r>
    <x v="19"/>
    <x v="58"/>
    <n v="1931668.64"/>
    <x v="0"/>
    <n v="44.8"/>
    <n v="3.6309999999999998"/>
    <n v="207.42838449999999"/>
    <n v="7.343"/>
  </r>
  <r>
    <x v="19"/>
    <x v="59"/>
    <n v="1824711.21"/>
    <x v="0"/>
    <n v="44.83"/>
    <n v="3.625"/>
    <n v="207.65534439999999"/>
    <n v="7.343"/>
  </r>
  <r>
    <x v="19"/>
    <x v="60"/>
    <n v="1927993.09"/>
    <x v="0"/>
    <n v="32.43"/>
    <n v="3.6379999999999999"/>
    <n v="207.88230429999999"/>
    <n v="7.2869999999999999"/>
  </r>
  <r>
    <x v="19"/>
    <x v="61"/>
    <n v="2027056.39"/>
    <x v="0"/>
    <n v="47.09"/>
    <n v="3.72"/>
    <n v="208.10926420000001"/>
    <n v="7.2869999999999999"/>
  </r>
  <r>
    <x v="19"/>
    <x v="62"/>
    <n v="2057406.33"/>
    <x v="0"/>
    <n v="55"/>
    <n v="3.8210000000000002"/>
    <n v="208.3172811"/>
    <n v="7.2869999999999999"/>
  </r>
  <r>
    <x v="19"/>
    <x v="63"/>
    <n v="2313861.81"/>
    <x v="0"/>
    <n v="52.56"/>
    <n v="3.8919999999999999"/>
    <n v="208.47794049999999"/>
    <n v="7.2869999999999999"/>
  </r>
  <r>
    <x v="19"/>
    <x v="64"/>
    <n v="1881788.19"/>
    <x v="0"/>
    <n v="62.97"/>
    <n v="3.9620000000000002"/>
    <n v="208.6386"/>
    <n v="7.2869999999999999"/>
  </r>
  <r>
    <x v="19"/>
    <x v="65"/>
    <n v="2090838.44"/>
    <x v="0"/>
    <n v="53.41"/>
    <n v="4.0460000000000003"/>
    <n v="208.79925950000001"/>
    <n v="7.2869999999999999"/>
  </r>
  <r>
    <x v="19"/>
    <x v="66"/>
    <n v="2036748.53"/>
    <x v="0"/>
    <n v="62.26"/>
    <n v="4.0659999999999998"/>
    <n v="208.95991889999999"/>
    <n v="7.2869999999999999"/>
  </r>
  <r>
    <x v="19"/>
    <x v="67"/>
    <n v="1953416.06"/>
    <x v="0"/>
    <n v="59.01"/>
    <n v="4.0620000000000003"/>
    <n v="208.75831650000001"/>
    <n v="7.2869999999999999"/>
  </r>
  <r>
    <x v="19"/>
    <x v="68"/>
    <n v="1944433.17"/>
    <x v="0"/>
    <n v="69.12"/>
    <n v="3.9849999999999999"/>
    <n v="208.556714"/>
    <n v="7.2869999999999999"/>
  </r>
  <r>
    <x v="19"/>
    <x v="69"/>
    <n v="2182246.69"/>
    <x v="0"/>
    <n v="73.510000000000005"/>
    <n v="3.9220000000000002"/>
    <n v="208.35511159999999"/>
    <n v="7.2869999999999999"/>
  </r>
  <r>
    <x v="19"/>
    <x v="70"/>
    <n v="2135062.04"/>
    <x v="0"/>
    <n v="73.64"/>
    <n v="3.8809999999999998"/>
    <n v="208.1535092"/>
    <n v="7.2869999999999999"/>
  </r>
  <r>
    <x v="19"/>
    <x v="71"/>
    <n v="2065191.27"/>
    <x v="0"/>
    <n v="66.41"/>
    <n v="3.8420000000000001"/>
    <n v="208.12656039999999"/>
    <n v="7.2869999999999999"/>
  </r>
  <r>
    <x v="19"/>
    <x v="72"/>
    <n v="1950826.32"/>
    <x v="0"/>
    <n v="72.400000000000006"/>
    <n v="3.8039999999999998"/>
    <n v="208.23060179999999"/>
    <n v="7.2869999999999999"/>
  </r>
  <r>
    <x v="19"/>
    <x v="73"/>
    <n v="2053165.41"/>
    <x v="0"/>
    <n v="69.66"/>
    <n v="3.7480000000000002"/>
    <n v="208.33464319999999"/>
    <n v="7.274"/>
  </r>
  <r>
    <x v="19"/>
    <x v="74"/>
    <n v="2123787.79"/>
    <x v="0"/>
    <n v="74.69"/>
    <n v="3.7109999999999999"/>
    <n v="208.43868470000001"/>
    <n v="7.274"/>
  </r>
  <r>
    <x v="19"/>
    <x v="75"/>
    <n v="2039875.75"/>
    <x v="0"/>
    <n v="74.88"/>
    <n v="3.76"/>
    <n v="208.53093369999999"/>
    <n v="7.274"/>
  </r>
  <r>
    <x v="19"/>
    <x v="76"/>
    <n v="1950904.84"/>
    <x v="0"/>
    <n v="78.89"/>
    <n v="3.8109999999999999"/>
    <n v="208.59370179999999"/>
    <n v="7.274"/>
  </r>
  <r>
    <x v="19"/>
    <x v="77"/>
    <n v="1858440.92"/>
    <x v="0"/>
    <n v="77.47"/>
    <n v="3.8290000000000002"/>
    <n v="208.65646989999999"/>
    <n v="7.274"/>
  </r>
  <r>
    <x v="19"/>
    <x v="78"/>
    <n v="2189353.63"/>
    <x v="0"/>
    <n v="77.8"/>
    <n v="3.8420000000000001"/>
    <n v="208.71923799999999"/>
    <n v="7.274"/>
  </r>
  <r>
    <x v="19"/>
    <x v="79"/>
    <n v="2052246.4"/>
    <x v="0"/>
    <n v="73.52"/>
    <n v="3.8119999999999998"/>
    <n v="208.78200609999999"/>
    <n v="7.274"/>
  </r>
  <r>
    <x v="19"/>
    <x v="80"/>
    <n v="1990017.93"/>
    <x v="0"/>
    <n v="71.25"/>
    <n v="3.7469999999999999"/>
    <n v="208.8424359"/>
    <n v="7.274"/>
  </r>
  <r>
    <x v="19"/>
    <x v="81"/>
    <n v="1933577.2"/>
    <x v="0"/>
    <n v="70.150000000000006"/>
    <n v="3.7040000000000002"/>
    <n v="208.90247600000001"/>
    <n v="7.274"/>
  </r>
  <r>
    <x v="19"/>
    <x v="82"/>
    <n v="2141765.98"/>
    <x v="0"/>
    <n v="70.819999999999993"/>
    <n v="3.7029999999999998"/>
    <n v="208.96251609999999"/>
    <n v="7.274"/>
  </r>
  <r>
    <x v="19"/>
    <x v="83"/>
    <n v="2050542.56"/>
    <x v="1"/>
    <n v="68.739999999999995"/>
    <n v="3.738"/>
    <n v="209.0225562"/>
    <n v="7.274"/>
  </r>
  <r>
    <x v="19"/>
    <x v="84"/>
    <n v="1979009.46"/>
    <x v="0"/>
    <n v="64.02"/>
    <n v="3.742"/>
    <n v="209.18938919999999"/>
    <n v="7.274"/>
  </r>
  <r>
    <x v="19"/>
    <x v="85"/>
    <n v="1888119.7"/>
    <x v="0"/>
    <n v="62.15"/>
    <n v="3.7109999999999999"/>
    <n v="209.4986126"/>
    <n v="7.274"/>
  </r>
  <r>
    <x v="19"/>
    <x v="86"/>
    <n v="1945808.26"/>
    <x v="0"/>
    <n v="63.44"/>
    <n v="3.645"/>
    <n v="209.80783600000001"/>
    <n v="7.274"/>
  </r>
  <r>
    <x v="19"/>
    <x v="87"/>
    <n v="2135982.79"/>
    <x v="0"/>
    <n v="52.42"/>
    <n v="3.5830000000000002"/>
    <n v="210.11705950000001"/>
    <n v="7.0819999999999999"/>
  </r>
  <r>
    <x v="19"/>
    <x v="88"/>
    <n v="2010107.68"/>
    <x v="0"/>
    <n v="62.54"/>
    <n v="3.5409999999999999"/>
    <n v="210.40276019999999"/>
    <n v="7.0819999999999999"/>
  </r>
  <r>
    <x v="19"/>
    <x v="89"/>
    <n v="2104241.9"/>
    <x v="0"/>
    <n v="53.69"/>
    <n v="3.57"/>
    <n v="210.54732519999999"/>
    <n v="7.0819999999999999"/>
  </r>
  <r>
    <x v="19"/>
    <x v="90"/>
    <n v="2065421.52"/>
    <x v="0"/>
    <n v="49.36"/>
    <n v="3.569"/>
    <n v="210.69189009999999"/>
    <n v="7.0819999999999999"/>
  </r>
  <r>
    <x v="19"/>
    <x v="91"/>
    <n v="2284106.6"/>
    <x v="0"/>
    <n v="43.88"/>
    <n v="3.5510000000000002"/>
    <n v="210.83645509999999"/>
    <n v="7.0819999999999999"/>
  </r>
  <r>
    <x v="19"/>
    <x v="92"/>
    <n v="2269975.85"/>
    <x v="0"/>
    <n v="47.27"/>
    <n v="3.53"/>
    <n v="210.98102009999999"/>
    <n v="7.0819999999999999"/>
  </r>
  <r>
    <x v="19"/>
    <x v="93"/>
    <n v="2169933.8199999998"/>
    <x v="0"/>
    <n v="49.3"/>
    <n v="3.53"/>
    <n v="211.18472070000001"/>
    <n v="7.0819999999999999"/>
  </r>
  <r>
    <x v="19"/>
    <x v="94"/>
    <n v="2906233.25"/>
    <x v="1"/>
    <n v="46.38"/>
    <n v="3.492"/>
    <n v="211.4120757"/>
    <n v="7.0819999999999999"/>
  </r>
  <r>
    <x v="19"/>
    <x v="95"/>
    <n v="2298776.83"/>
    <x v="0"/>
    <n v="46.32"/>
    <n v="3.452"/>
    <n v="211.6394306"/>
    <n v="7.0819999999999999"/>
  </r>
  <r>
    <x v="19"/>
    <x v="96"/>
    <n v="2546123.7799999998"/>
    <x v="0"/>
    <n v="41.64"/>
    <n v="3.415"/>
    <n v="211.86678559999999"/>
    <n v="7.0819999999999999"/>
  </r>
  <r>
    <x v="19"/>
    <x v="97"/>
    <n v="2762816.65"/>
    <x v="0"/>
    <n v="37.159999999999997"/>
    <n v="3.4129999999999998"/>
    <n v="212.0685039"/>
    <n v="7.0819999999999999"/>
  </r>
  <r>
    <x v="19"/>
    <x v="98"/>
    <n v="3555371.03"/>
    <x v="0"/>
    <n v="40.19"/>
    <n v="3.3889999999999998"/>
    <n v="212.2360401"/>
    <n v="7.0819999999999999"/>
  </r>
  <r>
    <x v="19"/>
    <x v="99"/>
    <n v="2043245"/>
    <x v="1"/>
    <n v="36.35"/>
    <n v="3.3889999999999998"/>
    <n v="212.4035763"/>
    <n v="7.0819999999999999"/>
  </r>
  <r>
    <x v="19"/>
    <x v="100"/>
    <n v="1964701.94"/>
    <x v="0"/>
    <n v="33.42"/>
    <n v="3.4220000000000002"/>
    <n v="212.5711125"/>
    <n v="6.9610000000000003"/>
  </r>
  <r>
    <x v="19"/>
    <x v="101"/>
    <n v="1911510.64"/>
    <x v="0"/>
    <n v="37.79"/>
    <n v="3.5129999999999999"/>
    <n v="212.7386486"/>
    <n v="6.9610000000000003"/>
  </r>
  <r>
    <x v="19"/>
    <x v="102"/>
    <n v="1892775.94"/>
    <x v="0"/>
    <n v="27.65"/>
    <n v="3.5329999999999999"/>
    <n v="212.83363990000001"/>
    <n v="6.9610000000000003"/>
  </r>
  <r>
    <x v="19"/>
    <x v="103"/>
    <n v="1761016.51"/>
    <x v="0"/>
    <n v="37.19"/>
    <n v="3.5670000000000002"/>
    <n v="212.92863120000001"/>
    <n v="6.9610000000000003"/>
  </r>
  <r>
    <x v="19"/>
    <x v="104"/>
    <n v="2203523.2000000002"/>
    <x v="0"/>
    <n v="39.93"/>
    <n v="3.617"/>
    <n v="213.02362249999999"/>
    <n v="6.9610000000000003"/>
  </r>
  <r>
    <x v="19"/>
    <x v="105"/>
    <n v="2462978.2799999998"/>
    <x v="1"/>
    <n v="33.47"/>
    <n v="3.64"/>
    <n v="213.11861379999999"/>
    <n v="6.9610000000000003"/>
  </r>
  <r>
    <x v="19"/>
    <x v="106"/>
    <n v="2309025.16"/>
    <x v="0"/>
    <n v="31.11"/>
    <n v="3.6949999999999998"/>
    <n v="213.2732106"/>
    <n v="6.9610000000000003"/>
  </r>
  <r>
    <x v="19"/>
    <x v="107"/>
    <n v="2045837.55"/>
    <x v="0"/>
    <n v="39.79"/>
    <n v="3.7389999999999999"/>
    <n v="213.47251159999999"/>
    <n v="6.9610000000000003"/>
  </r>
  <r>
    <x v="19"/>
    <x v="108"/>
    <n v="2148822.7599999998"/>
    <x v="0"/>
    <n v="39.979999999999997"/>
    <n v="3.8159999999999998"/>
    <n v="213.6718127"/>
    <n v="6.9610000000000003"/>
  </r>
  <r>
    <x v="19"/>
    <x v="109"/>
    <n v="2139265.4"/>
    <x v="0"/>
    <n v="41.14"/>
    <n v="3.8479999999999999"/>
    <n v="213.8711137"/>
    <n v="6.9610000000000003"/>
  </r>
  <r>
    <x v="19"/>
    <x v="110"/>
    <n v="2064991.71"/>
    <x v="0"/>
    <n v="53.73"/>
    <n v="3.8620000000000001"/>
    <n v="214.0167132"/>
    <n v="6.9610000000000003"/>
  </r>
  <r>
    <x v="19"/>
    <x v="111"/>
    <n v="1992436.96"/>
    <x v="0"/>
    <n v="66.11"/>
    <n v="3.9"/>
    <n v="214.0907105"/>
    <n v="6.9610000000000003"/>
  </r>
  <r>
    <x v="19"/>
    <x v="112"/>
    <n v="2074721.74"/>
    <x v="0"/>
    <n v="51.52"/>
    <n v="3.9529999999999998"/>
    <n v="214.1647079"/>
    <n v="6.9610000000000003"/>
  </r>
  <r>
    <x v="19"/>
    <x v="113"/>
    <n v="2565259.92"/>
    <x v="0"/>
    <n v="50.06"/>
    <n v="3.996"/>
    <n v="214.23870529999999"/>
    <n v="7.1390000000000002"/>
  </r>
  <r>
    <x v="19"/>
    <x v="114"/>
    <n v="2045396.06"/>
    <x v="0"/>
    <n v="45.68"/>
    <n v="4.0439999999999996"/>
    <n v="214.31270269999999"/>
    <n v="7.1390000000000002"/>
  </r>
  <r>
    <x v="19"/>
    <x v="115"/>
    <n v="1884427.84"/>
    <x v="0"/>
    <n v="60.11"/>
    <n v="4.0270000000000001"/>
    <n v="214.3675045"/>
    <n v="7.1390000000000002"/>
  </r>
  <r>
    <x v="19"/>
    <x v="116"/>
    <n v="1886503.93"/>
    <x v="0"/>
    <n v="47.64"/>
    <n v="4.0039999999999996"/>
    <n v="214.4223063"/>
    <n v="7.1390000000000002"/>
  </r>
  <r>
    <x v="19"/>
    <x v="117"/>
    <n v="2163510.89"/>
    <x v="0"/>
    <n v="62.74"/>
    <n v="3.9510000000000001"/>
    <n v="214.47710810000001"/>
    <n v="7.1390000000000002"/>
  </r>
  <r>
    <x v="19"/>
    <x v="118"/>
    <n v="2168097.11"/>
    <x v="0"/>
    <n v="63.19"/>
    <n v="3.8889999999999998"/>
    <n v="214.53190989999999"/>
    <n v="7.1390000000000002"/>
  </r>
  <r>
    <x v="19"/>
    <x v="119"/>
    <n v="2039222.26"/>
    <x v="0"/>
    <n v="60.99"/>
    <n v="3.8479999999999999"/>
    <n v="214.54855710000001"/>
    <n v="7.1390000000000002"/>
  </r>
  <r>
    <x v="19"/>
    <x v="120"/>
    <n v="2114989"/>
    <x v="0"/>
    <n v="70.040000000000006"/>
    <n v="3.798"/>
    <n v="214.54994249999999"/>
    <n v="7.1390000000000002"/>
  </r>
  <r>
    <x v="19"/>
    <x v="121"/>
    <n v="2143126.59"/>
    <x v="0"/>
    <n v="73.67"/>
    <n v="3.742"/>
    <n v="214.5513278"/>
    <n v="7.1390000000000002"/>
  </r>
  <r>
    <x v="19"/>
    <x v="122"/>
    <n v="2231962.13"/>
    <x v="0"/>
    <n v="62.01"/>
    <n v="3.6890000000000001"/>
    <n v="214.5527132"/>
    <n v="7.1390000000000002"/>
  </r>
  <r>
    <x v="19"/>
    <x v="123"/>
    <n v="2165160.29"/>
    <x v="0"/>
    <n v="71.510000000000005"/>
    <n v="3.62"/>
    <n v="214.56532429999999"/>
    <n v="7.1390000000000002"/>
  </r>
  <r>
    <x v="19"/>
    <x v="124"/>
    <n v="2060588.69"/>
    <x v="0"/>
    <n v="76.510000000000005"/>
    <n v="3.5640000000000001"/>
    <n v="214.60599999999999"/>
    <n v="7.1390000000000002"/>
  </r>
  <r>
    <x v="19"/>
    <x v="125"/>
    <n v="2055952.61"/>
    <x v="0"/>
    <n v="74.150000000000006"/>
    <n v="3.5059999999999998"/>
    <n v="214.6466757"/>
    <n v="7.1390000000000002"/>
  </r>
  <r>
    <x v="19"/>
    <x v="126"/>
    <n v="2358055.2999999998"/>
    <x v="0"/>
    <n v="79.2"/>
    <n v="3.4750000000000001"/>
    <n v="214.68735140000001"/>
    <n v="7.28"/>
  </r>
  <r>
    <x v="19"/>
    <x v="127"/>
    <n v="2134680.12"/>
    <x v="0"/>
    <n v="78.27"/>
    <n v="3.5230000000000001"/>
    <n v="214.728027"/>
    <n v="7.28"/>
  </r>
  <r>
    <x v="19"/>
    <x v="128"/>
    <n v="1970170.29"/>
    <x v="0"/>
    <n v="76.040000000000006"/>
    <n v="3.5670000000000002"/>
    <n v="214.7331351"/>
    <n v="7.28"/>
  </r>
  <r>
    <x v="19"/>
    <x v="129"/>
    <n v="1911559.1"/>
    <x v="0"/>
    <n v="74.599999999999994"/>
    <n v="3.6469999999999998"/>
    <n v="214.7382432"/>
    <n v="7.28"/>
  </r>
  <r>
    <x v="19"/>
    <x v="130"/>
    <n v="2094515.71"/>
    <x v="0"/>
    <n v="74.73"/>
    <n v="3.6539999999999999"/>
    <n v="214.74335139999999"/>
    <n v="7.28"/>
  </r>
  <r>
    <x v="19"/>
    <x v="131"/>
    <n v="2144245.39"/>
    <x v="0"/>
    <n v="75.400000000000006"/>
    <n v="3.722"/>
    <n v="214.7484595"/>
    <n v="7.28"/>
  </r>
  <r>
    <x v="19"/>
    <x v="132"/>
    <n v="2045061.22"/>
    <x v="0"/>
    <n v="69.569999999999993"/>
    <n v="3.8069999999999999"/>
    <n v="214.82557800000001"/>
    <n v="7.28"/>
  </r>
  <r>
    <x v="19"/>
    <x v="133"/>
    <n v="2005341.43"/>
    <x v="0"/>
    <n v="68.27"/>
    <n v="3.8340000000000001"/>
    <n v="214.95670440000001"/>
    <n v="7.28"/>
  </r>
  <r>
    <x v="19"/>
    <x v="134"/>
    <n v="2062481.56"/>
    <x v="0"/>
    <n v="72.66"/>
    <n v="3.867"/>
    <n v="215.0878309"/>
    <n v="7.28"/>
  </r>
  <r>
    <x v="19"/>
    <x v="135"/>
    <n v="2080529.06"/>
    <x v="1"/>
    <n v="76.36"/>
    <n v="3.911"/>
    <n v="215.2189573"/>
    <n v="7.28"/>
  </r>
  <r>
    <x v="19"/>
    <x v="136"/>
    <n v="2047949.98"/>
    <x v="0"/>
    <n v="64.84"/>
    <n v="3.948"/>
    <n v="215.35837570000001"/>
    <n v="7.28"/>
  </r>
  <r>
    <x v="19"/>
    <x v="137"/>
    <n v="2028587.24"/>
    <x v="0"/>
    <n v="60.94"/>
    <n v="4.0380000000000003"/>
    <n v="215.54754589999999"/>
    <n v="7.28"/>
  </r>
  <r>
    <x v="19"/>
    <x v="138"/>
    <n v="2008350.58"/>
    <x v="0"/>
    <n v="58.65"/>
    <n v="3.9969999999999999"/>
    <n v="215.73671619999999"/>
    <n v="7.28"/>
  </r>
  <r>
    <x v="19"/>
    <x v="139"/>
    <n v="2246411.89"/>
    <x v="0"/>
    <n v="60.77"/>
    <n v="3.9849999999999999"/>
    <n v="215.92588649999999"/>
    <n v="7.2930000000000001"/>
  </r>
  <r>
    <x v="19"/>
    <x v="140"/>
    <n v="2162951.36"/>
    <x v="0"/>
    <n v="47.2"/>
    <n v="4"/>
    <n v="216.11505679999999"/>
    <n v="7.2930000000000001"/>
  </r>
  <r>
    <x v="19"/>
    <x v="141"/>
    <n v="1999363.49"/>
    <x v="0"/>
    <n v="56.26"/>
    <n v="3.9689999999999999"/>
    <n v="216.1464699"/>
    <n v="7.2930000000000001"/>
  </r>
  <r>
    <x v="19"/>
    <x v="142"/>
    <n v="2031650.55"/>
    <x v="0"/>
    <n v="60.04"/>
    <n v="3.8820000000000001"/>
    <n v="216.15159019999999"/>
    <n v="7.2930000000000001"/>
  </r>
  <r>
    <x v="20"/>
    <x v="0"/>
    <n v="798593.88"/>
    <x v="0"/>
    <n v="39.049999999999997"/>
    <n v="2.5720000000000001"/>
    <n v="210.7526053"/>
    <n v="8.3239999999999998"/>
  </r>
  <r>
    <x v="20"/>
    <x v="1"/>
    <n v="809321.44"/>
    <x v="1"/>
    <n v="37.770000000000003"/>
    <n v="2.548"/>
    <n v="210.89799350000001"/>
    <n v="8.3239999999999998"/>
  </r>
  <r>
    <x v="20"/>
    <x v="2"/>
    <n v="867283.25"/>
    <x v="0"/>
    <n v="39.75"/>
    <n v="2.5139999999999998"/>
    <n v="210.94516049999999"/>
    <n v="8.3239999999999998"/>
  </r>
  <r>
    <x v="20"/>
    <x v="3"/>
    <n v="749597.24"/>
    <x v="0"/>
    <n v="45.31"/>
    <n v="2.5609999999999999"/>
    <n v="210.9759573"/>
    <n v="8.3239999999999998"/>
  </r>
  <r>
    <x v="20"/>
    <x v="4"/>
    <n v="747444.32"/>
    <x v="0"/>
    <n v="48.61"/>
    <n v="2.625"/>
    <n v="211.00675419999999"/>
    <n v="8.3239999999999998"/>
  </r>
  <r>
    <x v="20"/>
    <x v="5"/>
    <n v="712312.89"/>
    <x v="0"/>
    <n v="57.1"/>
    <n v="2.6669999999999998"/>
    <n v="211.03755100000001"/>
    <n v="8.3239999999999998"/>
  </r>
  <r>
    <x v="20"/>
    <x v="6"/>
    <n v="727070"/>
    <x v="0"/>
    <n v="54.68"/>
    <n v="2.72"/>
    <n v="210.8733316"/>
    <n v="8.3239999999999998"/>
  </r>
  <r>
    <x v="20"/>
    <x v="7"/>
    <n v="686497.53"/>
    <x v="0"/>
    <n v="51.66"/>
    <n v="2.7320000000000002"/>
    <n v="210.67660950000001"/>
    <n v="8.3239999999999998"/>
  </r>
  <r>
    <x v="20"/>
    <x v="8"/>
    <n v="753664.12"/>
    <x v="0"/>
    <n v="64.12"/>
    <n v="2.7189999999999999"/>
    <n v="210.4798874"/>
    <n v="8.1999999999999993"/>
  </r>
  <r>
    <x v="20"/>
    <x v="9"/>
    <n v="751181.4"/>
    <x v="0"/>
    <n v="65.739999999999995"/>
    <n v="2.77"/>
    <n v="210.28316530000001"/>
    <n v="8.1999999999999993"/>
  </r>
  <r>
    <x v="20"/>
    <x v="10"/>
    <n v="716026.51"/>
    <x v="0"/>
    <n v="67.87"/>
    <n v="2.8079999999999998"/>
    <n v="210.1495463"/>
    <n v="8.1999999999999993"/>
  </r>
  <r>
    <x v="20"/>
    <x v="11"/>
    <n v="718780.59"/>
    <x v="0"/>
    <n v="64.209999999999994"/>
    <n v="2.7949999999999999"/>
    <n v="210.10006480000001"/>
    <n v="8.1999999999999993"/>
  </r>
  <r>
    <x v="20"/>
    <x v="12"/>
    <n v="680532.69"/>
    <x v="0"/>
    <n v="66.930000000000007"/>
    <n v="2.78"/>
    <n v="210.0505833"/>
    <n v="8.1999999999999993"/>
  </r>
  <r>
    <x v="20"/>
    <x v="13"/>
    <n v="744969.42"/>
    <x v="0"/>
    <n v="70.87"/>
    <n v="2.835"/>
    <n v="210.00110179999999"/>
    <n v="8.1999999999999993"/>
  </r>
  <r>
    <x v="20"/>
    <x v="14"/>
    <n v="723559.88"/>
    <x v="0"/>
    <n v="73.08"/>
    <n v="2.8540000000000001"/>
    <n v="209.9984585"/>
    <n v="8.1999999999999993"/>
  </r>
  <r>
    <x v="20"/>
    <x v="15"/>
    <n v="753361.72"/>
    <x v="0"/>
    <n v="74.239999999999995"/>
    <n v="2.8260000000000001"/>
    <n v="210.27684429999999"/>
    <n v="8.1999999999999993"/>
  </r>
  <r>
    <x v="20"/>
    <x v="16"/>
    <n v="755214.26"/>
    <x v="0"/>
    <n v="80.94"/>
    <n v="2.7589999999999999"/>
    <n v="210.55523009999999"/>
    <n v="8.1999999999999993"/>
  </r>
  <r>
    <x v="20"/>
    <x v="17"/>
    <n v="806012.48"/>
    <x v="0"/>
    <n v="82.68"/>
    <n v="2.7050000000000001"/>
    <n v="210.83361600000001"/>
    <n v="8.1999999999999993"/>
  </r>
  <r>
    <x v="20"/>
    <x v="18"/>
    <n v="784305.55"/>
    <x v="0"/>
    <n v="83.51"/>
    <n v="2.6680000000000001"/>
    <n v="211.1120018"/>
    <n v="8.1999999999999993"/>
  </r>
  <r>
    <x v="20"/>
    <x v="19"/>
    <n v="785104.29"/>
    <x v="0"/>
    <n v="86.18"/>
    <n v="2.637"/>
    <n v="211.10965429999999"/>
    <n v="8.1999999999999993"/>
  </r>
  <r>
    <x v="20"/>
    <x v="20"/>
    <n v="769848.75"/>
    <x v="0"/>
    <n v="87.01"/>
    <n v="2.653"/>
    <n v="210.9950134"/>
    <n v="8.1999999999999993"/>
  </r>
  <r>
    <x v="20"/>
    <x v="21"/>
    <n v="711470.8"/>
    <x v="0"/>
    <n v="82.29"/>
    <n v="2.669"/>
    <n v="210.88037259999999"/>
    <n v="8.0990000000000002"/>
  </r>
  <r>
    <x v="20"/>
    <x v="22"/>
    <n v="714677.47"/>
    <x v="0"/>
    <n v="81.67"/>
    <n v="2.6419999999999999"/>
    <n v="210.7657317"/>
    <n v="8.0990000000000002"/>
  </r>
  <r>
    <x v="20"/>
    <x v="23"/>
    <n v="755098.41"/>
    <x v="0"/>
    <n v="85.61"/>
    <n v="2.6230000000000002"/>
    <n v="210.75779539999999"/>
    <n v="8.0990000000000002"/>
  </r>
  <r>
    <x v="20"/>
    <x v="24"/>
    <n v="765823.48"/>
    <x v="0"/>
    <n v="87.17"/>
    <n v="2.6080000000000001"/>
    <n v="210.89213190000001"/>
    <n v="8.0990000000000002"/>
  </r>
  <r>
    <x v="20"/>
    <x v="25"/>
    <n v="715876.27"/>
    <x v="0"/>
    <n v="83.59"/>
    <n v="2.64"/>
    <n v="211.0264684"/>
    <n v="8.0990000000000002"/>
  </r>
  <r>
    <x v="20"/>
    <x v="26"/>
    <n v="739279.19"/>
    <x v="0"/>
    <n v="90.3"/>
    <n v="2.6269999999999998"/>
    <n v="211.16080489999999"/>
    <n v="8.0990000000000002"/>
  </r>
  <r>
    <x v="20"/>
    <x v="27"/>
    <n v="793589.18"/>
    <x v="0"/>
    <n v="89.65"/>
    <n v="2.6920000000000002"/>
    <n v="211.29514130000001"/>
    <n v="8.0990000000000002"/>
  </r>
  <r>
    <x v="20"/>
    <x v="28"/>
    <n v="848873.28"/>
    <x v="0"/>
    <n v="89.58"/>
    <n v="2.6640000000000001"/>
    <n v="211.25965859999999"/>
    <n v="8.0990000000000002"/>
  </r>
  <r>
    <x v="20"/>
    <x v="29"/>
    <n v="855882.57"/>
    <x v="0"/>
    <n v="86.2"/>
    <n v="2.6190000000000002"/>
    <n v="211.22417590000001"/>
    <n v="8.0990000000000002"/>
  </r>
  <r>
    <x v="20"/>
    <x v="30"/>
    <n v="727772.8"/>
    <x v="0"/>
    <n v="82.57"/>
    <n v="2.577"/>
    <n v="211.18869309999999"/>
    <n v="8.0990000000000002"/>
  </r>
  <r>
    <x v="20"/>
    <x v="31"/>
    <n v="674055.81"/>
    <x v="1"/>
    <n v="79.3"/>
    <n v="2.5649999999999999"/>
    <n v="211.15321040000001"/>
    <n v="8.0990000000000002"/>
  </r>
  <r>
    <x v="20"/>
    <x v="32"/>
    <n v="684340.86"/>
    <x v="0"/>
    <n v="83.03"/>
    <n v="2.5819999999999999"/>
    <n v="211.18064150000001"/>
    <n v="8.0990000000000002"/>
  </r>
  <r>
    <x v="20"/>
    <x v="33"/>
    <n v="671688.06"/>
    <x v="0"/>
    <n v="80.790000000000006"/>
    <n v="2.6240000000000001"/>
    <n v="211.25525780000001"/>
    <n v="8.0990000000000002"/>
  </r>
  <r>
    <x v="20"/>
    <x v="34"/>
    <n v="677158.39"/>
    <x v="0"/>
    <n v="70.28"/>
    <n v="2.6030000000000002"/>
    <n v="211.32987420000001"/>
    <n v="8.1630000000000003"/>
  </r>
  <r>
    <x v="20"/>
    <x v="35"/>
    <n v="680579.49"/>
    <x v="0"/>
    <n v="65.760000000000005"/>
    <n v="2.633"/>
    <n v="211.4044906"/>
    <n v="8.1630000000000003"/>
  </r>
  <r>
    <x v="20"/>
    <x v="36"/>
    <n v="693412.05"/>
    <x v="0"/>
    <n v="68.61"/>
    <n v="2.72"/>
    <n v="211.47132859999999"/>
    <n v="8.1630000000000003"/>
  </r>
  <r>
    <x v="20"/>
    <x v="37"/>
    <n v="710668.45"/>
    <x v="0"/>
    <n v="70.72"/>
    <n v="2.7250000000000001"/>
    <n v="211.51872080000001"/>
    <n v="8.1630000000000003"/>
  </r>
  <r>
    <x v="20"/>
    <x v="38"/>
    <n v="731756.65"/>
    <x v="0"/>
    <n v="67.510000000000005"/>
    <n v="2.7160000000000002"/>
    <n v="211.5661131"/>
    <n v="8.1630000000000003"/>
  </r>
  <r>
    <x v="20"/>
    <x v="39"/>
    <n v="719888.76"/>
    <x v="0"/>
    <n v="58.71"/>
    <n v="2.6890000000000001"/>
    <n v="211.61350530000001"/>
    <n v="8.1630000000000003"/>
  </r>
  <r>
    <x v="20"/>
    <x v="40"/>
    <n v="735796.38"/>
    <x v="0"/>
    <n v="60.95"/>
    <n v="2.7280000000000002"/>
    <n v="211.6608975"/>
    <n v="8.1630000000000003"/>
  </r>
  <r>
    <x v="20"/>
    <x v="41"/>
    <n v="756288.89"/>
    <x v="0"/>
    <n v="51.71"/>
    <n v="2.7709999999999999"/>
    <n v="211.54703040000001"/>
    <n v="8.1630000000000003"/>
  </r>
  <r>
    <x v="20"/>
    <x v="42"/>
    <n v="1245628.6100000001"/>
    <x v="1"/>
    <n v="62.96"/>
    <n v="2.7349999999999999"/>
    <n v="211.40628670000001"/>
    <n v="8.1630000000000003"/>
  </r>
  <r>
    <x v="20"/>
    <x v="43"/>
    <n v="829210.73"/>
    <x v="0"/>
    <n v="50.43"/>
    <n v="2.7080000000000002"/>
    <n v="211.26554300000001"/>
    <n v="8.1630000000000003"/>
  </r>
  <r>
    <x v="20"/>
    <x v="44"/>
    <n v="943891.64"/>
    <x v="0"/>
    <n v="46.35"/>
    <n v="2.843"/>
    <n v="211.12479930000001"/>
    <n v="8.1630000000000003"/>
  </r>
  <r>
    <x v="20"/>
    <x v="45"/>
    <n v="1147556.83"/>
    <x v="0"/>
    <n v="48.63"/>
    <n v="2.8690000000000002"/>
    <n v="211.06454579999999"/>
    <n v="8.1630000000000003"/>
  </r>
  <r>
    <x v="20"/>
    <x v="46"/>
    <n v="1587257.78"/>
    <x v="0"/>
    <n v="51.29"/>
    <n v="2.8860000000000001"/>
    <n v="211.06465990000001"/>
    <n v="8.1630000000000003"/>
  </r>
  <r>
    <x v="20"/>
    <x v="47"/>
    <n v="672903.23"/>
    <x v="1"/>
    <n v="47.19"/>
    <n v="2.9430000000000001"/>
    <n v="211.064774"/>
    <n v="8.1630000000000003"/>
  </r>
  <r>
    <x v="20"/>
    <x v="48"/>
    <n v="629152.06000000006"/>
    <x v="0"/>
    <n v="44.24"/>
    <n v="2.976"/>
    <n v="211.06488809999999"/>
    <n v="8.0280000000000005"/>
  </r>
  <r>
    <x v="20"/>
    <x v="49"/>
    <n v="650789.13"/>
    <x v="0"/>
    <n v="34.14"/>
    <n v="2.9830000000000001"/>
    <n v="211.11767130000001"/>
    <n v="8.0280000000000005"/>
  </r>
  <r>
    <x v="20"/>
    <x v="50"/>
    <n v="663941.73"/>
    <x v="0"/>
    <n v="42.72"/>
    <n v="3.016"/>
    <n v="211.48646909999999"/>
    <n v="8.0280000000000005"/>
  </r>
  <r>
    <x v="20"/>
    <x v="51"/>
    <n v="649878.29"/>
    <x v="0"/>
    <n v="44.04"/>
    <n v="3.01"/>
    <n v="211.85526680000001"/>
    <n v="8.0280000000000005"/>
  </r>
  <r>
    <x v="20"/>
    <x v="52"/>
    <n v="596218.24"/>
    <x v="0"/>
    <n v="36.33"/>
    <n v="2.9889999999999999"/>
    <n v="212.22406459999999"/>
    <n v="8.0280000000000005"/>
  </r>
  <r>
    <x v="20"/>
    <x v="53"/>
    <n v="771908.51"/>
    <x v="1"/>
    <n v="34.61"/>
    <n v="3.0219999999999998"/>
    <n v="212.5928624"/>
    <n v="8.0280000000000005"/>
  </r>
  <r>
    <x v="20"/>
    <x v="54"/>
    <n v="884701.92"/>
    <x v="0"/>
    <n v="59.87"/>
    <n v="3.0449999999999999"/>
    <n v="212.9033115"/>
    <n v="8.0280000000000005"/>
  </r>
  <r>
    <x v="20"/>
    <x v="55"/>
    <n v="768313.85"/>
    <x v="0"/>
    <n v="61.27"/>
    <n v="3.0649999999999999"/>
    <n v="213.19042099999999"/>
    <n v="8.0280000000000005"/>
  </r>
  <r>
    <x v="20"/>
    <x v="56"/>
    <n v="796277.72"/>
    <x v="0"/>
    <n v="59.52"/>
    <n v="3.2879999999999998"/>
    <n v="213.4775305"/>
    <n v="8.0280000000000005"/>
  </r>
  <r>
    <x v="20"/>
    <x v="57"/>
    <n v="763479.9"/>
    <x v="0"/>
    <n v="54.69"/>
    <n v="3.4590000000000001"/>
    <n v="213.76464010000001"/>
    <n v="8.0280000000000005"/>
  </r>
  <r>
    <x v="20"/>
    <x v="58"/>
    <n v="793569"/>
    <x v="0"/>
    <n v="63.26"/>
    <n v="3.488"/>
    <n v="214.01562379999999"/>
    <n v="8.0280000000000005"/>
  </r>
  <r>
    <x v="20"/>
    <x v="59"/>
    <n v="753711.32"/>
    <x v="0"/>
    <n v="70.33"/>
    <n v="3.4729999999999999"/>
    <n v="214.25215729999999"/>
    <n v="8.0280000000000005"/>
  </r>
  <r>
    <x v="20"/>
    <x v="60"/>
    <n v="732056.37"/>
    <x v="0"/>
    <n v="56.36"/>
    <n v="3.524"/>
    <n v="214.4886908"/>
    <n v="7.931"/>
  </r>
  <r>
    <x v="20"/>
    <x v="61"/>
    <n v="744782.89"/>
    <x v="0"/>
    <n v="68.62"/>
    <n v="3.6219999999999999"/>
    <n v="214.72522420000001"/>
    <n v="7.931"/>
  </r>
  <r>
    <x v="20"/>
    <x v="62"/>
    <n v="768390.05"/>
    <x v="0"/>
    <n v="71.010000000000005"/>
    <n v="3.7429999999999999"/>
    <n v="214.94206310000001"/>
    <n v="7.931"/>
  </r>
  <r>
    <x v="20"/>
    <x v="63"/>
    <n v="801302.01"/>
    <x v="0"/>
    <n v="70.790000000000006"/>
    <n v="3.8069999999999999"/>
    <n v="215.10966569999999"/>
    <n v="7.931"/>
  </r>
  <r>
    <x v="20"/>
    <x v="64"/>
    <n v="783250.75"/>
    <x v="0"/>
    <n v="70.19"/>
    <n v="3.81"/>
    <n v="215.2772683"/>
    <n v="7.931"/>
  </r>
  <r>
    <x v="20"/>
    <x v="65"/>
    <n v="718898.33"/>
    <x v="0"/>
    <n v="61.87"/>
    <n v="3.9060000000000001"/>
    <n v="215.44487090000001"/>
    <n v="7.931"/>
  </r>
  <r>
    <x v="20"/>
    <x v="66"/>
    <n v="754236.7"/>
    <x v="0"/>
    <n v="75.040000000000006"/>
    <n v="3.899"/>
    <n v="215.61247349999999"/>
    <n v="7.931"/>
  </r>
  <r>
    <x v="20"/>
    <x v="67"/>
    <n v="744836.56"/>
    <x v="0"/>
    <n v="68.36"/>
    <n v="3.907"/>
    <n v="215.38347780000001"/>
    <n v="7.931"/>
  </r>
  <r>
    <x v="20"/>
    <x v="68"/>
    <n v="744389.81"/>
    <x v="0"/>
    <n v="76.86"/>
    <n v="3.786"/>
    <n v="215.15448219999999"/>
    <n v="7.931"/>
  </r>
  <r>
    <x v="20"/>
    <x v="69"/>
    <n v="773878.58"/>
    <x v="0"/>
    <n v="83.82"/>
    <n v="3.6989999999999998"/>
    <n v="214.92548650000001"/>
    <n v="7.931"/>
  </r>
  <r>
    <x v="20"/>
    <x v="70"/>
    <n v="794397.89"/>
    <x v="0"/>
    <n v="84.71"/>
    <n v="3.6480000000000001"/>
    <n v="214.69649079999999"/>
    <n v="7.931"/>
  </r>
  <r>
    <x v="20"/>
    <x v="71"/>
    <n v="823220.43"/>
    <x v="0"/>
    <n v="87.54"/>
    <n v="3.637"/>
    <n v="214.65135380000001"/>
    <n v="7.931"/>
  </r>
  <r>
    <x v="20"/>
    <x v="72"/>
    <n v="771298.98"/>
    <x v="0"/>
    <n v="85.72"/>
    <n v="3.5939999999999999"/>
    <n v="214.74411079999999"/>
    <n v="7.931"/>
  </r>
  <r>
    <x v="20"/>
    <x v="73"/>
    <n v="784639.12"/>
    <x v="0"/>
    <n v="87.57"/>
    <n v="3.524"/>
    <n v="214.83686779999999"/>
    <n v="7.8520000000000003"/>
  </r>
  <r>
    <x v="20"/>
    <x v="74"/>
    <n v="734099.4"/>
    <x v="0"/>
    <n v="89.16"/>
    <n v="3.48"/>
    <n v="214.92962489999999"/>
    <n v="7.8520000000000003"/>
  </r>
  <r>
    <x v="20"/>
    <x v="75"/>
    <n v="728311.15"/>
    <x v="0"/>
    <n v="91.05"/>
    <n v="3.5750000000000002"/>
    <n v="215.01344259999999"/>
    <n v="7.8520000000000003"/>
  </r>
  <r>
    <x v="20"/>
    <x v="76"/>
    <n v="784490.67"/>
    <x v="0"/>
    <n v="90.27"/>
    <n v="3.6509999999999998"/>
    <n v="215.0749122"/>
    <n v="7.8520000000000003"/>
  </r>
  <r>
    <x v="20"/>
    <x v="77"/>
    <n v="751167.12"/>
    <x v="0"/>
    <n v="91.56"/>
    <n v="3.6819999999999999"/>
    <n v="215.1363819"/>
    <n v="7.8520000000000003"/>
  </r>
  <r>
    <x v="20"/>
    <x v="78"/>
    <n v="783614.89"/>
    <x v="0"/>
    <n v="94.22"/>
    <n v="3.6840000000000002"/>
    <n v="215.19785150000001"/>
    <n v="7.8520000000000003"/>
  </r>
  <r>
    <x v="20"/>
    <x v="79"/>
    <n v="776933.37"/>
    <x v="0"/>
    <n v="92.32"/>
    <n v="3.6379999999999999"/>
    <n v="215.25932109999999"/>
    <n v="7.8520000000000003"/>
  </r>
  <r>
    <x v="20"/>
    <x v="80"/>
    <n v="855546.5"/>
    <x v="0"/>
    <n v="90.11"/>
    <n v="3.5539999999999998"/>
    <n v="215.3229307"/>
    <n v="7.8520000000000003"/>
  </r>
  <r>
    <x v="20"/>
    <x v="81"/>
    <n v="821127.53"/>
    <x v="0"/>
    <n v="92.07"/>
    <n v="3.5230000000000001"/>
    <n v="215.386897"/>
    <n v="7.8520000000000003"/>
  </r>
  <r>
    <x v="20"/>
    <x v="82"/>
    <n v="705557.8"/>
    <x v="0"/>
    <n v="91.94"/>
    <n v="3.5329999999999999"/>
    <n v="215.45086319999999"/>
    <n v="7.8520000000000003"/>
  </r>
  <r>
    <x v="20"/>
    <x v="83"/>
    <n v="653989.65"/>
    <x v="1"/>
    <n v="78.87"/>
    <n v="3.5459999999999998"/>
    <n v="215.51482949999999"/>
    <n v="7.8520000000000003"/>
  </r>
  <r>
    <x v="20"/>
    <x v="84"/>
    <n v="653525.84"/>
    <x v="0"/>
    <n v="80.62"/>
    <n v="3.5259999999999998"/>
    <n v="215.6944378"/>
    <n v="7.8520000000000003"/>
  </r>
  <r>
    <x v="20"/>
    <x v="85"/>
    <n v="681913.29"/>
    <x v="0"/>
    <n v="75.680000000000007"/>
    <n v="3.4670000000000001"/>
    <n v="216.02823559999999"/>
    <n v="7.8520000000000003"/>
  </r>
  <r>
    <x v="20"/>
    <x v="86"/>
    <n v="651970.48"/>
    <x v="0"/>
    <n v="78.91"/>
    <n v="3.355"/>
    <n v="216.36203330000001"/>
    <n v="7.8520000000000003"/>
  </r>
  <r>
    <x v="20"/>
    <x v="87"/>
    <n v="663452.46"/>
    <x v="0"/>
    <n v="71.64"/>
    <n v="3.2850000000000001"/>
    <n v="216.69583109999999"/>
    <n v="7.4409999999999998"/>
  </r>
  <r>
    <x v="20"/>
    <x v="88"/>
    <n v="671379.44"/>
    <x v="0"/>
    <n v="69.790000000000006"/>
    <n v="3.274"/>
    <n v="217.0048261"/>
    <n v="7.4409999999999998"/>
  </r>
  <r>
    <x v="20"/>
    <x v="89"/>
    <n v="729036.06"/>
    <x v="0"/>
    <n v="65.16"/>
    <n v="3.3530000000000002"/>
    <n v="217.1650042"/>
    <n v="7.4409999999999998"/>
  </r>
  <r>
    <x v="20"/>
    <x v="90"/>
    <n v="738812"/>
    <x v="0"/>
    <n v="65.459999999999994"/>
    <n v="3.3719999999999999"/>
    <n v="217.32518239999999"/>
    <n v="7.4409999999999998"/>
  </r>
  <r>
    <x v="20"/>
    <x v="91"/>
    <n v="767358.37"/>
    <x v="0"/>
    <n v="56.01"/>
    <n v="3.3319999999999999"/>
    <n v="217.48536050000001"/>
    <n v="7.4409999999999998"/>
  </r>
  <r>
    <x v="20"/>
    <x v="92"/>
    <n v="757369.87"/>
    <x v="0"/>
    <n v="59.8"/>
    <n v="3.2970000000000002"/>
    <n v="217.6455387"/>
    <n v="7.4409999999999998"/>
  </r>
  <r>
    <x v="20"/>
    <x v="93"/>
    <n v="737014.09"/>
    <x v="0"/>
    <n v="61.9"/>
    <n v="3.3079999999999998"/>
    <n v="217.8670218"/>
    <n v="7.4409999999999998"/>
  </r>
  <r>
    <x v="20"/>
    <x v="94"/>
    <n v="1219263.3999999999"/>
    <x v="1"/>
    <n v="56.43"/>
    <n v="3.2360000000000002"/>
    <n v="218.11302689999999"/>
    <n v="7.4409999999999998"/>
  </r>
  <r>
    <x v="20"/>
    <x v="95"/>
    <n v="793184.25"/>
    <x v="0"/>
    <n v="48.72"/>
    <n v="3.1720000000000002"/>
    <n v="218.35903189999999"/>
    <n v="7.4409999999999998"/>
  </r>
  <r>
    <x v="20"/>
    <x v="96"/>
    <n v="897747.13"/>
    <x v="0"/>
    <n v="41.44"/>
    <n v="3.1579999999999999"/>
    <n v="218.60503700000001"/>
    <n v="7.4409999999999998"/>
  </r>
  <r>
    <x v="20"/>
    <x v="97"/>
    <n v="1027584.51"/>
    <x v="0"/>
    <n v="50.56"/>
    <n v="3.1589999999999998"/>
    <n v="218.8217928"/>
    <n v="7.4409999999999998"/>
  </r>
  <r>
    <x v="20"/>
    <x v="98"/>
    <n v="1384552.17"/>
    <x v="0"/>
    <n v="46.54"/>
    <n v="3.1120000000000001"/>
    <n v="218.9995495"/>
    <n v="7.4409999999999998"/>
  </r>
  <r>
    <x v="20"/>
    <x v="99"/>
    <n v="804362.36"/>
    <x v="1"/>
    <n v="45.16"/>
    <n v="3.129"/>
    <n v="219.1773063"/>
    <n v="7.4409999999999998"/>
  </r>
  <r>
    <x v="20"/>
    <x v="100"/>
    <n v="640181.86"/>
    <x v="0"/>
    <n v="48.1"/>
    <n v="3.157"/>
    <n v="219.355063"/>
    <n v="7.0570000000000004"/>
  </r>
  <r>
    <x v="20"/>
    <x v="101"/>
    <n v="631181.25"/>
    <x v="0"/>
    <n v="45"/>
    <n v="3.2610000000000001"/>
    <n v="219.5328198"/>
    <n v="7.0570000000000004"/>
  </r>
  <r>
    <x v="20"/>
    <x v="102"/>
    <n v="651178.19999999995"/>
    <x v="0"/>
    <n v="52.21"/>
    <n v="3.2679999999999998"/>
    <n v="219.6258417"/>
    <n v="7.0570000000000004"/>
  </r>
  <r>
    <x v="20"/>
    <x v="103"/>
    <n v="611258.71"/>
    <x v="0"/>
    <n v="50.79"/>
    <n v="3.29"/>
    <n v="219.71886359999999"/>
    <n v="7.0570000000000004"/>
  </r>
  <r>
    <x v="20"/>
    <x v="104"/>
    <n v="680725.43"/>
    <x v="0"/>
    <n v="55.83"/>
    <n v="3.36"/>
    <n v="219.81188539999999"/>
    <n v="7.0570000000000004"/>
  </r>
  <r>
    <x v="20"/>
    <x v="105"/>
    <n v="770652.79"/>
    <x v="1"/>
    <n v="46.52"/>
    <n v="3.4089999999999998"/>
    <n v="219.90490729999999"/>
    <n v="7.0570000000000004"/>
  </r>
  <r>
    <x v="20"/>
    <x v="106"/>
    <n v="834663.52"/>
    <x v="0"/>
    <n v="45.03"/>
    <n v="3.51"/>
    <n v="220.06519929999999"/>
    <n v="7.0570000000000004"/>
  </r>
  <r>
    <x v="20"/>
    <x v="107"/>
    <n v="747099.07"/>
    <x v="0"/>
    <n v="54.81"/>
    <n v="3.5550000000000002"/>
    <n v="220.27594400000001"/>
    <n v="7.0570000000000004"/>
  </r>
  <r>
    <x v="20"/>
    <x v="108"/>
    <n v="764385.4"/>
    <x v="0"/>
    <n v="59.3"/>
    <n v="3.63"/>
    <n v="220.48668860000001"/>
    <n v="7.0570000000000004"/>
  </r>
  <r>
    <x v="20"/>
    <x v="109"/>
    <n v="755084.4"/>
    <x v="0"/>
    <n v="57.16"/>
    <n v="3.669"/>
    <n v="220.69743320000001"/>
    <n v="7.0570000000000004"/>
  </r>
  <r>
    <x v="20"/>
    <x v="110"/>
    <n v="767338.32"/>
    <x v="0"/>
    <n v="63.39"/>
    <n v="3.734"/>
    <n v="220.84984679999999"/>
    <n v="7.0570000000000004"/>
  </r>
  <r>
    <x v="20"/>
    <x v="111"/>
    <n v="729759.97"/>
    <x v="0"/>
    <n v="62.96"/>
    <n v="3.7869999999999999"/>
    <n v="220.92448580000001"/>
    <n v="7.0570000000000004"/>
  </r>
  <r>
    <x v="20"/>
    <x v="112"/>
    <n v="724798.76"/>
    <x v="0"/>
    <n v="67.87"/>
    <n v="3.8450000000000002"/>
    <n v="220.9991248"/>
    <n v="7.0570000000000004"/>
  </r>
  <r>
    <x v="20"/>
    <x v="113"/>
    <n v="761956.58"/>
    <x v="0"/>
    <n v="69.02"/>
    <n v="3.891"/>
    <n v="221.07376379999999"/>
    <n v="6.891"/>
  </r>
  <r>
    <x v="20"/>
    <x v="114"/>
    <n v="769319.04"/>
    <x v="0"/>
    <n v="69.03"/>
    <n v="3.891"/>
    <n v="221.14840280000001"/>
    <n v="6.891"/>
  </r>
  <r>
    <x v="20"/>
    <x v="115"/>
    <n v="734858.91"/>
    <x v="0"/>
    <n v="66.97"/>
    <n v="3.8769999999999998"/>
    <n v="221.20210739999999"/>
    <n v="6.891"/>
  </r>
  <r>
    <x v="20"/>
    <x v="116"/>
    <n v="674829.58"/>
    <x v="0"/>
    <n v="69.209999999999994"/>
    <n v="3.8140000000000001"/>
    <n v="221.25581199999999"/>
    <n v="6.891"/>
  </r>
  <r>
    <x v="20"/>
    <x v="117"/>
    <n v="697645.32"/>
    <x v="0"/>
    <n v="77.53"/>
    <n v="3.7490000000000001"/>
    <n v="221.30951659999999"/>
    <n v="6.891"/>
  </r>
  <r>
    <x v="20"/>
    <x v="118"/>
    <n v="649945.54"/>
    <x v="0"/>
    <n v="74.14"/>
    <n v="3.6880000000000002"/>
    <n v="221.3632212"/>
    <n v="6.891"/>
  </r>
  <r>
    <x v="20"/>
    <x v="119"/>
    <n v="700554.16"/>
    <x v="0"/>
    <n v="72.42"/>
    <n v="3.63"/>
    <n v="221.38033100000001"/>
    <n v="6.891"/>
  </r>
  <r>
    <x v="20"/>
    <x v="120"/>
    <n v="722891.24"/>
    <x v="0"/>
    <n v="79.489999999999995"/>
    <n v="3.5609999999999999"/>
    <n v="221.3828029"/>
    <n v="6.891"/>
  </r>
  <r>
    <x v="20"/>
    <x v="121"/>
    <n v="695439.83"/>
    <x v="0"/>
    <n v="79.239999999999995"/>
    <n v="3.5009999999999999"/>
    <n v="221.38527479999999"/>
    <n v="6.891"/>
  </r>
  <r>
    <x v="20"/>
    <x v="122"/>
    <n v="707895.72"/>
    <x v="0"/>
    <n v="79.47"/>
    <n v="3.452"/>
    <n v="221.38774670000001"/>
    <n v="6.891"/>
  </r>
  <r>
    <x v="20"/>
    <x v="123"/>
    <n v="727049.04"/>
    <x v="0"/>
    <n v="81.510000000000005"/>
    <n v="3.3929999999999998"/>
    <n v="221.4009901"/>
    <n v="6.891"/>
  </r>
  <r>
    <x v="20"/>
    <x v="124"/>
    <n v="735870"/>
    <x v="0"/>
    <n v="81.78"/>
    <n v="3.3460000000000001"/>
    <n v="221.44116220000001"/>
    <n v="6.891"/>
  </r>
  <r>
    <x v="20"/>
    <x v="125"/>
    <n v="716341.39"/>
    <x v="0"/>
    <n v="88.05"/>
    <n v="3.286"/>
    <n v="221.48133429999999"/>
    <n v="6.891"/>
  </r>
  <r>
    <x v="20"/>
    <x v="126"/>
    <n v="693013.59"/>
    <x v="0"/>
    <n v="85.26"/>
    <n v="3.2269999999999999"/>
    <n v="221.52150639999999"/>
    <n v="6.5650000000000004"/>
  </r>
  <r>
    <x v="20"/>
    <x v="127"/>
    <n v="668132.36"/>
    <x v="0"/>
    <n v="82.51"/>
    <n v="3.2559999999999998"/>
    <n v="221.56167840000001"/>
    <n v="6.5650000000000004"/>
  </r>
  <r>
    <x v="20"/>
    <x v="128"/>
    <n v="691200.33"/>
    <x v="0"/>
    <n v="84.25"/>
    <n v="3.3109999999999999"/>
    <n v="221.57011230000001"/>
    <n v="6.5650000000000004"/>
  </r>
  <r>
    <x v="20"/>
    <x v="129"/>
    <n v="677789.14"/>
    <x v="0"/>
    <n v="88.09"/>
    <n v="3.407"/>
    <n v="221.57854610000001"/>
    <n v="6.5650000000000004"/>
  </r>
  <r>
    <x v="20"/>
    <x v="130"/>
    <n v="693785.85"/>
    <x v="0"/>
    <n v="91.57"/>
    <n v="3.4169999999999998"/>
    <n v="221.58697989999999"/>
    <n v="6.5650000000000004"/>
  </r>
  <r>
    <x v="20"/>
    <x v="131"/>
    <n v="700272.01"/>
    <x v="0"/>
    <n v="89.57"/>
    <n v="3.4940000000000002"/>
    <n v="221.59541379999999"/>
    <n v="6.5650000000000004"/>
  </r>
  <r>
    <x v="20"/>
    <x v="132"/>
    <n v="751963.81"/>
    <x v="0"/>
    <n v="85.55"/>
    <n v="3.5710000000000002"/>
    <n v="221.67514589999999"/>
    <n v="6.5650000000000004"/>
  </r>
  <r>
    <x v="20"/>
    <x v="133"/>
    <n v="802003.61"/>
    <x v="0"/>
    <n v="77.72"/>
    <n v="3.62"/>
    <n v="221.8083518"/>
    <n v="6.5650000000000004"/>
  </r>
  <r>
    <x v="20"/>
    <x v="134"/>
    <n v="763867.59"/>
    <x v="0"/>
    <n v="83.58"/>
    <n v="3.6379999999999999"/>
    <n v="221.94155760000001"/>
    <n v="6.5650000000000004"/>
  </r>
  <r>
    <x v="20"/>
    <x v="135"/>
    <n v="642827.29"/>
    <x v="1"/>
    <n v="88.4"/>
    <n v="3.73"/>
    <n v="222.07476349999999"/>
    <n v="6.5650000000000004"/>
  </r>
  <r>
    <x v="20"/>
    <x v="136"/>
    <n v="628494.63"/>
    <x v="0"/>
    <n v="76.099999999999994"/>
    <n v="3.7170000000000001"/>
    <n v="222.21743950000001"/>
    <n v="6.5650000000000004"/>
  </r>
  <r>
    <x v="20"/>
    <x v="137"/>
    <n v="667151.46"/>
    <x v="0"/>
    <n v="71.540000000000006"/>
    <n v="3.7210000000000001"/>
    <n v="222.41693620000001"/>
    <n v="6.5650000000000004"/>
  </r>
  <r>
    <x v="20"/>
    <x v="138"/>
    <n v="647097.65"/>
    <x v="0"/>
    <n v="80.38"/>
    <n v="3.6659999999999999"/>
    <n v="222.61643290000001"/>
    <n v="6.5650000000000004"/>
  </r>
  <r>
    <x v="20"/>
    <x v="139"/>
    <n v="651768.91"/>
    <x v="0"/>
    <n v="70.28"/>
    <n v="3.617"/>
    <n v="222.8159296"/>
    <n v="6.17"/>
  </r>
  <r>
    <x v="20"/>
    <x v="140"/>
    <n v="653043.43999999994"/>
    <x v="0"/>
    <n v="61.53"/>
    <n v="3.601"/>
    <n v="223.0154263"/>
    <n v="6.17"/>
  </r>
  <r>
    <x v="20"/>
    <x v="141"/>
    <n v="641368.14"/>
    <x v="0"/>
    <n v="68.52"/>
    <n v="3.5939999999999999"/>
    <n v="223.05980769999999"/>
    <n v="6.17"/>
  </r>
  <r>
    <x v="20"/>
    <x v="142"/>
    <n v="675202.87"/>
    <x v="0"/>
    <n v="70.5"/>
    <n v="3.5059999999999998"/>
    <n v="223.0783366"/>
    <n v="6.17"/>
  </r>
  <r>
    <x v="21"/>
    <x v="0"/>
    <n v="1033017.37"/>
    <x v="0"/>
    <n v="24.36"/>
    <n v="2.7879999999999998"/>
    <n v="135.35246079999999"/>
    <n v="8.2829999999999995"/>
  </r>
  <r>
    <x v="21"/>
    <x v="1"/>
    <n v="1022571.25"/>
    <x v="1"/>
    <n v="28.14"/>
    <n v="2.7709999999999999"/>
    <n v="135.41130759999999"/>
    <n v="8.2829999999999995"/>
  </r>
  <r>
    <x v="21"/>
    <x v="2"/>
    <n v="988467.61"/>
    <x v="0"/>
    <n v="31.96"/>
    <n v="2.7469999999999999"/>
    <n v="135.46577809999999"/>
    <n v="8.2829999999999995"/>
  </r>
  <r>
    <x v="21"/>
    <x v="3"/>
    <n v="899761.48"/>
    <x v="0"/>
    <n v="35.979999999999997"/>
    <n v="2.7530000000000001"/>
    <n v="135.5195191"/>
    <n v="8.2829999999999995"/>
  </r>
  <r>
    <x v="21"/>
    <x v="4"/>
    <n v="1009201.24"/>
    <x v="0"/>
    <n v="36.82"/>
    <n v="2.766"/>
    <n v="135.57326019999999"/>
    <n v="8.2829999999999995"/>
  </r>
  <r>
    <x v="21"/>
    <x v="5"/>
    <n v="967187.37"/>
    <x v="0"/>
    <n v="43.43"/>
    <n v="2.8050000000000002"/>
    <n v="135.62700129999999"/>
    <n v="8.2829999999999995"/>
  </r>
  <r>
    <x v="21"/>
    <x v="6"/>
    <n v="966145.09"/>
    <x v="0"/>
    <n v="46.03"/>
    <n v="2.8340000000000001"/>
    <n v="135.6682247"/>
    <n v="8.2829999999999995"/>
  </r>
  <r>
    <x v="21"/>
    <x v="7"/>
    <n v="1012075.12"/>
    <x v="0"/>
    <n v="48.56"/>
    <n v="2.831"/>
    <n v="135.7073618"/>
    <n v="8.2829999999999995"/>
  </r>
  <r>
    <x v="21"/>
    <x v="8"/>
    <n v="1177340.99"/>
    <x v="0"/>
    <n v="44.96"/>
    <n v="2.8260000000000001"/>
    <n v="135.74649880000001"/>
    <n v="8.3480000000000008"/>
  </r>
  <r>
    <x v="21"/>
    <x v="9"/>
    <n v="1033171.07"/>
    <x v="0"/>
    <n v="57.06"/>
    <n v="2.8490000000000002"/>
    <n v="135.78563589999999"/>
    <n v="8.3480000000000008"/>
  </r>
  <r>
    <x v="21"/>
    <x v="10"/>
    <n v="1000968.67"/>
    <x v="0"/>
    <n v="51.14"/>
    <n v="2.8849999999999998"/>
    <n v="135.82724999999999"/>
    <n v="8.3480000000000008"/>
  </r>
  <r>
    <x v="21"/>
    <x v="11"/>
    <n v="969594.47"/>
    <x v="0"/>
    <n v="51.04"/>
    <n v="2.895"/>
    <n v="135.87216670000001"/>
    <n v="8.3480000000000008"/>
  </r>
  <r>
    <x v="21"/>
    <x v="12"/>
    <n v="977683.06"/>
    <x v="0"/>
    <n v="50.96"/>
    <n v="2.9350000000000001"/>
    <n v="135.9170833"/>
    <n v="8.3480000000000008"/>
  </r>
  <r>
    <x v="21"/>
    <x v="13"/>
    <n v="1052973.28"/>
    <x v="0"/>
    <n v="63.81"/>
    <n v="2.9809999999999999"/>
    <n v="135.96199999999999"/>
    <n v="8.3480000000000008"/>
  </r>
  <r>
    <x v="21"/>
    <x v="14"/>
    <n v="973585.33"/>
    <x v="0"/>
    <n v="50.99"/>
    <n v="2.9830000000000001"/>
    <n v="136.01039399999999"/>
    <n v="8.3480000000000008"/>
  </r>
  <r>
    <x v="21"/>
    <x v="15"/>
    <n v="979977.89"/>
    <x v="0"/>
    <n v="59.99"/>
    <n v="2.9609999999999999"/>
    <n v="136.0796521"/>
    <n v="8.3480000000000008"/>
  </r>
  <r>
    <x v="21"/>
    <x v="16"/>
    <n v="1103740.3999999999"/>
    <x v="0"/>
    <n v="65.64"/>
    <n v="2.9060000000000001"/>
    <n v="136.14891009999999"/>
    <n v="8.3480000000000008"/>
  </r>
  <r>
    <x v="21"/>
    <x v="17"/>
    <n v="1095539.1299999999"/>
    <x v="0"/>
    <n v="69.489999999999995"/>
    <n v="2.8570000000000002"/>
    <n v="136.21816820000001"/>
    <n v="8.3480000000000008"/>
  </r>
  <r>
    <x v="21"/>
    <x v="18"/>
    <n v="1061196.47"/>
    <x v="0"/>
    <n v="65.010000000000005"/>
    <n v="2.83"/>
    <n v="136.28742629999999"/>
    <n v="8.3480000000000008"/>
  </r>
  <r>
    <x v="21"/>
    <x v="19"/>
    <n v="1052895.25"/>
    <x v="0"/>
    <n v="67.13"/>
    <n v="2.8050000000000002"/>
    <n v="136.32433929999999"/>
    <n v="8.3480000000000008"/>
  </r>
  <r>
    <x v="21"/>
    <x v="20"/>
    <n v="1095020.33"/>
    <x v="0"/>
    <n v="74.37"/>
    <n v="2.81"/>
    <n v="136.3483143"/>
    <n v="8.3480000000000008"/>
  </r>
  <r>
    <x v="21"/>
    <x v="21"/>
    <n v="1120259.71"/>
    <x v="0"/>
    <n v="72.88"/>
    <n v="2.8149999999999999"/>
    <n v="136.37228930000001"/>
    <n v="8.4329999999999998"/>
  </r>
  <r>
    <x v="21"/>
    <x v="22"/>
    <n v="1092654.26"/>
    <x v="0"/>
    <n v="79.22"/>
    <n v="2.806"/>
    <n v="136.39626430000001"/>
    <n v="8.4329999999999998"/>
  </r>
  <r>
    <x v="21"/>
    <x v="23"/>
    <n v="988392.99"/>
    <x v="0"/>
    <n v="76.3"/>
    <n v="2.7959999999999998"/>
    <n v="136.41798270000001"/>
    <n v="8.4329999999999998"/>
  </r>
  <r>
    <x v="21"/>
    <x v="24"/>
    <n v="974123.2"/>
    <x v="0"/>
    <n v="76.91"/>
    <n v="2.7839999999999998"/>
    <n v="136.4366924"/>
    <n v="8.4329999999999998"/>
  </r>
  <r>
    <x v="21"/>
    <x v="25"/>
    <n v="970773.64"/>
    <x v="0"/>
    <n v="76.349999999999994"/>
    <n v="2.7919999999999998"/>
    <n v="136.45540209999999"/>
    <n v="8.4329999999999998"/>
  </r>
  <r>
    <x v="21"/>
    <x v="26"/>
    <n v="1010326.14"/>
    <x v="0"/>
    <n v="74.37"/>
    <n v="2.7919999999999998"/>
    <n v="136.4741118"/>
    <n v="8.4329999999999998"/>
  </r>
  <r>
    <x v="21"/>
    <x v="27"/>
    <n v="993097.43"/>
    <x v="0"/>
    <n v="74.75"/>
    <n v="2.81"/>
    <n v="136.4928214"/>
    <n v="8.4329999999999998"/>
  </r>
  <r>
    <x v="21"/>
    <x v="28"/>
    <n v="1017045.44"/>
    <x v="0"/>
    <n v="73.209999999999994"/>
    <n v="2.7959999999999998"/>
    <n v="136.5249182"/>
    <n v="8.4329999999999998"/>
  </r>
  <r>
    <x v="21"/>
    <x v="29"/>
    <n v="1081420.96"/>
    <x v="0"/>
    <n v="68.989999999999995"/>
    <n v="2.77"/>
    <n v="136.55701500000001"/>
    <n v="8.4329999999999998"/>
  </r>
  <r>
    <x v="21"/>
    <x v="30"/>
    <n v="1074535.8799999999"/>
    <x v="0"/>
    <n v="75.849999999999994"/>
    <n v="2.7349999999999999"/>
    <n v="136.58911180000001"/>
    <n v="8.4329999999999998"/>
  </r>
  <r>
    <x v="21"/>
    <x v="31"/>
    <n v="924174.4"/>
    <x v="1"/>
    <n v="68.599999999999994"/>
    <n v="2.7170000000000001"/>
    <n v="136.62120849999999"/>
    <n v="8.4329999999999998"/>
  </r>
  <r>
    <x v="21"/>
    <x v="32"/>
    <n v="918285.97"/>
    <x v="0"/>
    <n v="62.49"/>
    <n v="2.7160000000000002"/>
    <n v="136.63380710000001"/>
    <n v="8.4329999999999998"/>
  </r>
  <r>
    <x v="21"/>
    <x v="33"/>
    <n v="902779.25"/>
    <x v="0"/>
    <n v="65.14"/>
    <n v="2.718"/>
    <n v="136.63178210000001"/>
    <n v="8.4329999999999998"/>
  </r>
  <r>
    <x v="21"/>
    <x v="34"/>
    <n v="905987.17"/>
    <x v="0"/>
    <n v="69.31"/>
    <n v="2.7170000000000001"/>
    <n v="136.62975710000001"/>
    <n v="8.5719999999999992"/>
  </r>
  <r>
    <x v="21"/>
    <x v="35"/>
    <n v="1015051.62"/>
    <x v="0"/>
    <n v="56.32"/>
    <n v="2.7759999999999998"/>
    <n v="136.6277321"/>
    <n v="8.5719999999999992"/>
  </r>
  <r>
    <x v="21"/>
    <x v="36"/>
    <n v="954401.46"/>
    <x v="0"/>
    <n v="55.23"/>
    <n v="2.8780000000000001"/>
    <n v="136.64019350000001"/>
    <n v="8.5719999999999992"/>
  </r>
  <r>
    <x v="21"/>
    <x v="37"/>
    <n v="960998.52"/>
    <x v="0"/>
    <n v="50.24"/>
    <n v="2.919"/>
    <n v="136.68887100000001"/>
    <n v="8.5719999999999992"/>
  </r>
  <r>
    <x v="21"/>
    <x v="38"/>
    <n v="1025766.27"/>
    <x v="0"/>
    <n v="57.73"/>
    <n v="2.9380000000000002"/>
    <n v="136.73754840000001"/>
    <n v="8.5719999999999992"/>
  </r>
  <r>
    <x v="21"/>
    <x v="39"/>
    <n v="1006888.16"/>
    <x v="0"/>
    <n v="44.34"/>
    <n v="2.9380000000000002"/>
    <n v="136.78622580000001"/>
    <n v="8.5719999999999992"/>
  </r>
  <r>
    <x v="21"/>
    <x v="40"/>
    <n v="1043698.64"/>
    <x v="0"/>
    <n v="44.42"/>
    <n v="2.9609999999999999"/>
    <n v="136.83490320000001"/>
    <n v="8.5719999999999992"/>
  </r>
  <r>
    <x v="21"/>
    <x v="41"/>
    <n v="985896.44"/>
    <x v="0"/>
    <n v="48.62"/>
    <n v="3.03"/>
    <n v="136.7715714"/>
    <n v="8.5719999999999992"/>
  </r>
  <r>
    <x v="21"/>
    <x v="42"/>
    <n v="1564502.26"/>
    <x v="1"/>
    <n v="44.61"/>
    <n v="3.07"/>
    <n v="136.68957140000001"/>
    <n v="8.5719999999999992"/>
  </r>
  <r>
    <x v="21"/>
    <x v="43"/>
    <n v="1230514.58"/>
    <x v="0"/>
    <n v="39.42"/>
    <n v="3.0649999999999999"/>
    <n v="136.60757140000001"/>
    <n v="8.5719999999999992"/>
  </r>
  <r>
    <x v="21"/>
    <x v="44"/>
    <n v="1367202.84"/>
    <x v="0"/>
    <n v="28.43"/>
    <n v="3.1320000000000001"/>
    <n v="136.52557139999999"/>
    <n v="8.5719999999999992"/>
  </r>
  <r>
    <x v="21"/>
    <x v="45"/>
    <n v="1527682.99"/>
    <x v="0"/>
    <n v="30.46"/>
    <n v="3.1389999999999998"/>
    <n v="136.52928109999999"/>
    <n v="8.5719999999999992"/>
  </r>
  <r>
    <x v="21"/>
    <x v="46"/>
    <n v="1962445.04"/>
    <x v="0"/>
    <n v="29.76"/>
    <n v="3.15"/>
    <n v="136.597273"/>
    <n v="8.5719999999999992"/>
  </r>
  <r>
    <x v="21"/>
    <x v="47"/>
    <n v="774262.28"/>
    <x v="1"/>
    <n v="28.49"/>
    <n v="3.177"/>
    <n v="136.66526500000001"/>
    <n v="8.5719999999999992"/>
  </r>
  <r>
    <x v="21"/>
    <x v="48"/>
    <n v="873954.7"/>
    <x v="0"/>
    <n v="32.56"/>
    <n v="3.1930000000000001"/>
    <n v="136.73325689999999"/>
    <n v="8.4580000000000002"/>
  </r>
  <r>
    <x v="21"/>
    <x v="49"/>
    <n v="807535.52"/>
    <x v="0"/>
    <n v="24.76"/>
    <n v="3.2149999999999999"/>
    <n v="136.80347699999999"/>
    <n v="8.4580000000000002"/>
  </r>
  <r>
    <x v="21"/>
    <x v="50"/>
    <n v="855001.02"/>
    <x v="0"/>
    <n v="26.8"/>
    <n v="3.2320000000000002"/>
    <n v="136.88706569999999"/>
    <n v="8.4580000000000002"/>
  </r>
  <r>
    <x v="21"/>
    <x v="51"/>
    <n v="799369.15"/>
    <x v="0"/>
    <n v="20.61"/>
    <n v="3.2429999999999999"/>
    <n v="136.9706544"/>
    <n v="8.4580000000000002"/>
  </r>
  <r>
    <x v="21"/>
    <x v="52"/>
    <n v="946060.98"/>
    <x v="0"/>
    <n v="26.39"/>
    <n v="3.24"/>
    <n v="137.05424310000001"/>
    <n v="8.4580000000000002"/>
  </r>
  <r>
    <x v="21"/>
    <x v="53"/>
    <n v="1009206.33"/>
    <x v="1"/>
    <n v="28.89"/>
    <n v="3.2549999999999999"/>
    <n v="137.13783179999999"/>
    <n v="8.4580000000000002"/>
  </r>
  <r>
    <x v="21"/>
    <x v="54"/>
    <n v="975964.86"/>
    <x v="0"/>
    <n v="35.340000000000003"/>
    <n v="3.2629999999999999"/>
    <n v="137.2511849"/>
    <n v="8.4580000000000002"/>
  </r>
  <r>
    <x v="21"/>
    <x v="55"/>
    <n v="911245.43"/>
    <x v="0"/>
    <n v="30.23"/>
    <n v="3.2810000000000001"/>
    <n v="137.3764439"/>
    <n v="8.4580000000000002"/>
  </r>
  <r>
    <x v="21"/>
    <x v="56"/>
    <n v="997353.15"/>
    <x v="0"/>
    <n v="33.520000000000003"/>
    <n v="3.4369999999999998"/>
    <n v="137.5017028"/>
    <n v="8.4580000000000002"/>
  </r>
  <r>
    <x v="21"/>
    <x v="57"/>
    <n v="944587.23"/>
    <x v="0"/>
    <n v="41.42"/>
    <n v="3.6"/>
    <n v="137.62696170000001"/>
    <n v="8.4580000000000002"/>
  </r>
  <r>
    <x v="21"/>
    <x v="58"/>
    <n v="926427.12"/>
    <x v="0"/>
    <n v="43.38"/>
    <n v="3.6339999999999999"/>
    <n v="137.7398929"/>
    <n v="8.4580000000000002"/>
  </r>
  <r>
    <x v="21"/>
    <x v="59"/>
    <n v="933528.39"/>
    <x v="0"/>
    <n v="38.770000000000003"/>
    <n v="3.6240000000000001"/>
    <n v="137.84789290000001"/>
    <n v="8.4580000000000002"/>
  </r>
  <r>
    <x v="21"/>
    <x v="60"/>
    <n v="951588.37"/>
    <x v="0"/>
    <n v="36.04"/>
    <n v="3.6379999999999999"/>
    <n v="137.95589290000001"/>
    <n v="8.2520000000000007"/>
  </r>
  <r>
    <x v="21"/>
    <x v="61"/>
    <n v="969046.69"/>
    <x v="0"/>
    <n v="44.42"/>
    <n v="3.72"/>
    <n v="138.06389290000001"/>
    <n v="8.2520000000000007"/>
  </r>
  <r>
    <x v="21"/>
    <x v="62"/>
    <n v="1008557.04"/>
    <x v="0"/>
    <n v="48.88"/>
    <n v="3.823"/>
    <n v="138.16469520000001"/>
    <n v="8.2520000000000007"/>
  </r>
  <r>
    <x v="21"/>
    <x v="63"/>
    <n v="1152781.8999999999"/>
    <x v="0"/>
    <n v="47.76"/>
    <n v="3.919"/>
    <n v="138.24750359999999"/>
    <n v="8.2520000000000007"/>
  </r>
  <r>
    <x v="21"/>
    <x v="64"/>
    <n v="926133.8"/>
    <x v="0"/>
    <n v="57.2"/>
    <n v="3.988"/>
    <n v="138.3303119"/>
    <n v="8.2520000000000007"/>
  </r>
  <r>
    <x v="21"/>
    <x v="65"/>
    <n v="1032076.06"/>
    <x v="0"/>
    <n v="53.63"/>
    <n v="4.0780000000000003"/>
    <n v="138.41312020000001"/>
    <n v="8.2520000000000007"/>
  </r>
  <r>
    <x v="21"/>
    <x v="66"/>
    <n v="1001558.74"/>
    <x v="0"/>
    <n v="57.71"/>
    <n v="4.0949999999999998"/>
    <n v="138.49592860000001"/>
    <n v="8.2520000000000007"/>
  </r>
  <r>
    <x v="21"/>
    <x v="67"/>
    <n v="970307.83"/>
    <x v="0"/>
    <n v="58.56"/>
    <n v="4.101"/>
    <n v="138.58710600000001"/>
    <n v="8.2520000000000007"/>
  </r>
  <r>
    <x v="21"/>
    <x v="68"/>
    <n v="1021568.34"/>
    <x v="0"/>
    <n v="62.59"/>
    <n v="4.0339999999999998"/>
    <n v="138.6782834"/>
    <n v="8.2520000000000007"/>
  </r>
  <r>
    <x v="21"/>
    <x v="69"/>
    <n v="1125169.92"/>
    <x v="0"/>
    <n v="70.09"/>
    <n v="3.9729999999999999"/>
    <n v="138.76946079999999"/>
    <n v="8.2520000000000007"/>
  </r>
  <r>
    <x v="21"/>
    <x v="70"/>
    <n v="1060868.49"/>
    <x v="0"/>
    <n v="69.53"/>
    <n v="3.9239999999999999"/>
    <n v="138.86063820000001"/>
    <n v="8.2520000000000007"/>
  </r>
  <r>
    <x v="21"/>
    <x v="71"/>
    <n v="1042454.61"/>
    <x v="0"/>
    <n v="63.97"/>
    <n v="3.8730000000000002"/>
    <n v="139.00283329999999"/>
    <n v="8.2520000000000007"/>
  </r>
  <r>
    <x v="21"/>
    <x v="72"/>
    <n v="1012584.2"/>
    <x v="0"/>
    <n v="68.53"/>
    <n v="3.851"/>
    <n v="139.18329170000001"/>
    <n v="8.2520000000000007"/>
  </r>
  <r>
    <x v="21"/>
    <x v="73"/>
    <n v="1077491.68"/>
    <x v="0"/>
    <n v="70.8"/>
    <n v="3.8149999999999999"/>
    <n v="139.36375000000001"/>
    <n v="8.0229999999999997"/>
  </r>
  <r>
    <x v="21"/>
    <x v="74"/>
    <n v="1017050.65"/>
    <x v="0"/>
    <n v="74.22"/>
    <n v="3.7839999999999998"/>
    <n v="139.54420830000001"/>
    <n v="8.0229999999999997"/>
  </r>
  <r>
    <x v="21"/>
    <x v="75"/>
    <n v="961953.57"/>
    <x v="0"/>
    <n v="75.2"/>
    <n v="3.827"/>
    <n v="139.70063250000001"/>
    <n v="8.0229999999999997"/>
  </r>
  <r>
    <x v="21"/>
    <x v="76"/>
    <n v="964683.8"/>
    <x v="0"/>
    <n v="77.790000000000006"/>
    <n v="3.8820000000000001"/>
    <n v="139.7969712"/>
    <n v="8.0229999999999997"/>
  </r>
  <r>
    <x v="21"/>
    <x v="77"/>
    <n v="944958.69"/>
    <x v="0"/>
    <n v="75.319999999999993"/>
    <n v="3.8980000000000001"/>
    <n v="139.89330989999999"/>
    <n v="8.0229999999999997"/>
  </r>
  <r>
    <x v="21"/>
    <x v="78"/>
    <n v="983232.96"/>
    <x v="0"/>
    <n v="75.33"/>
    <n v="3.903"/>
    <n v="139.98964860000001"/>
    <n v="8.0229999999999997"/>
  </r>
  <r>
    <x v="21"/>
    <x v="79"/>
    <n v="991779.2"/>
    <x v="0"/>
    <n v="74.69"/>
    <n v="3.88"/>
    <n v="140.0859873"/>
    <n v="8.0229999999999997"/>
  </r>
  <r>
    <x v="21"/>
    <x v="80"/>
    <n v="973004.91"/>
    <x v="0"/>
    <n v="71.3"/>
    <n v="3.82"/>
    <n v="140.12892049999999"/>
    <n v="8.0229999999999997"/>
  </r>
  <r>
    <x v="21"/>
    <x v="81"/>
    <n v="1181815.31"/>
    <x v="0"/>
    <n v="72.22"/>
    <n v="3.7959999999999998"/>
    <n v="140.1629528"/>
    <n v="8.0229999999999997"/>
  </r>
  <r>
    <x v="21"/>
    <x v="82"/>
    <n v="912762.76"/>
    <x v="0"/>
    <n v="69.16"/>
    <n v="3.7839999999999998"/>
    <n v="140.19698500000001"/>
    <n v="8.0229999999999997"/>
  </r>
  <r>
    <x v="21"/>
    <x v="83"/>
    <n v="1004434.54"/>
    <x v="1"/>
    <n v="69.14"/>
    <n v="3.8090000000000002"/>
    <n v="140.23101729999999"/>
    <n v="8.0229999999999997"/>
  </r>
  <r>
    <x v="21"/>
    <x v="84"/>
    <n v="937420.65"/>
    <x v="0"/>
    <n v="68.08"/>
    <n v="3.8090000000000002"/>
    <n v="140.27350000000001"/>
    <n v="8.0229999999999997"/>
  </r>
  <r>
    <x v="21"/>
    <x v="85"/>
    <n v="899834.75"/>
    <x v="0"/>
    <n v="62.36"/>
    <n v="3.758"/>
    <n v="140.32724999999999"/>
    <n v="8.0229999999999997"/>
  </r>
  <r>
    <x v="21"/>
    <x v="86"/>
    <n v="953314.16"/>
    <x v="0"/>
    <n v="69.78"/>
    <n v="3.6840000000000002"/>
    <n v="140.381"/>
    <n v="8.0229999999999997"/>
  </r>
  <r>
    <x v="21"/>
    <x v="87"/>
    <n v="993436.67"/>
    <x v="0"/>
    <n v="56.44"/>
    <n v="3.633"/>
    <n v="140.43475000000001"/>
    <n v="7.7060000000000004"/>
  </r>
  <r>
    <x v="21"/>
    <x v="88"/>
    <n v="944337.32"/>
    <x v="0"/>
    <n v="62.63"/>
    <n v="3.5830000000000002"/>
    <n v="140.47841940000001"/>
    <n v="7.7060000000000004"/>
  </r>
  <r>
    <x v="21"/>
    <x v="89"/>
    <n v="981567.22"/>
    <x v="0"/>
    <n v="59.3"/>
    <n v="3.6179999999999999"/>
    <n v="140.4616048"/>
    <n v="7.7060000000000004"/>
  </r>
  <r>
    <x v="21"/>
    <x v="90"/>
    <n v="1099351.68"/>
    <x v="0"/>
    <n v="49.31"/>
    <n v="3.6040000000000001"/>
    <n v="140.44479029999999"/>
    <n v="7.7060000000000004"/>
  </r>
  <r>
    <x v="21"/>
    <x v="91"/>
    <n v="1106575.5900000001"/>
    <x v="0"/>
    <n v="42.81"/>
    <n v="3.5859999999999999"/>
    <n v="140.42797580000001"/>
    <n v="7.7060000000000004"/>
  </r>
  <r>
    <x v="21"/>
    <x v="92"/>
    <n v="1051740.29"/>
    <x v="0"/>
    <n v="47.8"/>
    <n v="3.57"/>
    <n v="140.4111613"/>
    <n v="7.7060000000000004"/>
  </r>
  <r>
    <x v="21"/>
    <x v="93"/>
    <n v="1007579.44"/>
    <x v="0"/>
    <n v="50.62"/>
    <n v="3.5710000000000002"/>
    <n v="140.4127857"/>
    <n v="7.7060000000000004"/>
  </r>
  <r>
    <x v="21"/>
    <x v="94"/>
    <n v="1535857.49"/>
    <x v="1"/>
    <n v="46.28"/>
    <n v="3.536"/>
    <n v="140.42178569999999"/>
    <n v="7.7060000000000004"/>
  </r>
  <r>
    <x v="21"/>
    <x v="95"/>
    <n v="1167621.1399999999"/>
    <x v="0"/>
    <n v="49.11"/>
    <n v="3.5009999999999999"/>
    <n v="140.4307857"/>
    <n v="7.7060000000000004"/>
  </r>
  <r>
    <x v="21"/>
    <x v="96"/>
    <n v="1308967.44"/>
    <x v="0"/>
    <n v="45.35"/>
    <n v="3.47"/>
    <n v="140.43978569999999"/>
    <n v="7.7060000000000004"/>
  </r>
  <r>
    <x v="21"/>
    <x v="97"/>
    <n v="1453153.33"/>
    <x v="0"/>
    <n v="39.11"/>
    <n v="3.4449999999999998"/>
    <n v="140.4700795"/>
    <n v="7.7060000000000004"/>
  </r>
  <r>
    <x v="21"/>
    <x v="98"/>
    <n v="1863195.68"/>
    <x v="0"/>
    <n v="39.83"/>
    <n v="3.4129999999999998"/>
    <n v="140.52876499999999"/>
    <n v="7.7060000000000004"/>
  </r>
  <r>
    <x v="21"/>
    <x v="99"/>
    <n v="982661.14"/>
    <x v="1"/>
    <n v="36.28"/>
    <n v="3.4020000000000001"/>
    <n v="140.58745049999999"/>
    <n v="7.7060000000000004"/>
  </r>
  <r>
    <x v="21"/>
    <x v="100"/>
    <n v="895358.2"/>
    <x v="0"/>
    <n v="34.61"/>
    <n v="3.4390000000000001"/>
    <n v="140.64613589999999"/>
    <n v="7.5030000000000001"/>
  </r>
  <r>
    <x v="21"/>
    <x v="101"/>
    <n v="855437.57"/>
    <x v="0"/>
    <n v="39"/>
    <n v="3.5230000000000001"/>
    <n v="140.70482139999999"/>
    <n v="7.5030000000000001"/>
  </r>
  <r>
    <x v="21"/>
    <x v="102"/>
    <n v="897027.44"/>
    <x v="0"/>
    <n v="29.16"/>
    <n v="3.5419999999999998"/>
    <n v="140.80861179999999"/>
    <n v="7.5030000000000001"/>
  </r>
  <r>
    <x v="21"/>
    <x v="103"/>
    <n v="786459.23"/>
    <x v="0"/>
    <n v="35.68"/>
    <n v="3.5680000000000001"/>
    <n v="140.91240210000001"/>
    <n v="7.5030000000000001"/>
  </r>
  <r>
    <x v="21"/>
    <x v="104"/>
    <n v="958487.75"/>
    <x v="0"/>
    <n v="40.58"/>
    <n v="3.633"/>
    <n v="141.01619239999999"/>
    <n v="7.5030000000000001"/>
  </r>
  <r>
    <x v="21"/>
    <x v="105"/>
    <n v="1034448.07"/>
    <x v="1"/>
    <n v="35.68"/>
    <n v="3.6549999999999998"/>
    <n v="141.11998270000001"/>
    <n v="7.5030000000000001"/>
  </r>
  <r>
    <x v="21"/>
    <x v="106"/>
    <n v="1004749.41"/>
    <x v="0"/>
    <n v="36.25"/>
    <n v="3.7029999999999998"/>
    <n v="141.21403570000001"/>
    <n v="7.5030000000000001"/>
  </r>
  <r>
    <x v="21"/>
    <x v="107"/>
    <n v="912958.95"/>
    <x v="0"/>
    <n v="39"/>
    <n v="3.7509999999999999"/>
    <n v="141.30078570000001"/>
    <n v="7.5030000000000001"/>
  </r>
  <r>
    <x v="21"/>
    <x v="108"/>
    <n v="974866.65"/>
    <x v="0"/>
    <n v="37.47"/>
    <n v="3.827"/>
    <n v="141.3875357"/>
    <n v="7.5030000000000001"/>
  </r>
  <r>
    <x v="21"/>
    <x v="109"/>
    <n v="991127.01"/>
    <x v="0"/>
    <n v="41.72"/>
    <n v="3.8759999999999999"/>
    <n v="141.4742857"/>
    <n v="7.5030000000000001"/>
  </r>
  <r>
    <x v="21"/>
    <x v="110"/>
    <n v="966780.01"/>
    <x v="0"/>
    <n v="46.06"/>
    <n v="3.867"/>
    <n v="141.55477999999999"/>
    <n v="7.5030000000000001"/>
  </r>
  <r>
    <x v="21"/>
    <x v="111"/>
    <n v="992774.4"/>
    <x v="0"/>
    <n v="54.68"/>
    <n v="3.8889999999999998"/>
    <n v="141.6269332"/>
    <n v="7.5030000000000001"/>
  </r>
  <r>
    <x v="21"/>
    <x v="112"/>
    <n v="965769.93"/>
    <x v="0"/>
    <n v="46.4"/>
    <n v="3.9209999999999998"/>
    <n v="141.6990864"/>
    <n v="7.5030000000000001"/>
  </r>
  <r>
    <x v="21"/>
    <x v="113"/>
    <n v="1197489.6599999999"/>
    <x v="0"/>
    <n v="46.38"/>
    <n v="3.9569999999999999"/>
    <n v="141.7712396"/>
    <n v="7.6710000000000003"/>
  </r>
  <r>
    <x v="21"/>
    <x v="114"/>
    <n v="939118.24"/>
    <x v="0"/>
    <n v="49.89"/>
    <n v="4.0250000000000004"/>
    <n v="141.8433929"/>
    <n v="7.6710000000000003"/>
  </r>
  <r>
    <x v="21"/>
    <x v="115"/>
    <n v="1000342.87"/>
    <x v="0"/>
    <n v="58.81"/>
    <n v="4.0460000000000003"/>
    <n v="141.90152620000001"/>
    <n v="7.6710000000000003"/>
  </r>
  <r>
    <x v="21"/>
    <x v="116"/>
    <n v="922539.94"/>
    <x v="0"/>
    <n v="51.42"/>
    <n v="4.0229999999999997"/>
    <n v="141.95965949999999"/>
    <n v="7.6710000000000003"/>
  </r>
  <r>
    <x v="21"/>
    <x v="117"/>
    <n v="1005083.31"/>
    <x v="0"/>
    <n v="50.75"/>
    <n v="3.9910000000000001"/>
    <n v="142.01779289999999"/>
    <n v="7.6710000000000003"/>
  </r>
  <r>
    <x v="21"/>
    <x v="118"/>
    <n v="997868.63"/>
    <x v="0"/>
    <n v="56.72"/>
    <n v="3.9470000000000001"/>
    <n v="142.0759262"/>
    <n v="7.6710000000000003"/>
  </r>
  <r>
    <x v="21"/>
    <x v="119"/>
    <n v="986612.02"/>
    <x v="0"/>
    <n v="61.9"/>
    <n v="3.899"/>
    <n v="142.09701150000001"/>
    <n v="7.6710000000000003"/>
  </r>
  <r>
    <x v="21"/>
    <x v="120"/>
    <n v="1047297.38"/>
    <x v="0"/>
    <n v="62.39"/>
    <n v="3.85"/>
    <n v="142.10327760000001"/>
    <n v="7.6710000000000003"/>
  </r>
  <r>
    <x v="21"/>
    <x v="121"/>
    <n v="1102857.3700000001"/>
    <x v="0"/>
    <n v="70.010000000000005"/>
    <n v="3.798"/>
    <n v="142.10954380000001"/>
    <n v="7.6710000000000003"/>
  </r>
  <r>
    <x v="21"/>
    <x v="122"/>
    <n v="1061134.3700000001"/>
    <x v="0"/>
    <n v="61.71"/>
    <n v="3.746"/>
    <n v="142.11580989999999"/>
    <n v="7.6710000000000003"/>
  </r>
  <r>
    <x v="21"/>
    <x v="123"/>
    <n v="1061219.19"/>
    <x v="0"/>
    <n v="66.56"/>
    <n v="3.6829999999999998"/>
    <n v="142.12925480000001"/>
    <n v="7.6710000000000003"/>
  </r>
  <r>
    <x v="21"/>
    <x v="124"/>
    <n v="1112449.3"/>
    <x v="0"/>
    <n v="70.61"/>
    <n v="3.629"/>
    <n v="142.16064639999999"/>
    <n v="7.6710000000000003"/>
  </r>
  <r>
    <x v="21"/>
    <x v="125"/>
    <n v="1053881.78"/>
    <x v="0"/>
    <n v="70.989999999999995"/>
    <n v="3.577"/>
    <n v="142.19203809999999"/>
    <n v="7.6710000000000003"/>
  </r>
  <r>
    <x v="21"/>
    <x v="126"/>
    <n v="1097786.1399999999"/>
    <x v="0"/>
    <n v="77.41"/>
    <n v="3.5379999999999998"/>
    <n v="142.22342979999999"/>
    <n v="7.7530000000000001"/>
  </r>
  <r>
    <x v="21"/>
    <x v="127"/>
    <n v="971361.38"/>
    <x v="0"/>
    <n v="75.81"/>
    <n v="3.5609999999999999"/>
    <n v="142.2548214"/>
    <n v="7.7530000000000001"/>
  </r>
  <r>
    <x v="21"/>
    <x v="128"/>
    <n v="991969.37"/>
    <x v="0"/>
    <n v="76.569999999999993"/>
    <n v="3.61"/>
    <n v="142.2337569"/>
    <n v="7.7530000000000001"/>
  </r>
  <r>
    <x v="21"/>
    <x v="129"/>
    <n v="925731.21"/>
    <x v="0"/>
    <n v="73.52"/>
    <n v="3.7010000000000001"/>
    <n v="142.21269240000001"/>
    <n v="7.7530000000000001"/>
  </r>
  <r>
    <x v="21"/>
    <x v="130"/>
    <n v="1007257.83"/>
    <x v="0"/>
    <n v="72.989999999999995"/>
    <n v="3.698"/>
    <n v="142.19162789999999"/>
    <n v="7.7530000000000001"/>
  </r>
  <r>
    <x v="21"/>
    <x v="131"/>
    <n v="973812.79"/>
    <x v="0"/>
    <n v="76.739999999999995"/>
    <n v="3.7719999999999998"/>
    <n v="142.17056339999999"/>
    <n v="7.7530000000000001"/>
  </r>
  <r>
    <x v="21"/>
    <x v="132"/>
    <n v="981273.26"/>
    <x v="0"/>
    <n v="74.92"/>
    <n v="3.84"/>
    <n v="142.21573849999999"/>
    <n v="7.7530000000000001"/>
  </r>
  <r>
    <x v="21"/>
    <x v="133"/>
    <n v="1060906.75"/>
    <x v="0"/>
    <n v="70.42"/>
    <n v="3.8740000000000001"/>
    <n v="142.31059329999999"/>
    <n v="7.7530000000000001"/>
  </r>
  <r>
    <x v="21"/>
    <x v="134"/>
    <n v="1022270.86"/>
    <x v="0"/>
    <n v="71.930000000000007"/>
    <n v="3.8839999999999999"/>
    <n v="142.4054482"/>
    <n v="7.7530000000000001"/>
  </r>
  <r>
    <x v="21"/>
    <x v="135"/>
    <n v="996628.8"/>
    <x v="1"/>
    <n v="73.3"/>
    <n v="3.9209999999999998"/>
    <n v="142.500303"/>
    <n v="7.7530000000000001"/>
  </r>
  <r>
    <x v="21"/>
    <x v="136"/>
    <n v="918049.28000000003"/>
    <x v="0"/>
    <n v="66.42"/>
    <n v="3.988"/>
    <n v="142.59388329999999"/>
    <n v="7.7530000000000001"/>
  </r>
  <r>
    <x v="21"/>
    <x v="137"/>
    <n v="921612.53"/>
    <x v="0"/>
    <n v="63.38"/>
    <n v="4.056"/>
    <n v="142.6798167"/>
    <n v="7.7530000000000001"/>
  </r>
  <r>
    <x v="21"/>
    <x v="138"/>
    <n v="976479.51"/>
    <x v="0"/>
    <n v="62.17"/>
    <n v="4.0179999999999998"/>
    <n v="142.76575"/>
    <n v="7.7530000000000001"/>
  </r>
  <r>
    <x v="21"/>
    <x v="139"/>
    <n v="1009887.36"/>
    <x v="0"/>
    <n v="62.09"/>
    <n v="4.0270000000000001"/>
    <n v="142.85168329999999"/>
    <n v="7.5430000000000001"/>
  </r>
  <r>
    <x v="21"/>
    <x v="140"/>
    <n v="1004039.84"/>
    <x v="0"/>
    <n v="54.18"/>
    <n v="4.0289999999999999"/>
    <n v="142.93761670000001"/>
    <n v="7.5430000000000001"/>
  </r>
  <r>
    <x v="21"/>
    <x v="141"/>
    <n v="978027.95"/>
    <x v="0"/>
    <n v="55.28"/>
    <n v="4"/>
    <n v="142.8633629"/>
    <n v="7.5430000000000001"/>
  </r>
  <r>
    <x v="21"/>
    <x v="142"/>
    <n v="1094422.69"/>
    <x v="0"/>
    <n v="57.58"/>
    <n v="3.9169999999999998"/>
    <n v="142.7624113"/>
    <n v="7.5430000000000001"/>
  </r>
  <r>
    <x v="22"/>
    <x v="0"/>
    <n v="1364721.58"/>
    <x v="0"/>
    <n v="15.25"/>
    <n v="2.7879999999999998"/>
    <n v="131.5279032"/>
    <n v="5.8920000000000003"/>
  </r>
  <r>
    <x v="22"/>
    <x v="1"/>
    <n v="1380892.08"/>
    <x v="1"/>
    <n v="18.75"/>
    <n v="2.7709999999999999"/>
    <n v="131.58661290000001"/>
    <n v="5.8920000000000003"/>
  </r>
  <r>
    <x v="22"/>
    <x v="2"/>
    <n v="1319588.04"/>
    <x v="0"/>
    <n v="26.7"/>
    <n v="2.7469999999999999"/>
    <n v="131.637"/>
    <n v="5.8920000000000003"/>
  </r>
  <r>
    <x v="22"/>
    <x v="3"/>
    <n v="1198709.6499999999"/>
    <x v="0"/>
    <n v="32.68"/>
    <n v="2.7530000000000001"/>
    <n v="131.68600000000001"/>
    <n v="5.8920000000000003"/>
  </r>
  <r>
    <x v="22"/>
    <x v="4"/>
    <n v="1311175.93"/>
    <x v="0"/>
    <n v="33.15"/>
    <n v="2.766"/>
    <n v="131.73500000000001"/>
    <n v="5.8920000000000003"/>
  </r>
  <r>
    <x v="22"/>
    <x v="5"/>
    <n v="1408082.96"/>
    <x v="0"/>
    <n v="36.07"/>
    <n v="2.8050000000000002"/>
    <n v="131.78399999999999"/>
    <n v="5.8920000000000003"/>
  </r>
  <r>
    <x v="22"/>
    <x v="6"/>
    <n v="1229008.32"/>
    <x v="0"/>
    <n v="43.01"/>
    <n v="2.8340000000000001"/>
    <n v="131.8242903"/>
    <n v="5.8920000000000003"/>
  </r>
  <r>
    <x v="22"/>
    <x v="7"/>
    <n v="1310701.8"/>
    <x v="0"/>
    <n v="38.590000000000003"/>
    <n v="2.831"/>
    <n v="131.86312899999999"/>
    <n v="5.8920000000000003"/>
  </r>
  <r>
    <x v="22"/>
    <x v="8"/>
    <n v="1556627.62"/>
    <x v="0"/>
    <n v="40.5"/>
    <n v="2.8260000000000001"/>
    <n v="131.9019677"/>
    <n v="5.4349999999999996"/>
  </r>
  <r>
    <x v="22"/>
    <x v="9"/>
    <n v="1264434.7"/>
    <x v="0"/>
    <n v="56.82"/>
    <n v="2.8490000000000002"/>
    <n v="131.94080650000001"/>
    <n v="5.4349999999999996"/>
  </r>
  <r>
    <x v="22"/>
    <x v="10"/>
    <n v="1288823.72"/>
    <x v="0"/>
    <n v="44.25"/>
    <n v="2.8849999999999998"/>
    <n v="131.98089999999999"/>
    <n v="5.4349999999999996"/>
  </r>
  <r>
    <x v="22"/>
    <x v="11"/>
    <n v="1315023.08"/>
    <x v="0"/>
    <n v="46.4"/>
    <n v="2.895"/>
    <n v="132.0226667"/>
    <n v="5.4349999999999996"/>
  </r>
  <r>
    <x v="22"/>
    <x v="12"/>
    <n v="1259414.52"/>
    <x v="0"/>
    <n v="45.47"/>
    <n v="2.9350000000000001"/>
    <n v="132.06443329999999"/>
    <n v="5.4349999999999996"/>
  </r>
  <r>
    <x v="22"/>
    <x v="13"/>
    <n v="1365552.28"/>
    <x v="0"/>
    <n v="61.04"/>
    <n v="2.9809999999999999"/>
    <n v="132.1062"/>
    <n v="5.4349999999999996"/>
  </r>
  <r>
    <x v="22"/>
    <x v="14"/>
    <n v="1303055.0900000001"/>
    <x v="0"/>
    <n v="45.33"/>
    <n v="2.9830000000000001"/>
    <n v="132.152129"/>
    <n v="5.4349999999999996"/>
  </r>
  <r>
    <x v="22"/>
    <x v="15"/>
    <n v="1327424.28"/>
    <x v="0"/>
    <n v="57.94"/>
    <n v="2.9609999999999999"/>
    <n v="132.2230323"/>
    <n v="5.4349999999999996"/>
  </r>
  <r>
    <x v="22"/>
    <x v="16"/>
    <n v="1571158.56"/>
    <x v="0"/>
    <n v="69.260000000000005"/>
    <n v="2.9060000000000001"/>
    <n v="132.2939355"/>
    <n v="5.4349999999999996"/>
  </r>
  <r>
    <x v="22"/>
    <x v="17"/>
    <n v="1514435.51"/>
    <x v="0"/>
    <n v="64.94"/>
    <n v="2.8570000000000002"/>
    <n v="132.36483870000001"/>
    <n v="5.4349999999999996"/>
  </r>
  <r>
    <x v="22"/>
    <x v="18"/>
    <n v="1439432.06"/>
    <x v="0"/>
    <n v="58.35"/>
    <n v="2.83"/>
    <n v="132.43574190000001"/>
    <n v="5.4349999999999996"/>
  </r>
  <r>
    <x v="22"/>
    <x v="19"/>
    <n v="1507708.93"/>
    <x v="0"/>
    <n v="60.29"/>
    <n v="2.8050000000000002"/>
    <n v="132.47333330000001"/>
    <n v="5.4349999999999996"/>
  </r>
  <r>
    <x v="22"/>
    <x v="20"/>
    <n v="1415204.88"/>
    <x v="0"/>
    <n v="69.83"/>
    <n v="2.81"/>
    <n v="132.49760000000001"/>
    <n v="5.4349999999999996"/>
  </r>
  <r>
    <x v="22"/>
    <x v="21"/>
    <n v="1549113.18"/>
    <x v="0"/>
    <n v="64.760000000000005"/>
    <n v="2.8149999999999999"/>
    <n v="132.5218667"/>
    <n v="5.3259999999999996"/>
  </r>
  <r>
    <x v="22"/>
    <x v="22"/>
    <n v="1417535.78"/>
    <x v="0"/>
    <n v="77.16"/>
    <n v="2.806"/>
    <n v="132.54613330000001"/>
    <n v="5.3259999999999996"/>
  </r>
  <r>
    <x v="22"/>
    <x v="23"/>
    <n v="1413124.11"/>
    <x v="0"/>
    <n v="73.94"/>
    <n v="2.7959999999999998"/>
    <n v="132.5667742"/>
    <n v="5.3259999999999996"/>
  </r>
  <r>
    <x v="22"/>
    <x v="24"/>
    <n v="1333634.45"/>
    <x v="0"/>
    <n v="70.2"/>
    <n v="2.7839999999999998"/>
    <n v="132.5825806"/>
    <n v="5.3259999999999996"/>
  </r>
  <r>
    <x v="22"/>
    <x v="25"/>
    <n v="1319773.55"/>
    <x v="0"/>
    <n v="69.709999999999994"/>
    <n v="2.7919999999999998"/>
    <n v="132.5983871"/>
    <n v="5.3259999999999996"/>
  </r>
  <r>
    <x v="22"/>
    <x v="26"/>
    <n v="1417013.07"/>
    <x v="0"/>
    <n v="70.03"/>
    <n v="2.7919999999999998"/>
    <n v="132.6141935"/>
    <n v="5.3259999999999996"/>
  </r>
  <r>
    <x v="22"/>
    <x v="27"/>
    <n v="1346345.97"/>
    <x v="0"/>
    <n v="67.430000000000007"/>
    <n v="2.81"/>
    <n v="132.63"/>
    <n v="5.3259999999999996"/>
  </r>
  <r>
    <x v="22"/>
    <x v="28"/>
    <n v="1439901.05"/>
    <x v="0"/>
    <n v="68.650000000000006"/>
    <n v="2.7959999999999998"/>
    <n v="132.66161289999999"/>
    <n v="5.3259999999999996"/>
  </r>
  <r>
    <x v="22"/>
    <x v="29"/>
    <n v="1584623.36"/>
    <x v="0"/>
    <n v="63.25"/>
    <n v="2.77"/>
    <n v="132.69322579999999"/>
    <n v="5.3259999999999996"/>
  </r>
  <r>
    <x v="22"/>
    <x v="30"/>
    <n v="1405119.23"/>
    <x v="0"/>
    <n v="72.91"/>
    <n v="2.7349999999999999"/>
    <n v="132.72483869999999"/>
    <n v="5.3259999999999996"/>
  </r>
  <r>
    <x v="22"/>
    <x v="31"/>
    <n v="1272842.8500000001"/>
    <x v="1"/>
    <n v="63.21"/>
    <n v="2.7170000000000001"/>
    <n v="132.75645159999999"/>
    <n v="5.3259999999999996"/>
  </r>
  <r>
    <x v="22"/>
    <x v="32"/>
    <n v="1159132.58"/>
    <x v="0"/>
    <n v="55.3"/>
    <n v="2.7160000000000002"/>
    <n v="132.76706669999999"/>
    <n v="5.3259999999999996"/>
  </r>
  <r>
    <x v="22"/>
    <x v="33"/>
    <n v="1099055.6499999999"/>
    <x v="0"/>
    <n v="57.75"/>
    <n v="2.718"/>
    <n v="132.76193330000001"/>
    <n v="5.3259999999999996"/>
  </r>
  <r>
    <x v="22"/>
    <x v="34"/>
    <n v="1129909.44"/>
    <x v="0"/>
    <n v="62.07"/>
    <n v="2.7170000000000001"/>
    <n v="132.7568"/>
    <n v="5.2869999999999999"/>
  </r>
  <r>
    <x v="22"/>
    <x v="35"/>
    <n v="1179851.68"/>
    <x v="0"/>
    <n v="50.75"/>
    <n v="2.7759999999999998"/>
    <n v="132.75166669999999"/>
    <n v="5.2869999999999999"/>
  </r>
  <r>
    <x v="22"/>
    <x v="36"/>
    <n v="1119809.71"/>
    <x v="0"/>
    <n v="45.55"/>
    <n v="2.8780000000000001"/>
    <n v="132.7633548"/>
    <n v="5.2869999999999999"/>
  </r>
  <r>
    <x v="22"/>
    <x v="37"/>
    <n v="1147503.92"/>
    <x v="0"/>
    <n v="43.19"/>
    <n v="2.919"/>
    <n v="132.8170968"/>
    <n v="5.2869999999999999"/>
  </r>
  <r>
    <x v="22"/>
    <x v="38"/>
    <n v="1112871.23"/>
    <x v="0"/>
    <n v="48.68"/>
    <n v="2.9380000000000002"/>
    <n v="132.87083870000001"/>
    <n v="5.2869999999999999"/>
  </r>
  <r>
    <x v="22"/>
    <x v="39"/>
    <n v="1203119.96"/>
    <x v="0"/>
    <n v="36.6"/>
    <n v="2.9380000000000002"/>
    <n v="132.92458060000001"/>
    <n v="5.2869999999999999"/>
  </r>
  <r>
    <x v="22"/>
    <x v="40"/>
    <n v="1387953.75"/>
    <x v="0"/>
    <n v="35.590000000000003"/>
    <n v="2.9609999999999999"/>
    <n v="132.97832260000001"/>
    <n v="5.2869999999999999"/>
  </r>
  <r>
    <x v="22"/>
    <x v="41"/>
    <n v="1314994.32"/>
    <x v="0"/>
    <n v="41.66"/>
    <n v="3.03"/>
    <n v="132.91720000000001"/>
    <n v="5.2869999999999999"/>
  </r>
  <r>
    <x v="22"/>
    <x v="42"/>
    <n v="2072685.05"/>
    <x v="1"/>
    <n v="34.950000000000003"/>
    <n v="3.07"/>
    <n v="132.8369333"/>
    <n v="5.2869999999999999"/>
  </r>
  <r>
    <x v="22"/>
    <x v="43"/>
    <n v="1617025.41"/>
    <x v="0"/>
    <n v="34.299999999999997"/>
    <n v="3.0649999999999999"/>
    <n v="132.75666670000001"/>
    <n v="5.2869999999999999"/>
  </r>
  <r>
    <x v="22"/>
    <x v="44"/>
    <n v="1872365.99"/>
    <x v="0"/>
    <n v="20.12"/>
    <n v="3.1320000000000001"/>
    <n v="132.6764"/>
    <n v="5.2869999999999999"/>
  </r>
  <r>
    <x v="22"/>
    <x v="45"/>
    <n v="2238573.48"/>
    <x v="0"/>
    <n v="23.05"/>
    <n v="3.1389999999999998"/>
    <n v="132.6804516"/>
    <n v="5.2869999999999999"/>
  </r>
  <r>
    <x v="22"/>
    <x v="46"/>
    <n v="2734277.1"/>
    <x v="0"/>
    <n v="22.96"/>
    <n v="3.15"/>
    <n v="132.74774189999999"/>
    <n v="5.2869999999999999"/>
  </r>
  <r>
    <x v="22"/>
    <x v="47"/>
    <n v="1169773.8500000001"/>
    <x v="1"/>
    <n v="19.05"/>
    <n v="3.177"/>
    <n v="132.81503230000001"/>
    <n v="5.2869999999999999"/>
  </r>
  <r>
    <x v="22"/>
    <x v="48"/>
    <n v="1122034.48"/>
    <x v="0"/>
    <n v="27.81"/>
    <n v="3.1930000000000001"/>
    <n v="132.88232260000001"/>
    <n v="5.1139999999999999"/>
  </r>
  <r>
    <x v="22"/>
    <x v="49"/>
    <n v="1016756.1"/>
    <x v="0"/>
    <n v="18.2"/>
    <n v="3.2149999999999999"/>
    <n v="132.9510645"/>
    <n v="5.1139999999999999"/>
  </r>
  <r>
    <x v="22"/>
    <x v="50"/>
    <n v="1110706.06"/>
    <x v="0"/>
    <n v="15.58"/>
    <n v="3.2320000000000002"/>
    <n v="133.02851609999999"/>
    <n v="5.1139999999999999"/>
  </r>
  <r>
    <x v="22"/>
    <x v="51"/>
    <n v="1083657.6100000001"/>
    <x v="0"/>
    <n v="10.91"/>
    <n v="3.2429999999999999"/>
    <n v="133.10596770000001"/>
    <n v="5.1139999999999999"/>
  </r>
  <r>
    <x v="22"/>
    <x v="52"/>
    <n v="1159438.53"/>
    <x v="0"/>
    <n v="14.5"/>
    <n v="3.24"/>
    <n v="133.18341939999999"/>
    <n v="5.1139999999999999"/>
  </r>
  <r>
    <x v="22"/>
    <x v="53"/>
    <n v="1249786.3999999999"/>
    <x v="1"/>
    <n v="21.52"/>
    <n v="3.2549999999999999"/>
    <n v="133.26087100000001"/>
    <n v="5.1139999999999999"/>
  </r>
  <r>
    <x v="22"/>
    <x v="54"/>
    <n v="1369971.57"/>
    <x v="0"/>
    <n v="26.6"/>
    <n v="3.2629999999999999"/>
    <n v="133.37014289999999"/>
    <n v="5.1139999999999999"/>
  </r>
  <r>
    <x v="22"/>
    <x v="55"/>
    <n v="1206917.2"/>
    <x v="0"/>
    <n v="17"/>
    <n v="3.2810000000000001"/>
    <n v="133.4921429"/>
    <n v="5.1139999999999999"/>
  </r>
  <r>
    <x v="22"/>
    <x v="56"/>
    <n v="1301185.28"/>
    <x v="0"/>
    <n v="20.67"/>
    <n v="3.4369999999999998"/>
    <n v="133.61414289999999"/>
    <n v="5.1139999999999999"/>
  </r>
  <r>
    <x v="22"/>
    <x v="57"/>
    <n v="1042043.55"/>
    <x v="0"/>
    <n v="29.36"/>
    <n v="3.6"/>
    <n v="133.7361429"/>
    <n v="5.1139999999999999"/>
  </r>
  <r>
    <x v="22"/>
    <x v="58"/>
    <n v="1203682.6200000001"/>
    <x v="0"/>
    <n v="37.28"/>
    <n v="3.6339999999999999"/>
    <n v="133.8492258"/>
    <n v="5.1139999999999999"/>
  </r>
  <r>
    <x v="22"/>
    <x v="59"/>
    <n v="1148624.83"/>
    <x v="0"/>
    <n v="29.11"/>
    <n v="3.6240000000000001"/>
    <n v="133.95874190000001"/>
    <n v="5.1139999999999999"/>
  </r>
  <r>
    <x v="22"/>
    <x v="60"/>
    <n v="1182694.95"/>
    <x v="0"/>
    <n v="29.44"/>
    <n v="3.6379999999999999"/>
    <n v="134.06825810000001"/>
    <n v="4.7809999999999997"/>
  </r>
  <r>
    <x v="22"/>
    <x v="61"/>
    <n v="1248901.98"/>
    <x v="0"/>
    <n v="36.74"/>
    <n v="3.72"/>
    <n v="134.17777419999999"/>
    <n v="4.7809999999999997"/>
  </r>
  <r>
    <x v="22"/>
    <x v="62"/>
    <n v="1263680.51"/>
    <x v="0"/>
    <n v="45.51"/>
    <n v="3.823"/>
    <n v="134.2784667"/>
    <n v="4.7809999999999997"/>
  </r>
  <r>
    <x v="22"/>
    <x v="63"/>
    <n v="1447301.24"/>
    <x v="0"/>
    <n v="39.619999999999997"/>
    <n v="3.919"/>
    <n v="134.3571"/>
    <n v="4.7809999999999997"/>
  </r>
  <r>
    <x v="22"/>
    <x v="64"/>
    <n v="1173307.3999999999"/>
    <x v="0"/>
    <n v="54.2"/>
    <n v="3.988"/>
    <n v="134.43573330000001"/>
    <n v="4.7809999999999997"/>
  </r>
  <r>
    <x v="22"/>
    <x v="65"/>
    <n v="1359921.13"/>
    <x v="0"/>
    <n v="50.07"/>
    <n v="4.0780000000000003"/>
    <n v="134.51436670000001"/>
    <n v="4.7809999999999997"/>
  </r>
  <r>
    <x v="22"/>
    <x v="66"/>
    <n v="1254914.8700000001"/>
    <x v="0"/>
    <n v="55.12"/>
    <n v="4.0949999999999998"/>
    <n v="134.59299999999999"/>
    <n v="4.7809999999999997"/>
  </r>
  <r>
    <x v="22"/>
    <x v="67"/>
    <n v="1337617.55"/>
    <x v="0"/>
    <n v="56.67"/>
    <n v="4.101"/>
    <n v="134.68038709999999"/>
    <n v="4.7809999999999997"/>
  </r>
  <r>
    <x v="22"/>
    <x v="68"/>
    <n v="1361945.18"/>
    <x v="0"/>
    <n v="63.27"/>
    <n v="4.0339999999999998"/>
    <n v="134.76777419999999"/>
    <n v="4.7809999999999997"/>
  </r>
  <r>
    <x v="22"/>
    <x v="69"/>
    <n v="1562161.97"/>
    <x v="0"/>
    <n v="67.209999999999994"/>
    <n v="3.9729999999999999"/>
    <n v="134.85516129999999"/>
    <n v="4.7809999999999997"/>
  </r>
  <r>
    <x v="22"/>
    <x v="70"/>
    <n v="1447028.06"/>
    <x v="0"/>
    <n v="65.23"/>
    <n v="3.9239999999999999"/>
    <n v="134.94254839999999"/>
    <n v="4.7809999999999997"/>
  </r>
  <r>
    <x v="22"/>
    <x v="71"/>
    <n v="1470520.83"/>
    <x v="0"/>
    <n v="61.06"/>
    <n v="3.8730000000000002"/>
    <n v="135.08373330000001"/>
    <n v="4.7809999999999997"/>
  </r>
  <r>
    <x v="22"/>
    <x v="72"/>
    <n v="1434036.18"/>
    <x v="0"/>
    <n v="63.8"/>
    <n v="3.851"/>
    <n v="135.26526670000001"/>
    <n v="4.7809999999999997"/>
  </r>
  <r>
    <x v="22"/>
    <x v="73"/>
    <n v="1492507.44"/>
    <x v="0"/>
    <n v="65.650000000000006"/>
    <n v="3.8149999999999999"/>
    <n v="135.4468"/>
    <n v="4.5839999999999996"/>
  </r>
  <r>
    <x v="22"/>
    <x v="74"/>
    <n v="1379488.05"/>
    <x v="0"/>
    <n v="69.92"/>
    <n v="3.7839999999999998"/>
    <n v="135.62833330000001"/>
    <n v="4.5839999999999996"/>
  </r>
  <r>
    <x v="22"/>
    <x v="75"/>
    <n v="1360520.56"/>
    <x v="0"/>
    <n v="69.8"/>
    <n v="3.827"/>
    <n v="135.7837419"/>
    <n v="4.5839999999999996"/>
  </r>
  <r>
    <x v="22"/>
    <x v="76"/>
    <n v="1362144"/>
    <x v="0"/>
    <n v="76.739999999999995"/>
    <n v="3.8820000000000001"/>
    <n v="135.87383869999999"/>
    <n v="4.5839999999999996"/>
  </r>
  <r>
    <x v="22"/>
    <x v="77"/>
    <n v="1319767.55"/>
    <x v="0"/>
    <n v="69.55"/>
    <n v="3.8980000000000001"/>
    <n v="135.96393549999999"/>
    <n v="4.5839999999999996"/>
  </r>
  <r>
    <x v="22"/>
    <x v="78"/>
    <n v="1416344.68"/>
    <x v="0"/>
    <n v="69.53"/>
    <n v="3.903"/>
    <n v="136.05403229999999"/>
    <n v="4.5839999999999996"/>
  </r>
  <r>
    <x v="22"/>
    <x v="79"/>
    <n v="1380952.05"/>
    <x v="0"/>
    <n v="69.86"/>
    <n v="3.88"/>
    <n v="136.14412899999999"/>
    <n v="4.5839999999999996"/>
  </r>
  <r>
    <x v="22"/>
    <x v="80"/>
    <n v="1453416.53"/>
    <x v="0"/>
    <n v="67.09"/>
    <n v="3.82"/>
    <n v="136.18312900000001"/>
    <n v="4.5839999999999996"/>
  </r>
  <r>
    <x v="22"/>
    <x v="81"/>
    <n v="1637266.29"/>
    <x v="0"/>
    <n v="67.040000000000006"/>
    <n v="3.7959999999999998"/>
    <n v="136.21361289999999"/>
    <n v="4.5839999999999996"/>
  </r>
  <r>
    <x v="22"/>
    <x v="82"/>
    <n v="1464295.69"/>
    <x v="0"/>
    <n v="65.33"/>
    <n v="3.7839999999999998"/>
    <n v="136.24409679999999"/>
    <n v="4.5839999999999996"/>
  </r>
  <r>
    <x v="22"/>
    <x v="83"/>
    <n v="1423289.9"/>
    <x v="1"/>
    <n v="66.040000000000006"/>
    <n v="3.8090000000000002"/>
    <n v="136.27458060000001"/>
    <n v="4.5839999999999996"/>
  </r>
  <r>
    <x v="22"/>
    <x v="84"/>
    <n v="1253329.17"/>
    <x v="0"/>
    <n v="60.52"/>
    <n v="3.8090000000000002"/>
    <n v="136.31450000000001"/>
    <n v="4.5839999999999996"/>
  </r>
  <r>
    <x v="22"/>
    <x v="85"/>
    <n v="1289082.81"/>
    <x v="0"/>
    <n v="57.14"/>
    <n v="3.758"/>
    <n v="136.36699999999999"/>
    <n v="4.5839999999999996"/>
  </r>
  <r>
    <x v="22"/>
    <x v="86"/>
    <n v="1275597.8500000001"/>
    <x v="0"/>
    <n v="64.760000000000005"/>
    <n v="3.6840000000000002"/>
    <n v="136.4195"/>
    <n v="4.5839999999999996"/>
  </r>
  <r>
    <x v="22"/>
    <x v="87"/>
    <n v="1463501.99"/>
    <x v="0"/>
    <n v="49"/>
    <n v="3.633"/>
    <n v="136.47200000000001"/>
    <n v="4.42"/>
  </r>
  <r>
    <x v="22"/>
    <x v="88"/>
    <n v="1257778.3400000001"/>
    <x v="0"/>
    <n v="56.79"/>
    <n v="3.5830000000000002"/>
    <n v="136.51509680000001"/>
    <n v="4.42"/>
  </r>
  <r>
    <x v="22"/>
    <x v="89"/>
    <n v="1441032.59"/>
    <x v="0"/>
    <n v="52.12"/>
    <n v="3.6179999999999999"/>
    <n v="136.5017742"/>
    <n v="4.42"/>
  </r>
  <r>
    <x v="22"/>
    <x v="90"/>
    <n v="1407191.96"/>
    <x v="0"/>
    <n v="42.57"/>
    <n v="3.6040000000000001"/>
    <n v="136.48845159999999"/>
    <n v="4.42"/>
  </r>
  <r>
    <x v="22"/>
    <x v="91"/>
    <n v="1428436.33"/>
    <x v="0"/>
    <n v="39.18"/>
    <n v="3.5859999999999999"/>
    <n v="136.47512900000001"/>
    <n v="4.42"/>
  </r>
  <r>
    <x v="22"/>
    <x v="92"/>
    <n v="1436940.78"/>
    <x v="0"/>
    <n v="44.04"/>
    <n v="3.57"/>
    <n v="136.46180649999999"/>
    <n v="4.42"/>
  </r>
  <r>
    <x v="22"/>
    <x v="93"/>
    <n v="1345631.96"/>
    <x v="0"/>
    <n v="45.48"/>
    <n v="3.5710000000000002"/>
    <n v="136.46666669999999"/>
    <n v="4.42"/>
  </r>
  <r>
    <x v="22"/>
    <x v="94"/>
    <n v="2057059.53"/>
    <x v="1"/>
    <n v="35.229999999999997"/>
    <n v="3.536"/>
    <n v="136.47880000000001"/>
    <n v="4.42"/>
  </r>
  <r>
    <x v="22"/>
    <x v="95"/>
    <n v="1552886.59"/>
    <x v="0"/>
    <n v="43.6"/>
    <n v="3.5009999999999999"/>
    <n v="136.49093329999999"/>
    <n v="4.42"/>
  </r>
  <r>
    <x v="22"/>
    <x v="96"/>
    <n v="1841173.6"/>
    <x v="0"/>
    <n v="36.4"/>
    <n v="3.47"/>
    <n v="136.50306670000001"/>
    <n v="4.42"/>
  </r>
  <r>
    <x v="22"/>
    <x v="97"/>
    <n v="2173621.2000000002"/>
    <x v="0"/>
    <n v="32.99"/>
    <n v="3.4449999999999998"/>
    <n v="136.53351610000001"/>
    <n v="4.42"/>
  </r>
  <r>
    <x v="22"/>
    <x v="98"/>
    <n v="2587953.3199999998"/>
    <x v="0"/>
    <n v="27.8"/>
    <n v="3.4129999999999998"/>
    <n v="136.58838710000001"/>
    <n v="4.42"/>
  </r>
  <r>
    <x v="22"/>
    <x v="99"/>
    <n v="1213486.95"/>
    <x v="1"/>
    <n v="22.3"/>
    <n v="3.4020000000000001"/>
    <n v="136.6432581"/>
    <n v="4.42"/>
  </r>
  <r>
    <x v="22"/>
    <x v="100"/>
    <n v="1150662.55"/>
    <x v="0"/>
    <n v="24.29"/>
    <n v="3.4390000000000001"/>
    <n v="136.69812899999999"/>
    <n v="4.2610000000000001"/>
  </r>
  <r>
    <x v="22"/>
    <x v="101"/>
    <n v="1031451.35"/>
    <x v="0"/>
    <n v="28.49"/>
    <n v="3.5230000000000001"/>
    <n v="136.75299999999999"/>
    <n v="4.2610000000000001"/>
  </r>
  <r>
    <x v="22"/>
    <x v="102"/>
    <n v="1146992.1299999999"/>
    <x v="0"/>
    <n v="15.33"/>
    <n v="3.5419999999999998"/>
    <n v="136.85641939999999"/>
    <n v="4.2610000000000001"/>
  </r>
  <r>
    <x v="22"/>
    <x v="103"/>
    <n v="1037476.38"/>
    <x v="0"/>
    <n v="25.71"/>
    <n v="3.5680000000000001"/>
    <n v="136.95983870000001"/>
    <n v="4.2610000000000001"/>
  </r>
  <r>
    <x v="22"/>
    <x v="104"/>
    <n v="1261872.67"/>
    <x v="0"/>
    <n v="29.71"/>
    <n v="3.633"/>
    <n v="137.06325810000001"/>
    <n v="4.2610000000000001"/>
  </r>
  <r>
    <x v="22"/>
    <x v="105"/>
    <n v="1358444.07"/>
    <x v="1"/>
    <n v="26.6"/>
    <n v="3.6549999999999998"/>
    <n v="137.1666774"/>
    <n v="4.2610000000000001"/>
  </r>
  <r>
    <x v="22"/>
    <x v="106"/>
    <n v="1365546.69"/>
    <x v="0"/>
    <n v="27.01"/>
    <n v="3.7029999999999998"/>
    <n v="137.25831030000001"/>
    <n v="4.2610000000000001"/>
  </r>
  <r>
    <x v="22"/>
    <x v="107"/>
    <n v="1272948.27"/>
    <x v="0"/>
    <n v="31.12"/>
    <n v="3.7509999999999999"/>
    <n v="137.34110340000001"/>
    <n v="4.2610000000000001"/>
  </r>
  <r>
    <x v="22"/>
    <x v="108"/>
    <n v="1322852.2"/>
    <x v="0"/>
    <n v="25.91"/>
    <n v="3.827"/>
    <n v="137.42389660000001"/>
    <n v="4.2610000000000001"/>
  </r>
  <r>
    <x v="22"/>
    <x v="109"/>
    <n v="1292724.8999999999"/>
    <x v="0"/>
    <n v="33.11"/>
    <n v="3.8759999999999999"/>
    <n v="137.50668970000001"/>
    <n v="4.2610000000000001"/>
  </r>
  <r>
    <x v="22"/>
    <x v="110"/>
    <n v="1258364.31"/>
    <x v="0"/>
    <n v="41.19"/>
    <n v="3.867"/>
    <n v="137.58438709999999"/>
    <n v="4.2610000000000001"/>
  </r>
  <r>
    <x v="22"/>
    <x v="111"/>
    <n v="1288154.1000000001"/>
    <x v="0"/>
    <n v="57.82"/>
    <n v="3.8889999999999998"/>
    <n v="137.65529029999999"/>
    <n v="4.2610000000000001"/>
  </r>
  <r>
    <x v="22"/>
    <x v="112"/>
    <n v="1261964.96"/>
    <x v="0"/>
    <n v="36.71"/>
    <n v="3.9209999999999998"/>
    <n v="137.72619349999999"/>
    <n v="4.2610000000000001"/>
  </r>
  <r>
    <x v="22"/>
    <x v="113"/>
    <n v="1604605.69"/>
    <x v="0"/>
    <n v="37.43"/>
    <n v="3.9569999999999999"/>
    <n v="137.79709679999999"/>
    <n v="4.125"/>
  </r>
  <r>
    <x v="22"/>
    <x v="114"/>
    <n v="1231752.54"/>
    <x v="0"/>
    <n v="41.81"/>
    <n v="4.0250000000000004"/>
    <n v="137.86799999999999"/>
    <n v="4.125"/>
  </r>
  <r>
    <x v="22"/>
    <x v="115"/>
    <n v="1287899.4099999999"/>
    <x v="0"/>
    <n v="56.55"/>
    <n v="4.0460000000000003"/>
    <n v="137.92306669999999"/>
    <n v="4.125"/>
  </r>
  <r>
    <x v="22"/>
    <x v="116"/>
    <n v="1277758.76"/>
    <x v="0"/>
    <n v="44.62"/>
    <n v="4.0229999999999997"/>
    <n v="137.9781333"/>
    <n v="4.125"/>
  </r>
  <r>
    <x v="22"/>
    <x v="117"/>
    <n v="1317379.68"/>
    <x v="0"/>
    <n v="45.88"/>
    <n v="3.9910000000000001"/>
    <n v="138.03319999999999"/>
    <n v="4.125"/>
  </r>
  <r>
    <x v="22"/>
    <x v="118"/>
    <n v="1321914.3400000001"/>
    <x v="0"/>
    <n v="52.9"/>
    <n v="3.9470000000000001"/>
    <n v="138.08826669999999"/>
    <n v="4.125"/>
  </r>
  <r>
    <x v="22"/>
    <x v="119"/>
    <n v="1332952.47"/>
    <x v="0"/>
    <n v="58.42"/>
    <n v="3.899"/>
    <n v="138.1065806"/>
    <n v="4.125"/>
  </r>
  <r>
    <x v="22"/>
    <x v="120"/>
    <n v="1552934.64"/>
    <x v="0"/>
    <n v="66.430000000000007"/>
    <n v="3.85"/>
    <n v="138.11019350000001"/>
    <n v="4.125"/>
  </r>
  <r>
    <x v="22"/>
    <x v="121"/>
    <n v="1476144.34"/>
    <x v="0"/>
    <n v="66.22"/>
    <n v="3.798"/>
    <n v="138.11380650000001"/>
    <n v="4.125"/>
  </r>
  <r>
    <x v="22"/>
    <x v="122"/>
    <n v="1568048.54"/>
    <x v="0"/>
    <n v="56.82"/>
    <n v="3.746"/>
    <n v="138.11741939999999"/>
    <n v="4.125"/>
  </r>
  <r>
    <x v="22"/>
    <x v="123"/>
    <n v="1543667.68"/>
    <x v="0"/>
    <n v="64.73"/>
    <n v="3.6829999999999998"/>
    <n v="138.12953329999999"/>
    <n v="4.125"/>
  </r>
  <r>
    <x v="22"/>
    <x v="124"/>
    <n v="1522042.57"/>
    <x v="0"/>
    <n v="71.819999999999993"/>
    <n v="3.629"/>
    <n v="138.16290000000001"/>
    <n v="4.125"/>
  </r>
  <r>
    <x v="22"/>
    <x v="125"/>
    <n v="1451782.16"/>
    <x v="0"/>
    <n v="64.23"/>
    <n v="3.577"/>
    <n v="138.1962667"/>
    <n v="4.125"/>
  </r>
  <r>
    <x v="22"/>
    <x v="126"/>
    <n v="1545370.16"/>
    <x v="0"/>
    <n v="70.86"/>
    <n v="3.5379999999999998"/>
    <n v="138.22963329999999"/>
    <n v="4.1559999999999997"/>
  </r>
  <r>
    <x v="22"/>
    <x v="127"/>
    <n v="1384921.63"/>
    <x v="0"/>
    <n v="69.19"/>
    <n v="3.5609999999999999"/>
    <n v="138.26300000000001"/>
    <n v="4.1559999999999997"/>
  </r>
  <r>
    <x v="22"/>
    <x v="128"/>
    <n v="1381339.23"/>
    <x v="0"/>
    <n v="71.13"/>
    <n v="3.61"/>
    <n v="138.2331935"/>
    <n v="4.1559999999999997"/>
  </r>
  <r>
    <x v="22"/>
    <x v="129"/>
    <n v="1322932.3600000001"/>
    <x v="0"/>
    <n v="69.31"/>
    <n v="3.7010000000000001"/>
    <n v="138.20338709999999"/>
    <n v="4.1559999999999997"/>
  </r>
  <r>
    <x v="22"/>
    <x v="130"/>
    <n v="1416926.31"/>
    <x v="0"/>
    <n v="71.510000000000005"/>
    <n v="3.698"/>
    <n v="138.17358060000001"/>
    <n v="4.1559999999999997"/>
  </r>
  <r>
    <x v="22"/>
    <x v="131"/>
    <n v="1436311.76"/>
    <x v="0"/>
    <n v="71.12"/>
    <n v="3.7719999999999998"/>
    <n v="138.1437742"/>
    <n v="4.1559999999999997"/>
  </r>
  <r>
    <x v="22"/>
    <x v="132"/>
    <n v="1510131.45"/>
    <x v="0"/>
    <n v="69.97"/>
    <n v="3.84"/>
    <n v="138.18570969999999"/>
    <n v="4.1559999999999997"/>
  </r>
  <r>
    <x v="22"/>
    <x v="133"/>
    <n v="1702220.96"/>
    <x v="0"/>
    <n v="64.63"/>
    <n v="3.8740000000000001"/>
    <n v="138.2814516"/>
    <n v="4.1559999999999997"/>
  </r>
  <r>
    <x v="22"/>
    <x v="134"/>
    <n v="1577468.78"/>
    <x v="0"/>
    <n v="68.34"/>
    <n v="3.8839999999999999"/>
    <n v="138.3771935"/>
    <n v="4.1559999999999997"/>
  </r>
  <r>
    <x v="22"/>
    <x v="135"/>
    <n v="1427162.26"/>
    <x v="1"/>
    <n v="66.739999999999995"/>
    <n v="3.9209999999999998"/>
    <n v="138.47293550000001"/>
    <n v="4.1559999999999997"/>
  </r>
  <r>
    <x v="22"/>
    <x v="136"/>
    <n v="1279041.6399999999"/>
    <x v="0"/>
    <n v="61.37"/>
    <n v="3.988"/>
    <n v="138.56729999999999"/>
    <n v="4.1559999999999997"/>
  </r>
  <r>
    <x v="22"/>
    <x v="137"/>
    <n v="1338627.55"/>
    <x v="0"/>
    <n v="56.8"/>
    <n v="4.056"/>
    <n v="138.6534"/>
    <n v="4.1559999999999997"/>
  </r>
  <r>
    <x v="22"/>
    <x v="138"/>
    <n v="1319035.06"/>
    <x v="0"/>
    <n v="53.71"/>
    <n v="4.0179999999999998"/>
    <n v="138.73949999999999"/>
    <n v="4.1559999999999997"/>
  </r>
  <r>
    <x v="22"/>
    <x v="139"/>
    <n v="1464616.59"/>
    <x v="0"/>
    <n v="56.65"/>
    <n v="4.0270000000000001"/>
    <n v="138.82560000000001"/>
    <n v="4.1449999999999996"/>
  </r>
  <r>
    <x v="22"/>
    <x v="140"/>
    <n v="1412925.25"/>
    <x v="0"/>
    <n v="48.1"/>
    <n v="4.0289999999999999"/>
    <n v="138.9117"/>
    <n v="4.1449999999999996"/>
  </r>
  <r>
    <x v="22"/>
    <x v="141"/>
    <n v="1363155.77"/>
    <x v="0"/>
    <n v="47.89"/>
    <n v="4"/>
    <n v="138.83361289999999"/>
    <n v="4.1449999999999996"/>
  </r>
  <r>
    <x v="22"/>
    <x v="142"/>
    <n v="1347454.59"/>
    <x v="0"/>
    <n v="50.56"/>
    <n v="3.9169999999999998"/>
    <n v="138.72816130000001"/>
    <n v="4.1449999999999996"/>
  </r>
  <r>
    <x v="23"/>
    <x v="0"/>
    <n v="1388725.63"/>
    <x v="0"/>
    <n v="22.43"/>
    <n v="2.9540000000000002"/>
    <n v="131.5279032"/>
    <n v="8.3260000000000005"/>
  </r>
  <r>
    <x v="23"/>
    <x v="1"/>
    <n v="1414107.1"/>
    <x v="1"/>
    <n v="25.94"/>
    <n v="2.94"/>
    <n v="131.58661290000001"/>
    <n v="8.3260000000000005"/>
  </r>
  <r>
    <x v="23"/>
    <x v="2"/>
    <n v="1385362.49"/>
    <x v="0"/>
    <n v="31.05"/>
    <n v="2.9089999999999998"/>
    <n v="131.637"/>
    <n v="8.3260000000000005"/>
  </r>
  <r>
    <x v="23"/>
    <x v="3"/>
    <n v="1158722.74"/>
    <x v="0"/>
    <n v="33.979999999999997"/>
    <n v="2.91"/>
    <n v="131.68600000000001"/>
    <n v="8.3260000000000005"/>
  </r>
  <r>
    <x v="23"/>
    <x v="4"/>
    <n v="1412387.37"/>
    <x v="0"/>
    <n v="36.729999999999997"/>
    <n v="2.919"/>
    <n v="131.73500000000001"/>
    <n v="8.3260000000000005"/>
  </r>
  <r>
    <x v="23"/>
    <x v="5"/>
    <n v="1309340.1599999999"/>
    <x v="0"/>
    <n v="42.31"/>
    <n v="2.9380000000000002"/>
    <n v="131.78399999999999"/>
    <n v="8.3260000000000005"/>
  </r>
  <r>
    <x v="23"/>
    <x v="6"/>
    <n v="1222511.29"/>
    <x v="0"/>
    <n v="46.09"/>
    <n v="2.96"/>
    <n v="131.8242903"/>
    <n v="8.3260000000000005"/>
  </r>
  <r>
    <x v="23"/>
    <x v="7"/>
    <n v="1258311.56"/>
    <x v="0"/>
    <n v="48.87"/>
    <n v="2.9630000000000001"/>
    <n v="131.86312899999999"/>
    <n v="8.3260000000000005"/>
  </r>
  <r>
    <x v="23"/>
    <x v="8"/>
    <n v="1478321.26"/>
    <x v="0"/>
    <n v="45.22"/>
    <n v="2.9569999999999999"/>
    <n v="131.9019677"/>
    <n v="8.2110000000000003"/>
  </r>
  <r>
    <x v="23"/>
    <x v="9"/>
    <n v="1379579.63"/>
    <x v="0"/>
    <n v="62.06"/>
    <n v="2.992"/>
    <n v="131.94080650000001"/>
    <n v="8.2110000000000003"/>
  </r>
  <r>
    <x v="23"/>
    <x v="10"/>
    <n v="1268266.72"/>
    <x v="0"/>
    <n v="51.08"/>
    <n v="3.01"/>
    <n v="131.98089999999999"/>
    <n v="8.2110000000000003"/>
  </r>
  <r>
    <x v="23"/>
    <x v="11"/>
    <n v="1264117.01"/>
    <x v="0"/>
    <n v="51.07"/>
    <n v="3.0209999999999999"/>
    <n v="132.0226667"/>
    <n v="8.2110000000000003"/>
  </r>
  <r>
    <x v="23"/>
    <x v="12"/>
    <n v="1259877.19"/>
    <x v="0"/>
    <n v="51.48"/>
    <n v="3.0419999999999998"/>
    <n v="132.06443329999999"/>
    <n v="8.2110000000000003"/>
  </r>
  <r>
    <x v="23"/>
    <x v="13"/>
    <n v="1409705.03"/>
    <x v="0"/>
    <n v="66.650000000000006"/>
    <n v="3.0950000000000002"/>
    <n v="132.1062"/>
    <n v="8.2110000000000003"/>
  </r>
  <r>
    <x v="23"/>
    <x v="14"/>
    <n v="1346783.35"/>
    <x v="0"/>
    <n v="51.31"/>
    <n v="3.1120000000000001"/>
    <n v="132.152129"/>
    <n v="8.2110000000000003"/>
  </r>
  <r>
    <x v="23"/>
    <x v="15"/>
    <n v="1283482.8500000001"/>
    <x v="0"/>
    <n v="60.44"/>
    <n v="3.0960000000000001"/>
    <n v="132.2230323"/>
    <n v="8.2110000000000003"/>
  </r>
  <r>
    <x v="23"/>
    <x v="16"/>
    <n v="1473868.15"/>
    <x v="0"/>
    <n v="69.59"/>
    <n v="3.0459999999999998"/>
    <n v="132.2939355"/>
    <n v="8.2110000000000003"/>
  </r>
  <r>
    <x v="23"/>
    <x v="17"/>
    <n v="1566668.91"/>
    <x v="0"/>
    <n v="71.989999999999995"/>
    <n v="3.0059999999999998"/>
    <n v="132.36483870000001"/>
    <n v="8.2110000000000003"/>
  </r>
  <r>
    <x v="23"/>
    <x v="18"/>
    <n v="1375458.21"/>
    <x v="0"/>
    <n v="64.84"/>
    <n v="2.972"/>
    <n v="132.43574190000001"/>
    <n v="8.2110000000000003"/>
  </r>
  <r>
    <x v="23"/>
    <x v="19"/>
    <n v="1354168.18"/>
    <x v="0"/>
    <n v="67.17"/>
    <n v="2.9420000000000002"/>
    <n v="132.47333330000001"/>
    <n v="8.2110000000000003"/>
  </r>
  <r>
    <x v="23"/>
    <x v="20"/>
    <n v="1399073.75"/>
    <x v="0"/>
    <n v="74.900000000000006"/>
    <n v="2.9580000000000002"/>
    <n v="132.49760000000001"/>
    <n v="8.2110000000000003"/>
  </r>
  <r>
    <x v="23"/>
    <x v="21"/>
    <n v="1563387.94"/>
    <x v="0"/>
    <n v="71.12"/>
    <n v="2.9580000000000002"/>
    <n v="132.5218667"/>
    <n v="8.1170000000000009"/>
  </r>
  <r>
    <x v="23"/>
    <x v="22"/>
    <n v="1665502.55"/>
    <x v="0"/>
    <n v="79.05"/>
    <n v="2.94"/>
    <n v="132.54613330000001"/>
    <n v="8.1170000000000009"/>
  </r>
  <r>
    <x v="23"/>
    <x v="23"/>
    <n v="1418697.05"/>
    <x v="0"/>
    <n v="76.56"/>
    <n v="2.9329999999999998"/>
    <n v="132.5667742"/>
    <n v="8.1170000000000009"/>
  </r>
  <r>
    <x v="23"/>
    <x v="24"/>
    <n v="1333740.3500000001"/>
    <x v="0"/>
    <n v="75.27"/>
    <n v="2.9239999999999999"/>
    <n v="132.5825806"/>
    <n v="8.1170000000000009"/>
  </r>
  <r>
    <x v="23"/>
    <x v="25"/>
    <n v="1387517.63"/>
    <x v="0"/>
    <n v="75.91"/>
    <n v="2.9319999999999999"/>
    <n v="132.5983871"/>
    <n v="8.1170000000000009"/>
  </r>
  <r>
    <x v="23"/>
    <x v="26"/>
    <n v="1442819.28"/>
    <x v="0"/>
    <n v="74.540000000000006"/>
    <n v="2.9420000000000002"/>
    <n v="132.6141935"/>
    <n v="8.1170000000000009"/>
  </r>
  <r>
    <x v="23"/>
    <x v="27"/>
    <n v="1384243.75"/>
    <x v="0"/>
    <n v="74.17"/>
    <n v="2.923"/>
    <n v="132.63"/>
    <n v="8.1170000000000009"/>
  </r>
  <r>
    <x v="23"/>
    <x v="28"/>
    <n v="1375307.54"/>
    <x v="0"/>
    <n v="72.17"/>
    <n v="2.9129999999999998"/>
    <n v="132.66161289999999"/>
    <n v="8.1170000000000009"/>
  </r>
  <r>
    <x v="23"/>
    <x v="29"/>
    <n v="1350059.35"/>
    <x v="0"/>
    <n v="67"/>
    <n v="2.8849999999999998"/>
    <n v="132.69322579999999"/>
    <n v="8.1170000000000009"/>
  </r>
  <r>
    <x v="23"/>
    <x v="30"/>
    <n v="1366381.6"/>
    <x v="0"/>
    <n v="73.52"/>
    <n v="2.86"/>
    <n v="132.72483869999999"/>
    <n v="8.1170000000000009"/>
  </r>
  <r>
    <x v="23"/>
    <x v="31"/>
    <n v="1474498.59"/>
    <x v="1"/>
    <n v="67.11"/>
    <n v="2.8370000000000002"/>
    <n v="132.75645159999999"/>
    <n v="8.1170000000000009"/>
  </r>
  <r>
    <x v="23"/>
    <x v="32"/>
    <n v="1273295.46"/>
    <x v="0"/>
    <n v="60.31"/>
    <n v="2.8460000000000001"/>
    <n v="132.76706669999999"/>
    <n v="8.1170000000000009"/>
  </r>
  <r>
    <x v="23"/>
    <x v="33"/>
    <n v="1169413.27"/>
    <x v="0"/>
    <n v="64.3"/>
    <n v="2.8370000000000002"/>
    <n v="132.76193330000001"/>
    <n v="8.1170000000000009"/>
  </r>
  <r>
    <x v="23"/>
    <x v="34"/>
    <n v="1215273.2"/>
    <x v="0"/>
    <n v="66.88"/>
    <n v="2.84"/>
    <n v="132.7568"/>
    <n v="8.2750000000000004"/>
  </r>
  <r>
    <x v="23"/>
    <x v="35"/>
    <n v="1361944.94"/>
    <x v="0"/>
    <n v="54.82"/>
    <n v="2.903"/>
    <n v="132.75166669999999"/>
    <n v="8.2750000000000004"/>
  </r>
  <r>
    <x v="23"/>
    <x v="36"/>
    <n v="1300806.74"/>
    <x v="0"/>
    <n v="52.83"/>
    <n v="2.9990000000000001"/>
    <n v="132.7633548"/>
    <n v="8.2750000000000004"/>
  </r>
  <r>
    <x v="23"/>
    <x v="37"/>
    <n v="1234875.33"/>
    <x v="0"/>
    <n v="48.69"/>
    <n v="3.0489999999999999"/>
    <n v="132.8170968"/>
    <n v="8.2750000000000004"/>
  </r>
  <r>
    <x v="23"/>
    <x v="38"/>
    <n v="1244925.94"/>
    <x v="0"/>
    <n v="57.29"/>
    <n v="3.0550000000000002"/>
    <n v="132.87083870000001"/>
    <n v="8.2750000000000004"/>
  </r>
  <r>
    <x v="23"/>
    <x v="39"/>
    <n v="1285358.01"/>
    <x v="0"/>
    <n v="42.2"/>
    <n v="3.0489999999999999"/>
    <n v="132.92458060000001"/>
    <n v="8.2750000000000004"/>
  </r>
  <r>
    <x v="23"/>
    <x v="40"/>
    <n v="1312877.01"/>
    <x v="0"/>
    <n v="41.76"/>
    <n v="3.0649999999999999"/>
    <n v="132.97832260000001"/>
    <n v="8.2750000000000004"/>
  </r>
  <r>
    <x v="23"/>
    <x v="41"/>
    <n v="1277150.6000000001"/>
    <x v="0"/>
    <n v="45.63"/>
    <n v="3.1379999999999999"/>
    <n v="132.91720000000001"/>
    <n v="8.2750000000000004"/>
  </r>
  <r>
    <x v="23"/>
    <x v="42"/>
    <n v="1779276.51"/>
    <x v="1"/>
    <n v="41.92"/>
    <n v="3.1859999999999999"/>
    <n v="132.8369333"/>
    <n v="8.2750000000000004"/>
  </r>
  <r>
    <x v="23"/>
    <x v="43"/>
    <n v="1413302.7"/>
    <x v="0"/>
    <n v="37.08"/>
    <n v="3.2"/>
    <n v="132.75666670000001"/>
    <n v="8.2750000000000004"/>
  </r>
  <r>
    <x v="23"/>
    <x v="44"/>
    <n v="1593012.75"/>
    <x v="0"/>
    <n v="27.11"/>
    <n v="3.2549999999999999"/>
    <n v="132.6764"/>
    <n v="8.2750000000000004"/>
  </r>
  <r>
    <x v="23"/>
    <x v="45"/>
    <n v="1663525.77"/>
    <x v="0"/>
    <n v="27.99"/>
    <n v="3.3010000000000002"/>
    <n v="132.6804516"/>
    <n v="8.2750000000000004"/>
  </r>
  <r>
    <x v="23"/>
    <x v="46"/>
    <n v="2386015.75"/>
    <x v="0"/>
    <n v="27.74"/>
    <n v="3.3090000000000002"/>
    <n v="132.74774189999999"/>
    <n v="8.2750000000000004"/>
  </r>
  <r>
    <x v="23"/>
    <x v="47"/>
    <n v="1208600.05"/>
    <x v="1"/>
    <n v="25.9"/>
    <n v="3.3359999999999999"/>
    <n v="132.81503230000001"/>
    <n v="8.2750000000000004"/>
  </r>
  <r>
    <x v="23"/>
    <x v="48"/>
    <n v="1178641.71"/>
    <x v="0"/>
    <n v="30.72"/>
    <n v="3.351"/>
    <n v="132.88232260000001"/>
    <n v="8.2520000000000007"/>
  </r>
  <r>
    <x v="23"/>
    <x v="49"/>
    <n v="1167740.2"/>
    <x v="0"/>
    <n v="22.41"/>
    <n v="3.367"/>
    <n v="132.9510645"/>
    <n v="8.2520000000000007"/>
  </r>
  <r>
    <x v="23"/>
    <x v="50"/>
    <n v="1107170.3899999999"/>
    <x v="0"/>
    <n v="23.69"/>
    <n v="3.391"/>
    <n v="133.02851609999999"/>
    <n v="8.2520000000000007"/>
  </r>
  <r>
    <x v="23"/>
    <x v="51"/>
    <n v="1126921.3400000001"/>
    <x v="0"/>
    <n v="17.91"/>
    <n v="3.4020000000000001"/>
    <n v="133.10596770000001"/>
    <n v="8.2520000000000007"/>
  </r>
  <r>
    <x v="23"/>
    <x v="52"/>
    <n v="1225182.04"/>
    <x v="0"/>
    <n v="23.83"/>
    <n v="3.4"/>
    <n v="133.18341939999999"/>
    <n v="8.2520000000000007"/>
  </r>
  <r>
    <x v="23"/>
    <x v="53"/>
    <n v="1341240.6200000001"/>
    <x v="1"/>
    <n v="26.51"/>
    <n v="3.4159999999999999"/>
    <n v="133.26087100000001"/>
    <n v="8.2520000000000007"/>
  </r>
  <r>
    <x v="23"/>
    <x v="54"/>
    <n v="1360150.12"/>
    <x v="0"/>
    <n v="34.04"/>
    <n v="3.42"/>
    <n v="133.37014289999999"/>
    <n v="8.2520000000000007"/>
  </r>
  <r>
    <x v="23"/>
    <x v="55"/>
    <n v="1235121.33"/>
    <x v="0"/>
    <n v="26.09"/>
    <n v="3.452"/>
    <n v="133.4921429"/>
    <n v="8.2520000000000007"/>
  </r>
  <r>
    <x v="23"/>
    <x v="56"/>
    <n v="1346994.53"/>
    <x v="0"/>
    <n v="31.36"/>
    <n v="3.605"/>
    <n v="133.61414289999999"/>
    <n v="8.2520000000000007"/>
  </r>
  <r>
    <x v="23"/>
    <x v="57"/>
    <n v="1253218.7"/>
    <x v="0"/>
    <n v="39.51"/>
    <n v="3.7519999999999998"/>
    <n v="133.7361429"/>
    <n v="8.2520000000000007"/>
  </r>
  <r>
    <x v="23"/>
    <x v="58"/>
    <n v="1168397.26"/>
    <x v="0"/>
    <n v="43.39"/>
    <n v="3.7959999999999998"/>
    <n v="133.8492258"/>
    <n v="8.2520000000000007"/>
  </r>
  <r>
    <x v="23"/>
    <x v="59"/>
    <n v="1158693.1200000001"/>
    <x v="0"/>
    <n v="36.880000000000003"/>
    <n v="3.7890000000000001"/>
    <n v="133.95874190000001"/>
    <n v="8.2520000000000007"/>
  </r>
  <r>
    <x v="23"/>
    <x v="60"/>
    <n v="1163803.3"/>
    <x v="0"/>
    <n v="35.729999999999997"/>
    <n v="3.8109999999999999"/>
    <n v="134.06825810000001"/>
    <n v="8.2119999999999997"/>
  </r>
  <r>
    <x v="23"/>
    <x v="61"/>
    <n v="1273670.32"/>
    <x v="0"/>
    <n v="44.7"/>
    <n v="3.895"/>
    <n v="134.17777419999999"/>
    <n v="8.2119999999999997"/>
  </r>
  <r>
    <x v="23"/>
    <x v="62"/>
    <n v="1245576.6499999999"/>
    <x v="0"/>
    <n v="52.36"/>
    <n v="3.9809999999999999"/>
    <n v="134.2784667"/>
    <n v="8.2119999999999997"/>
  </r>
  <r>
    <x v="23"/>
    <x v="63"/>
    <n v="1372484.9"/>
    <x v="0"/>
    <n v="46"/>
    <n v="4.0609999999999999"/>
    <n v="134.3571"/>
    <n v="8.2119999999999997"/>
  </r>
  <r>
    <x v="23"/>
    <x v="64"/>
    <n v="1197761.17"/>
    <x v="0"/>
    <n v="60.48"/>
    <n v="4.117"/>
    <n v="134.43573330000001"/>
    <n v="8.2119999999999997"/>
  </r>
  <r>
    <x v="23"/>
    <x v="65"/>
    <n v="1339630.3500000001"/>
    <x v="0"/>
    <n v="55.75"/>
    <n v="4.1920000000000002"/>
    <n v="134.51436670000001"/>
    <n v="8.2119999999999997"/>
  </r>
  <r>
    <x v="23"/>
    <x v="66"/>
    <n v="1311950.1599999999"/>
    <x v="0"/>
    <n v="58.49"/>
    <n v="4.2110000000000003"/>
    <n v="134.59299999999999"/>
    <n v="8.2119999999999997"/>
  </r>
  <r>
    <x v="23"/>
    <x v="67"/>
    <n v="1234281.7"/>
    <x v="0"/>
    <n v="59.84"/>
    <n v="4.202"/>
    <n v="134.68038709999999"/>
    <n v="8.2119999999999997"/>
  </r>
  <r>
    <x v="23"/>
    <x v="68"/>
    <n v="1311153.72"/>
    <x v="0"/>
    <n v="65.739999999999995"/>
    <n v="4.1340000000000003"/>
    <n v="134.76777419999999"/>
    <n v="8.2119999999999997"/>
  </r>
  <r>
    <x v="23"/>
    <x v="69"/>
    <n v="1554837.62"/>
    <x v="0"/>
    <n v="73.12"/>
    <n v="4.069"/>
    <n v="134.85516129999999"/>
    <n v="8.2119999999999997"/>
  </r>
  <r>
    <x v="23"/>
    <x v="70"/>
    <n v="1373841.91"/>
    <x v="0"/>
    <n v="70.02"/>
    <n v="4.0250000000000004"/>
    <n v="134.94254839999999"/>
    <n v="8.2119999999999997"/>
  </r>
  <r>
    <x v="23"/>
    <x v="71"/>
    <n v="1320359.23"/>
    <x v="0"/>
    <n v="64.34"/>
    <n v="3.9889999999999999"/>
    <n v="135.08373330000001"/>
    <n v="8.2119999999999997"/>
  </r>
  <r>
    <x v="23"/>
    <x v="72"/>
    <n v="1304850.67"/>
    <x v="0"/>
    <n v="68.88"/>
    <n v="3.964"/>
    <n v="135.26526670000001"/>
    <n v="8.2119999999999997"/>
  </r>
  <r>
    <x v="23"/>
    <x v="73"/>
    <n v="1445596.61"/>
    <x v="0"/>
    <n v="70.27"/>
    <n v="3.9159999999999999"/>
    <n v="135.4468"/>
    <n v="8.3580000000000005"/>
  </r>
  <r>
    <x v="23"/>
    <x v="74"/>
    <n v="1567340.07"/>
    <x v="0"/>
    <n v="72.56"/>
    <n v="3.8860000000000001"/>
    <n v="135.62833330000001"/>
    <n v="8.3580000000000005"/>
  </r>
  <r>
    <x v="23"/>
    <x v="75"/>
    <n v="1356938.95"/>
    <x v="0"/>
    <n v="74.430000000000007"/>
    <n v="3.915"/>
    <n v="135.7837419"/>
    <n v="8.3580000000000005"/>
  </r>
  <r>
    <x v="23"/>
    <x v="76"/>
    <n v="1357672.24"/>
    <x v="0"/>
    <n v="79.290000000000006"/>
    <n v="3.972"/>
    <n v="135.87383869999999"/>
    <n v="8.3580000000000005"/>
  </r>
  <r>
    <x v="23"/>
    <x v="77"/>
    <n v="1310973.06"/>
    <x v="0"/>
    <n v="74.84"/>
    <n v="4.0039999999999996"/>
    <n v="135.96393549999999"/>
    <n v="8.3580000000000005"/>
  </r>
  <r>
    <x v="23"/>
    <x v="78"/>
    <n v="1417616.81"/>
    <x v="0"/>
    <n v="74.64"/>
    <n v="4.0199999999999996"/>
    <n v="136.05403229999999"/>
    <n v="8.3580000000000005"/>
  </r>
  <r>
    <x v="23"/>
    <x v="79"/>
    <n v="1402818.01"/>
    <x v="0"/>
    <n v="72.52"/>
    <n v="3.9950000000000001"/>
    <n v="136.14412899999999"/>
    <n v="8.3580000000000005"/>
  </r>
  <r>
    <x v="23"/>
    <x v="80"/>
    <n v="1352039.88"/>
    <x v="0"/>
    <n v="69.930000000000007"/>
    <n v="3.9420000000000002"/>
    <n v="136.18312900000001"/>
    <n v="8.3580000000000005"/>
  </r>
  <r>
    <x v="23"/>
    <x v="81"/>
    <n v="1402372.09"/>
    <x v="0"/>
    <n v="69.94"/>
    <n v="3.9060000000000001"/>
    <n v="136.21361289999999"/>
    <n v="8.3580000000000005"/>
  </r>
  <r>
    <x v="23"/>
    <x v="82"/>
    <n v="1196105.44"/>
    <x v="0"/>
    <n v="68.14"/>
    <n v="3.879"/>
    <n v="136.24409679999999"/>
    <n v="8.3580000000000005"/>
  </r>
  <r>
    <x v="23"/>
    <x v="83"/>
    <n v="1527455.19"/>
    <x v="1"/>
    <n v="68.319999999999993"/>
    <n v="3.93"/>
    <n v="136.27458060000001"/>
    <n v="8.3580000000000005"/>
  </r>
  <r>
    <x v="23"/>
    <x v="84"/>
    <n v="1227535.97"/>
    <x v="0"/>
    <n v="65.56"/>
    <n v="3.9369999999999998"/>
    <n v="136.31450000000001"/>
    <n v="8.3580000000000005"/>
  </r>
  <r>
    <x v="23"/>
    <x v="85"/>
    <n v="1232376.49"/>
    <x v="0"/>
    <n v="60.61"/>
    <n v="3.899"/>
    <n v="136.36699999999999"/>
    <n v="8.3580000000000005"/>
  </r>
  <r>
    <x v="23"/>
    <x v="86"/>
    <n v="1246242.6100000001"/>
    <x v="0"/>
    <n v="68"/>
    <n v="3.8580000000000001"/>
    <n v="136.4195"/>
    <n v="8.3580000000000005"/>
  </r>
  <r>
    <x v="23"/>
    <x v="87"/>
    <n v="1405914.39"/>
    <x v="0"/>
    <n v="53.87"/>
    <n v="3.7749999999999999"/>
    <n v="136.47200000000001"/>
    <n v="8.4540000000000006"/>
  </r>
  <r>
    <x v="23"/>
    <x v="88"/>
    <n v="1333315.03"/>
    <x v="0"/>
    <n v="60.21"/>
    <n v="3.7440000000000002"/>
    <n v="136.51509680000001"/>
    <n v="8.4540000000000006"/>
  </r>
  <r>
    <x v="23"/>
    <x v="89"/>
    <n v="1283563.43"/>
    <x v="0"/>
    <n v="56.6"/>
    <n v="3.7570000000000001"/>
    <n v="136.5017742"/>
    <n v="8.4540000000000006"/>
  </r>
  <r>
    <x v="23"/>
    <x v="90"/>
    <n v="1307142.75"/>
    <x v="0"/>
    <n v="48"/>
    <n v="3.7570000000000001"/>
    <n v="136.48845159999999"/>
    <n v="8.4540000000000006"/>
  </r>
  <r>
    <x v="23"/>
    <x v="91"/>
    <n v="1385860.38"/>
    <x v="0"/>
    <n v="39.869999999999997"/>
    <n v="3.738"/>
    <n v="136.47512900000001"/>
    <n v="8.4540000000000006"/>
  </r>
  <r>
    <x v="23"/>
    <x v="92"/>
    <n v="1425078.59"/>
    <x v="0"/>
    <n v="46.78"/>
    <n v="3.7189999999999999"/>
    <n v="136.46180649999999"/>
    <n v="8.4540000000000006"/>
  </r>
  <r>
    <x v="23"/>
    <x v="93"/>
    <n v="1297535.69"/>
    <x v="0"/>
    <n v="48.17"/>
    <n v="3.7170000000000001"/>
    <n v="136.46666669999999"/>
    <n v="8.4540000000000006"/>
  </r>
  <r>
    <x v="23"/>
    <x v="94"/>
    <n v="1761235.67"/>
    <x v="1"/>
    <n v="41.83"/>
    <n v="3.6890000000000001"/>
    <n v="136.47880000000001"/>
    <n v="8.4540000000000006"/>
  </r>
  <r>
    <x v="23"/>
    <x v="95"/>
    <n v="1335647.1000000001"/>
    <x v="0"/>
    <n v="47.21"/>
    <n v="3.6659999999999999"/>
    <n v="136.49093329999999"/>
    <n v="8.4540000000000006"/>
  </r>
  <r>
    <x v="23"/>
    <x v="96"/>
    <n v="1529615.54"/>
    <x v="0"/>
    <n v="42.3"/>
    <n v="3.6269999999999998"/>
    <n v="136.50306670000001"/>
    <n v="8.4540000000000006"/>
  </r>
  <r>
    <x v="23"/>
    <x v="97"/>
    <n v="1624994.43"/>
    <x v="0"/>
    <n v="36"/>
    <n v="3.6110000000000002"/>
    <n v="136.53351610000001"/>
    <n v="8.4540000000000006"/>
  </r>
  <r>
    <x v="23"/>
    <x v="98"/>
    <n v="2168344.23"/>
    <x v="0"/>
    <n v="36.93"/>
    <n v="3.5870000000000002"/>
    <n v="136.58838710000001"/>
    <n v="8.4540000000000006"/>
  </r>
  <r>
    <x v="23"/>
    <x v="99"/>
    <n v="1363973.16"/>
    <x v="1"/>
    <n v="33.450000000000003"/>
    <n v="3.5659999999999998"/>
    <n v="136.6432581"/>
    <n v="8.4540000000000006"/>
  </r>
  <r>
    <x v="23"/>
    <x v="100"/>
    <n v="1251581.8899999999"/>
    <x v="0"/>
    <n v="32.86"/>
    <n v="3.585"/>
    <n v="136.69812899999999"/>
    <n v="8.6590000000000007"/>
  </r>
  <r>
    <x v="23"/>
    <x v="101"/>
    <n v="1155594.2"/>
    <x v="0"/>
    <n v="36.5"/>
    <n v="3.6659999999999999"/>
    <n v="136.75299999999999"/>
    <n v="8.6590000000000007"/>
  </r>
  <r>
    <x v="23"/>
    <x v="102"/>
    <n v="1151993.8500000001"/>
    <x v="0"/>
    <n v="25.73"/>
    <n v="3.7050000000000001"/>
    <n v="136.85641939999999"/>
    <n v="8.6590000000000007"/>
  </r>
  <r>
    <x v="23"/>
    <x v="103"/>
    <n v="1057290.4099999999"/>
    <x v="0"/>
    <n v="31.92"/>
    <n v="3.7370000000000001"/>
    <n v="136.95983870000001"/>
    <n v="8.6590000000000007"/>
  </r>
  <r>
    <x v="23"/>
    <x v="104"/>
    <n v="1249696.97"/>
    <x v="0"/>
    <n v="38.61"/>
    <n v="3.7959999999999998"/>
    <n v="137.06325810000001"/>
    <n v="8.6590000000000007"/>
  </r>
  <r>
    <x v="23"/>
    <x v="105"/>
    <n v="1403460.87"/>
    <x v="1"/>
    <n v="33.82"/>
    <n v="3.8260000000000001"/>
    <n v="137.1666774"/>
    <n v="8.6590000000000007"/>
  </r>
  <r>
    <x v="23"/>
    <x v="106"/>
    <n v="1326370.08"/>
    <x v="0"/>
    <n v="33.92"/>
    <n v="3.8740000000000001"/>
    <n v="137.25831030000001"/>
    <n v="8.6590000000000007"/>
  </r>
  <r>
    <x v="23"/>
    <x v="107"/>
    <n v="1303233.1499999999"/>
    <x v="0"/>
    <n v="37.35"/>
    <n v="3.9169999999999998"/>
    <n v="137.34110340000001"/>
    <n v="8.6590000000000007"/>
  </r>
  <r>
    <x v="23"/>
    <x v="108"/>
    <n v="1213994.3899999999"/>
    <x v="0"/>
    <n v="35.36"/>
    <n v="3.9830000000000001"/>
    <n v="137.42389660000001"/>
    <n v="8.6590000000000007"/>
  </r>
  <r>
    <x v="23"/>
    <x v="109"/>
    <n v="1325835.7"/>
    <x v="0"/>
    <n v="41.5"/>
    <n v="4.0209999999999999"/>
    <n v="137.50668970000001"/>
    <n v="8.6590000000000007"/>
  </r>
  <r>
    <x v="23"/>
    <x v="110"/>
    <n v="1239299.1200000001"/>
    <x v="0"/>
    <n v="48.68"/>
    <n v="4.0209999999999999"/>
    <n v="137.58438709999999"/>
    <n v="8.6590000000000007"/>
  </r>
  <r>
    <x v="23"/>
    <x v="111"/>
    <n v="1221723.94"/>
    <x v="0"/>
    <n v="59.51"/>
    <n v="4.0540000000000003"/>
    <n v="137.65529029999999"/>
    <n v="8.6590000000000007"/>
  </r>
  <r>
    <x v="23"/>
    <x v="112"/>
    <n v="1230106.1299999999"/>
    <x v="0"/>
    <n v="47.28"/>
    <n v="4.0979999999999999"/>
    <n v="137.72619349999999"/>
    <n v="8.6590000000000007"/>
  </r>
  <r>
    <x v="23"/>
    <x v="113"/>
    <n v="1524734.29"/>
    <x v="0"/>
    <n v="45.25"/>
    <n v="4.1429999999999998"/>
    <n v="137.79709679999999"/>
    <n v="8.9830000000000005"/>
  </r>
  <r>
    <x v="23"/>
    <x v="114"/>
    <n v="1285783.8700000001"/>
    <x v="0"/>
    <n v="48.65"/>
    <n v="4.1870000000000003"/>
    <n v="137.86799999999999"/>
    <n v="8.9830000000000005"/>
  </r>
  <r>
    <x v="23"/>
    <x v="115"/>
    <n v="1208654.3999999999"/>
    <x v="0"/>
    <n v="61.05"/>
    <n v="4.17"/>
    <n v="137.92306669999999"/>
    <n v="8.9830000000000005"/>
  </r>
  <r>
    <x v="23"/>
    <x v="116"/>
    <n v="1194334.6499999999"/>
    <x v="0"/>
    <n v="49.26"/>
    <n v="4.1630000000000003"/>
    <n v="137.9781333"/>
    <n v="8.9830000000000005"/>
  </r>
  <r>
    <x v="23"/>
    <x v="117"/>
    <n v="1306551.71"/>
    <x v="0"/>
    <n v="52.14"/>
    <n v="4.1239999999999997"/>
    <n v="138.03319999999999"/>
    <n v="8.9830000000000005"/>
  </r>
  <r>
    <x v="23"/>
    <x v="118"/>
    <n v="1355391.79"/>
    <x v="0"/>
    <n v="58.7"/>
    <n v="4.0549999999999997"/>
    <n v="138.08826669999999"/>
    <n v="8.9830000000000005"/>
  </r>
  <r>
    <x v="23"/>
    <x v="119"/>
    <n v="1298809.8"/>
    <x v="0"/>
    <n v="63.1"/>
    <n v="4.0289999999999999"/>
    <n v="138.1065806"/>
    <n v="8.9830000000000005"/>
  </r>
  <r>
    <x v="23"/>
    <x v="120"/>
    <n v="1407897.57"/>
    <x v="0"/>
    <n v="65.790000000000006"/>
    <n v="3.9790000000000001"/>
    <n v="138.11019350000001"/>
    <n v="8.9830000000000005"/>
  </r>
  <r>
    <x v="23"/>
    <x v="121"/>
    <n v="1467722.19"/>
    <x v="0"/>
    <n v="71.790000000000006"/>
    <n v="3.915"/>
    <n v="138.11380650000001"/>
    <n v="8.9830000000000005"/>
  </r>
  <r>
    <x v="23"/>
    <x v="122"/>
    <n v="1406313.13"/>
    <x v="0"/>
    <n v="59.93"/>
    <n v="3.871"/>
    <n v="138.11741939999999"/>
    <n v="8.9830000000000005"/>
  </r>
  <r>
    <x v="23"/>
    <x v="123"/>
    <n v="1364445.98"/>
    <x v="0"/>
    <n v="68.28"/>
    <n v="3.786"/>
    <n v="138.12953329999999"/>
    <n v="8.9830000000000005"/>
  </r>
  <r>
    <x v="23"/>
    <x v="124"/>
    <n v="1434709.63"/>
    <x v="0"/>
    <n v="72.290000000000006"/>
    <n v="3.722"/>
    <n v="138.16290000000001"/>
    <n v="8.9830000000000005"/>
  </r>
  <r>
    <x v="23"/>
    <x v="125"/>
    <n v="1428869.9"/>
    <x v="0"/>
    <n v="70.400000000000006"/>
    <n v="3.6669999999999998"/>
    <n v="138.1962667"/>
    <n v="8.9830000000000005"/>
  </r>
  <r>
    <x v="23"/>
    <x v="126"/>
    <n v="1645097.75"/>
    <x v="0"/>
    <n v="77.180000000000007"/>
    <n v="3.6459999999999999"/>
    <n v="138.22963329999999"/>
    <n v="8.9529999999999994"/>
  </r>
  <r>
    <x v="23"/>
    <x v="127"/>
    <n v="1405475.78"/>
    <x v="0"/>
    <n v="75.36"/>
    <n v="3.6890000000000001"/>
    <n v="138.26300000000001"/>
    <n v="8.9529999999999994"/>
  </r>
  <r>
    <x v="23"/>
    <x v="128"/>
    <n v="1394299"/>
    <x v="0"/>
    <n v="76.42"/>
    <n v="3.7320000000000002"/>
    <n v="138.2331935"/>
    <n v="8.9529999999999994"/>
  </r>
  <r>
    <x v="23"/>
    <x v="129"/>
    <n v="1307339.1399999999"/>
    <x v="0"/>
    <n v="73.62"/>
    <n v="3.82"/>
    <n v="138.20338709999999"/>
    <n v="8.9529999999999994"/>
  </r>
  <r>
    <x v="23"/>
    <x v="130"/>
    <n v="1440374.13"/>
    <x v="0"/>
    <n v="73.260000000000005"/>
    <n v="3.819"/>
    <n v="138.17358060000001"/>
    <n v="8.9529999999999994"/>
  </r>
  <r>
    <x v="23"/>
    <x v="131"/>
    <n v="1497054.81"/>
    <x v="0"/>
    <n v="75.53"/>
    <n v="3.863"/>
    <n v="138.1437742"/>
    <n v="8.9529999999999994"/>
  </r>
  <r>
    <x v="23"/>
    <x v="132"/>
    <n v="1397970.54"/>
    <x v="0"/>
    <n v="72.87"/>
    <n v="3.9630000000000001"/>
    <n v="138.18570969999999"/>
    <n v="8.9529999999999994"/>
  </r>
  <r>
    <x v="23"/>
    <x v="133"/>
    <n v="1303726.54"/>
    <x v="0"/>
    <n v="68.13"/>
    <n v="3.9969999999999999"/>
    <n v="138.2814516"/>
    <n v="8.9529999999999994"/>
  </r>
  <r>
    <x v="23"/>
    <x v="134"/>
    <n v="1344558.92"/>
    <x v="0"/>
    <n v="71.180000000000007"/>
    <n v="4.0259999999999998"/>
    <n v="138.3771935"/>
    <n v="8.9529999999999994"/>
  </r>
  <r>
    <x v="23"/>
    <x v="135"/>
    <n v="1477134.75"/>
    <x v="1"/>
    <n v="72.81"/>
    <n v="4.0759999999999996"/>
    <n v="138.47293550000001"/>
    <n v="8.9529999999999994"/>
  </r>
  <r>
    <x v="23"/>
    <x v="136"/>
    <n v="1242909.53"/>
    <x v="0"/>
    <n v="64.28"/>
    <n v="4.0880000000000001"/>
    <n v="138.56729999999999"/>
    <n v="8.9529999999999994"/>
  </r>
  <r>
    <x v="23"/>
    <x v="137"/>
    <n v="1261158.47"/>
    <x v="0"/>
    <n v="61.25"/>
    <n v="4.2030000000000003"/>
    <n v="138.6534"/>
    <n v="8.9529999999999994"/>
  </r>
  <r>
    <x v="23"/>
    <x v="138"/>
    <n v="1259278.3600000001"/>
    <x v="0"/>
    <n v="58.86"/>
    <n v="4.1580000000000004"/>
    <n v="138.73949999999999"/>
    <n v="8.9529999999999994"/>
  </r>
  <r>
    <x v="23"/>
    <x v="139"/>
    <n v="1416720.54"/>
    <x v="0"/>
    <n v="60.35"/>
    <n v="4.1509999999999998"/>
    <n v="138.82560000000001"/>
    <n v="8.6929999999999996"/>
  </r>
  <r>
    <x v="23"/>
    <x v="140"/>
    <n v="1416301.17"/>
    <x v="0"/>
    <n v="51.64"/>
    <n v="4.1859999999999999"/>
    <n v="138.9117"/>
    <n v="8.6929999999999996"/>
  </r>
  <r>
    <x v="23"/>
    <x v="141"/>
    <n v="1255414.8400000001"/>
    <x v="0"/>
    <n v="52.59"/>
    <n v="4.1529999999999996"/>
    <n v="138.83361289999999"/>
    <n v="8.6929999999999996"/>
  </r>
  <r>
    <x v="23"/>
    <x v="142"/>
    <n v="1307182.29"/>
    <x v="0"/>
    <n v="55.16"/>
    <n v="4.0709999999999997"/>
    <n v="138.72816130000001"/>
    <n v="8.6929999999999996"/>
  </r>
  <r>
    <x v="24"/>
    <x v="0"/>
    <n v="677231.63"/>
    <x v="0"/>
    <n v="21.1"/>
    <n v="2.7839999999999998"/>
    <n v="204.24719350000001"/>
    <n v="8.1869999999999994"/>
  </r>
  <r>
    <x v="24"/>
    <x v="1"/>
    <n v="583364.02"/>
    <x v="1"/>
    <n v="19.64"/>
    <n v="2.7730000000000001"/>
    <n v="204.3857472"/>
    <n v="8.1869999999999994"/>
  </r>
  <r>
    <x v="24"/>
    <x v="2"/>
    <n v="676260.67"/>
    <x v="0"/>
    <n v="24.16"/>
    <n v="2.7450000000000001"/>
    <n v="204.4321004"/>
    <n v="8.1869999999999994"/>
  </r>
  <r>
    <x v="24"/>
    <x v="3"/>
    <n v="628516.56999999995"/>
    <x v="0"/>
    <n v="29.16"/>
    <n v="2.754"/>
    <n v="204.46308690000001"/>
    <n v="8.1869999999999994"/>
  </r>
  <r>
    <x v="24"/>
    <x v="4"/>
    <n v="665750.06000000006"/>
    <x v="0"/>
    <n v="29.45"/>
    <n v="2.7770000000000001"/>
    <n v="204.49407339999999"/>
    <n v="8.1869999999999994"/>
  </r>
  <r>
    <x v="24"/>
    <x v="5"/>
    <n v="660619.99"/>
    <x v="0"/>
    <n v="40.049999999999997"/>
    <n v="2.8180000000000001"/>
    <n v="204.52505980000001"/>
    <n v="8.1869999999999994"/>
  </r>
  <r>
    <x v="24"/>
    <x v="6"/>
    <n v="659795.84"/>
    <x v="0"/>
    <n v="45"/>
    <n v="2.8439999999999999"/>
    <n v="204.3782258"/>
    <n v="8.1869999999999994"/>
  </r>
  <r>
    <x v="24"/>
    <x v="7"/>
    <n v="696687.6"/>
    <x v="0"/>
    <n v="45.84"/>
    <n v="2.8540000000000001"/>
    <n v="204.20175499999999"/>
    <n v="8.1869999999999994"/>
  </r>
  <r>
    <x v="24"/>
    <x v="8"/>
    <n v="822486.37"/>
    <x v="0"/>
    <n v="47.2"/>
    <n v="2.85"/>
    <n v="204.02528419999999"/>
    <n v="7.8559999999999999"/>
  </r>
  <r>
    <x v="24"/>
    <x v="9"/>
    <n v="712647.97"/>
    <x v="0"/>
    <n v="61.36"/>
    <n v="2.8690000000000002"/>
    <n v="203.84881340000001"/>
    <n v="7.8559999999999999"/>
  </r>
  <r>
    <x v="24"/>
    <x v="10"/>
    <n v="715311.6"/>
    <x v="0"/>
    <n v="52.16"/>
    <n v="2.899"/>
    <n v="203.7307486"/>
    <n v="7.8559999999999999"/>
  </r>
  <r>
    <x v="24"/>
    <x v="11"/>
    <n v="694531.72"/>
    <x v="0"/>
    <n v="46.12"/>
    <n v="2.9020000000000001"/>
    <n v="203.6905586"/>
    <n v="7.8559999999999999"/>
  </r>
  <r>
    <x v="24"/>
    <x v="12"/>
    <n v="706924.02"/>
    <x v="0"/>
    <n v="50.97"/>
    <n v="2.9209999999999998"/>
    <n v="203.65036850000001"/>
    <n v="7.8559999999999999"/>
  </r>
  <r>
    <x v="24"/>
    <x v="13"/>
    <n v="724468.97"/>
    <x v="0"/>
    <n v="63.67"/>
    <n v="2.9660000000000002"/>
    <n v="203.6101784"/>
    <n v="7.8559999999999999"/>
  </r>
  <r>
    <x v="24"/>
    <x v="14"/>
    <n v="698073.95"/>
    <x v="0"/>
    <n v="50.27"/>
    <n v="2.9820000000000002"/>
    <n v="203.61339150000001"/>
    <n v="7.8559999999999999"/>
  </r>
  <r>
    <x v="24"/>
    <x v="15"/>
    <n v="704113.22"/>
    <x v="0"/>
    <n v="57.17"/>
    <n v="2.9580000000000002"/>
    <n v="203.87702350000001"/>
    <n v="7.8559999999999999"/>
  </r>
  <r>
    <x v="24"/>
    <x v="16"/>
    <n v="792442.54"/>
    <x v="0"/>
    <n v="69.31"/>
    <n v="2.899"/>
    <n v="204.1406556"/>
    <n v="7.8559999999999999"/>
  </r>
  <r>
    <x v="24"/>
    <x v="17"/>
    <n v="764155.44"/>
    <x v="0"/>
    <n v="69.22"/>
    <n v="2.847"/>
    <n v="204.4042877"/>
    <n v="7.8559999999999999"/>
  </r>
  <r>
    <x v="24"/>
    <x v="18"/>
    <n v="737163.2"/>
    <x v="0"/>
    <n v="63.68"/>
    <n v="2.8090000000000002"/>
    <n v="204.66791979999999"/>
    <n v="7.8559999999999999"/>
  </r>
  <r>
    <x v="24"/>
    <x v="19"/>
    <n v="780444.94"/>
    <x v="0"/>
    <n v="69.56"/>
    <n v="2.78"/>
    <n v="204.67003600000001"/>
    <n v="7.8559999999999999"/>
  </r>
  <r>
    <x v="24"/>
    <x v="20"/>
    <n v="737569.14"/>
    <x v="0"/>
    <n v="72.17"/>
    <n v="2.8079999999999998"/>
    <n v="204.5675459"/>
    <n v="7.8559999999999999"/>
  </r>
  <r>
    <x v="24"/>
    <x v="21"/>
    <n v="759407.87"/>
    <x v="0"/>
    <n v="66.42"/>
    <n v="2.8149999999999999"/>
    <n v="204.46505590000001"/>
    <n v="7.5270000000000001"/>
  </r>
  <r>
    <x v="24"/>
    <x v="22"/>
    <n v="719591.13"/>
    <x v="0"/>
    <n v="75.239999999999995"/>
    <n v="2.7930000000000001"/>
    <n v="204.3625658"/>
    <n v="7.5270000000000001"/>
  </r>
  <r>
    <x v="24"/>
    <x v="23"/>
    <n v="726997.84"/>
    <x v="0"/>
    <n v="73.430000000000007"/>
    <n v="2.7829999999999999"/>
    <n v="204.3571656"/>
    <n v="7.5270000000000001"/>
  </r>
  <r>
    <x v="24"/>
    <x v="24"/>
    <n v="665290.93000000005"/>
    <x v="0"/>
    <n v="75.37"/>
    <n v="2.7709999999999999"/>
    <n v="204.48121879999999"/>
    <n v="7.5270000000000001"/>
  </r>
  <r>
    <x v="24"/>
    <x v="25"/>
    <n v="682124.34"/>
    <x v="0"/>
    <n v="71.989999999999995"/>
    <n v="2.7810000000000001"/>
    <n v="204.60527200000001"/>
    <n v="7.5270000000000001"/>
  </r>
  <r>
    <x v="24"/>
    <x v="26"/>
    <n v="699464.43"/>
    <x v="0"/>
    <n v="71.790000000000006"/>
    <n v="2.7839999999999998"/>
    <n v="204.72932520000001"/>
    <n v="7.5270000000000001"/>
  </r>
  <r>
    <x v="24"/>
    <x v="27"/>
    <n v="686072.39"/>
    <x v="0"/>
    <n v="72.73"/>
    <n v="2.8050000000000002"/>
    <n v="204.8533784"/>
    <n v="7.5270000000000001"/>
  </r>
  <r>
    <x v="24"/>
    <x v="28"/>
    <n v="724499.81"/>
    <x v="0"/>
    <n v="71.81"/>
    <n v="2.7789999999999999"/>
    <n v="204.82170439999999"/>
    <n v="7.5270000000000001"/>
  </r>
  <r>
    <x v="24"/>
    <x v="29"/>
    <n v="711461.95"/>
    <x v="0"/>
    <n v="67.150000000000006"/>
    <n v="2.7549999999999999"/>
    <n v="204.7900305"/>
    <n v="7.5270000000000001"/>
  </r>
  <r>
    <x v="24"/>
    <x v="30"/>
    <n v="685700.08"/>
    <x v="0"/>
    <n v="71.17"/>
    <n v="2.7149999999999999"/>
    <n v="204.75835660000001"/>
    <n v="7.5270000000000001"/>
  </r>
  <r>
    <x v="24"/>
    <x v="31"/>
    <n v="655811.94999999995"/>
    <x v="1"/>
    <n v="61.14"/>
    <n v="2.6989999999999998"/>
    <n v="204.7266827"/>
    <n v="7.5270000000000001"/>
  </r>
  <r>
    <x v="24"/>
    <x v="32"/>
    <n v="628989.88"/>
    <x v="0"/>
    <n v="60.13"/>
    <n v="2.706"/>
    <n v="204.75132790000001"/>
    <n v="7.5270000000000001"/>
  </r>
  <r>
    <x v="24"/>
    <x v="33"/>
    <n v="607819.32999999996"/>
    <x v="0"/>
    <n v="65.06"/>
    <n v="2.7130000000000001"/>
    <n v="204.81821260000001"/>
    <n v="7.5270000000000001"/>
  </r>
  <r>
    <x v="24"/>
    <x v="34"/>
    <n v="658640.14"/>
    <x v="0"/>
    <n v="57.56"/>
    <n v="2.7069999999999999"/>
    <n v="204.88509730000001"/>
    <n v="7.484"/>
  </r>
  <r>
    <x v="24"/>
    <x v="35"/>
    <n v="674283.86"/>
    <x v="0"/>
    <n v="48.46"/>
    <n v="2.7639999999999998"/>
    <n v="204.95198199999999"/>
    <n v="7.484"/>
  </r>
  <r>
    <x v="24"/>
    <x v="36"/>
    <n v="616094.71999999997"/>
    <x v="0"/>
    <n v="54.09"/>
    <n v="2.8679999999999999"/>
    <n v="205.0137637"/>
    <n v="7.484"/>
  </r>
  <r>
    <x v="24"/>
    <x v="37"/>
    <n v="661644.18999999994"/>
    <x v="0"/>
    <n v="46.73"/>
    <n v="2.9169999999999998"/>
    <n v="205.06278810000001"/>
    <n v="7.484"/>
  </r>
  <r>
    <x v="24"/>
    <x v="38"/>
    <n v="674458.03"/>
    <x v="0"/>
    <n v="55.72"/>
    <n v="2.9209999999999998"/>
    <n v="205.11181260000001"/>
    <n v="7.484"/>
  </r>
  <r>
    <x v="24"/>
    <x v="39"/>
    <n v="696314.53"/>
    <x v="0"/>
    <n v="38.799999999999997"/>
    <n v="2.9169999999999998"/>
    <n v="205.16083699999999"/>
    <n v="7.484"/>
  </r>
  <r>
    <x v="24"/>
    <x v="40"/>
    <n v="713250.08"/>
    <x v="0"/>
    <n v="40.68"/>
    <n v="2.931"/>
    <n v="205.20986139999999"/>
    <n v="7.484"/>
  </r>
  <r>
    <x v="24"/>
    <x v="41"/>
    <n v="718056.73"/>
    <x v="0"/>
    <n v="42.72"/>
    <n v="3"/>
    <n v="205.09928110000001"/>
    <n v="7.484"/>
  </r>
  <r>
    <x v="24"/>
    <x v="42"/>
    <n v="1115240.6100000001"/>
    <x v="1"/>
    <n v="43.43"/>
    <n v="3.0390000000000001"/>
    <n v="204.96209999999999"/>
    <n v="7.484"/>
  </r>
  <r>
    <x v="24"/>
    <x v="43"/>
    <n v="885572.96"/>
    <x v="0"/>
    <n v="32.409999999999997"/>
    <n v="3.0459999999999998"/>
    <n v="204.8249189"/>
    <n v="7.484"/>
  </r>
  <r>
    <x v="24"/>
    <x v="44"/>
    <n v="964729.18"/>
    <x v="0"/>
    <n v="22.65"/>
    <n v="3.109"/>
    <n v="204.68773780000001"/>
    <n v="7.484"/>
  </r>
  <r>
    <x v="24"/>
    <x v="45"/>
    <n v="1047707.59"/>
    <x v="0"/>
    <n v="21.6"/>
    <n v="3.14"/>
    <n v="204.63211939999999"/>
    <n v="7.484"/>
  </r>
  <r>
    <x v="24"/>
    <x v="46"/>
    <n v="1295391.19"/>
    <x v="0"/>
    <n v="22.94"/>
    <n v="3.141"/>
    <n v="204.6376731"/>
    <n v="7.484"/>
  </r>
  <r>
    <x v="24"/>
    <x v="47"/>
    <n v="623092.54"/>
    <x v="1"/>
    <n v="25.89"/>
    <n v="3.1789999999999998"/>
    <n v="204.64322670000001"/>
    <n v="7.484"/>
  </r>
  <r>
    <x v="24"/>
    <x v="48"/>
    <n v="558794.63"/>
    <x v="0"/>
    <n v="29"/>
    <n v="3.1930000000000001"/>
    <n v="204.6487803"/>
    <n v="7.343"/>
  </r>
  <r>
    <x v="24"/>
    <x v="49"/>
    <n v="572360.82999999996"/>
    <x v="0"/>
    <n v="18.3"/>
    <n v="3.2050000000000001"/>
    <n v="204.7026042"/>
    <n v="7.343"/>
  </r>
  <r>
    <x v="24"/>
    <x v="50"/>
    <n v="568093.56999999995"/>
    <x v="0"/>
    <n v="23.21"/>
    <n v="3.2290000000000001"/>
    <n v="205.0460497"/>
    <n v="7.343"/>
  </r>
  <r>
    <x v="24"/>
    <x v="51"/>
    <n v="600448.68999999994"/>
    <x v="0"/>
    <n v="18.920000000000002"/>
    <n v="3.2370000000000001"/>
    <n v="205.3894952"/>
    <n v="7.343"/>
  </r>
  <r>
    <x v="24"/>
    <x v="52"/>
    <n v="639830.44999999995"/>
    <x v="0"/>
    <n v="23.94"/>
    <n v="3.2309999999999999"/>
    <n v="205.7329407"/>
    <n v="7.343"/>
  </r>
  <r>
    <x v="24"/>
    <x v="53"/>
    <n v="615666.78"/>
    <x v="1"/>
    <n v="21.18"/>
    <n v="3.2389999999999999"/>
    <n v="206.0763862"/>
    <n v="7.343"/>
  </r>
  <r>
    <x v="24"/>
    <x v="54"/>
    <n v="634637.03"/>
    <x v="0"/>
    <n v="38.42"/>
    <n v="3.2450000000000001"/>
    <n v="206.3694701"/>
    <n v="7.343"/>
  </r>
  <r>
    <x v="24"/>
    <x v="55"/>
    <n v="570816.34"/>
    <x v="0"/>
    <n v="28.36"/>
    <n v="3.274"/>
    <n v="206.6424093"/>
    <n v="7.343"/>
  </r>
  <r>
    <x v="24"/>
    <x v="56"/>
    <n v="640912.18000000005"/>
    <x v="0"/>
    <n v="31.59"/>
    <n v="3.4329999999999998"/>
    <n v="206.91534849999999"/>
    <n v="7.343"/>
  </r>
  <r>
    <x v="24"/>
    <x v="57"/>
    <n v="599828.39"/>
    <x v="0"/>
    <n v="36.729999999999997"/>
    <n v="3.5819999999999999"/>
    <n v="207.1882876"/>
    <n v="7.343"/>
  </r>
  <r>
    <x v="24"/>
    <x v="58"/>
    <n v="603393.64"/>
    <x v="0"/>
    <n v="40.94"/>
    <n v="3.6309999999999998"/>
    <n v="207.42838449999999"/>
    <n v="7.343"/>
  </r>
  <r>
    <x v="24"/>
    <x v="59"/>
    <n v="616324.24"/>
    <x v="0"/>
    <n v="38.51"/>
    <n v="3.625"/>
    <n v="207.65534439999999"/>
    <n v="7.343"/>
  </r>
  <r>
    <x v="24"/>
    <x v="60"/>
    <n v="618377.79"/>
    <x v="0"/>
    <n v="28.5"/>
    <n v="3.6379999999999999"/>
    <n v="207.88230429999999"/>
    <n v="7.2869999999999999"/>
  </r>
  <r>
    <x v="24"/>
    <x v="61"/>
    <n v="648606.13"/>
    <x v="0"/>
    <n v="42.11"/>
    <n v="3.72"/>
    <n v="208.10926420000001"/>
    <n v="7.2869999999999999"/>
  </r>
  <r>
    <x v="24"/>
    <x v="62"/>
    <n v="674562.45"/>
    <x v="0"/>
    <n v="51.43"/>
    <n v="3.8210000000000002"/>
    <n v="208.3172811"/>
    <n v="7.2869999999999999"/>
  </r>
  <r>
    <x v="24"/>
    <x v="63"/>
    <n v="756588.42"/>
    <x v="0"/>
    <n v="45.87"/>
    <n v="3.8919999999999999"/>
    <n v="208.47794049999999"/>
    <n v="7.2869999999999999"/>
  </r>
  <r>
    <x v="24"/>
    <x v="64"/>
    <n v="649245"/>
    <x v="0"/>
    <n v="58.43"/>
    <n v="3.9620000000000002"/>
    <n v="208.6386"/>
    <n v="7.2869999999999999"/>
  </r>
  <r>
    <x v="24"/>
    <x v="65"/>
    <n v="659446.55000000005"/>
    <x v="0"/>
    <n v="49.5"/>
    <n v="4.0460000000000003"/>
    <n v="208.79925950000001"/>
    <n v="7.2869999999999999"/>
  </r>
  <r>
    <x v="24"/>
    <x v="66"/>
    <n v="684783.15"/>
    <x v="0"/>
    <n v="60.1"/>
    <n v="4.0659999999999998"/>
    <n v="208.95991889999999"/>
    <n v="7.2869999999999999"/>
  </r>
  <r>
    <x v="24"/>
    <x v="67"/>
    <n v="677971.33"/>
    <x v="0"/>
    <n v="56.56"/>
    <n v="4.0620000000000003"/>
    <n v="208.75831650000001"/>
    <n v="7.2869999999999999"/>
  </r>
  <r>
    <x v="24"/>
    <x v="68"/>
    <n v="718373.94"/>
    <x v="0"/>
    <n v="67.180000000000007"/>
    <n v="3.9849999999999999"/>
    <n v="208.556714"/>
    <n v="7.2869999999999999"/>
  </r>
  <r>
    <x v="24"/>
    <x v="69"/>
    <n v="737551.74"/>
    <x v="0"/>
    <n v="70.69"/>
    <n v="3.9220000000000002"/>
    <n v="208.35511159999999"/>
    <n v="7.2869999999999999"/>
  </r>
  <r>
    <x v="24"/>
    <x v="70"/>
    <n v="740259.63"/>
    <x v="0"/>
    <n v="71.45"/>
    <n v="3.8809999999999998"/>
    <n v="208.1535092"/>
    <n v="7.2869999999999999"/>
  </r>
  <r>
    <x v="24"/>
    <x v="71"/>
    <n v="717373.43"/>
    <x v="0"/>
    <n v="63.58"/>
    <n v="3.8420000000000001"/>
    <n v="208.12656039999999"/>
    <n v="7.2869999999999999"/>
  </r>
  <r>
    <x v="24"/>
    <x v="72"/>
    <n v="699270.1"/>
    <x v="0"/>
    <n v="70.709999999999994"/>
    <n v="3.8039999999999998"/>
    <n v="208.23060179999999"/>
    <n v="7.2869999999999999"/>
  </r>
  <r>
    <x v="24"/>
    <x v="73"/>
    <n v="706206.86"/>
    <x v="0"/>
    <n v="66.61"/>
    <n v="3.7480000000000002"/>
    <n v="208.33464319999999"/>
    <n v="7.274"/>
  </r>
  <r>
    <x v="24"/>
    <x v="74"/>
    <n v="698529.64"/>
    <x v="0"/>
    <n v="71.64"/>
    <n v="3.7109999999999999"/>
    <n v="208.43868470000001"/>
    <n v="7.274"/>
  </r>
  <r>
    <x v="24"/>
    <x v="75"/>
    <n v="680510.23"/>
    <x v="0"/>
    <n v="72.67"/>
    <n v="3.76"/>
    <n v="208.53093369999999"/>
    <n v="7.274"/>
  </r>
  <r>
    <x v="24"/>
    <x v="76"/>
    <n v="670854.96"/>
    <x v="0"/>
    <n v="78.099999999999994"/>
    <n v="3.8109999999999999"/>
    <n v="208.59370179999999"/>
    <n v="7.274"/>
  </r>
  <r>
    <x v="24"/>
    <x v="77"/>
    <n v="668390.81999999995"/>
    <x v="0"/>
    <n v="74.72"/>
    <n v="3.8290000000000002"/>
    <n v="208.65646989999999"/>
    <n v="7.274"/>
  </r>
  <r>
    <x v="24"/>
    <x v="78"/>
    <n v="679706.01"/>
    <x v="0"/>
    <n v="74"/>
    <n v="3.8420000000000001"/>
    <n v="208.71923799999999"/>
    <n v="7.274"/>
  </r>
  <r>
    <x v="24"/>
    <x v="79"/>
    <n v="667130.48"/>
    <x v="0"/>
    <n v="70.930000000000007"/>
    <n v="3.8119999999999998"/>
    <n v="208.78200609999999"/>
    <n v="7.274"/>
  </r>
  <r>
    <x v="24"/>
    <x v="80"/>
    <n v="688958.75"/>
    <x v="0"/>
    <n v="68.09"/>
    <n v="3.7469999999999999"/>
    <n v="208.8424359"/>
    <n v="7.274"/>
  </r>
  <r>
    <x v="24"/>
    <x v="81"/>
    <n v="726422.55"/>
    <x v="0"/>
    <n v="66.8"/>
    <n v="3.7040000000000002"/>
    <n v="208.90247600000001"/>
    <n v="7.274"/>
  </r>
  <r>
    <x v="24"/>
    <x v="82"/>
    <n v="699779"/>
    <x v="0"/>
    <n v="67.2"/>
    <n v="3.7029999999999998"/>
    <n v="208.96251609999999"/>
    <n v="7.274"/>
  </r>
  <r>
    <x v="24"/>
    <x v="83"/>
    <n v="673248.48"/>
    <x v="1"/>
    <n v="67.510000000000005"/>
    <n v="3.738"/>
    <n v="209.0225562"/>
    <n v="7.274"/>
  </r>
  <r>
    <x v="24"/>
    <x v="84"/>
    <n v="628720.46"/>
    <x v="0"/>
    <n v="62.05"/>
    <n v="3.742"/>
    <n v="209.18938919999999"/>
    <n v="7.274"/>
  </r>
  <r>
    <x v="24"/>
    <x v="85"/>
    <n v="620885.93000000005"/>
    <x v="0"/>
    <n v="60.28"/>
    <n v="3.7109999999999999"/>
    <n v="209.4986126"/>
    <n v="7.274"/>
  </r>
  <r>
    <x v="24"/>
    <x v="86"/>
    <n v="639160.24"/>
    <x v="0"/>
    <n v="60.7"/>
    <n v="3.645"/>
    <n v="209.80783600000001"/>
    <n v="7.274"/>
  </r>
  <r>
    <x v="24"/>
    <x v="87"/>
    <n v="671522.87"/>
    <x v="0"/>
    <n v="50.82"/>
    <n v="3.5830000000000002"/>
    <n v="210.11705950000001"/>
    <n v="7.0819999999999999"/>
  </r>
  <r>
    <x v="24"/>
    <x v="88"/>
    <n v="646915.47"/>
    <x v="0"/>
    <n v="58.95"/>
    <n v="3.5409999999999999"/>
    <n v="210.40276019999999"/>
    <n v="7.0819999999999999"/>
  </r>
  <r>
    <x v="24"/>
    <x v="89"/>
    <n v="690675.5"/>
    <x v="0"/>
    <n v="50.22"/>
    <n v="3.57"/>
    <n v="210.54732519999999"/>
    <n v="7.0819999999999999"/>
  </r>
  <r>
    <x v="24"/>
    <x v="90"/>
    <n v="724443.97"/>
    <x v="0"/>
    <n v="46.28"/>
    <n v="3.569"/>
    <n v="210.69189009999999"/>
    <n v="7.0819999999999999"/>
  </r>
  <r>
    <x v="24"/>
    <x v="91"/>
    <n v="718393.61"/>
    <x v="0"/>
    <n v="40.880000000000003"/>
    <n v="3.5510000000000002"/>
    <n v="210.83645509999999"/>
    <n v="7.0819999999999999"/>
  </r>
  <r>
    <x v="24"/>
    <x v="92"/>
    <n v="719235.07"/>
    <x v="0"/>
    <n v="44.81"/>
    <n v="3.53"/>
    <n v="210.98102009999999"/>
    <n v="7.0819999999999999"/>
  </r>
  <r>
    <x v="24"/>
    <x v="93"/>
    <n v="728525.6"/>
    <x v="0"/>
    <n v="46.41"/>
    <n v="3.53"/>
    <n v="211.18472070000001"/>
    <n v="7.0819999999999999"/>
  </r>
  <r>
    <x v="24"/>
    <x v="94"/>
    <n v="1116211.3899999999"/>
    <x v="1"/>
    <n v="43.49"/>
    <n v="3.492"/>
    <n v="211.4120757"/>
    <n v="7.0819999999999999"/>
  </r>
  <r>
    <x v="24"/>
    <x v="95"/>
    <n v="878314.57"/>
    <x v="0"/>
    <n v="42.85"/>
    <n v="3.452"/>
    <n v="211.6394306"/>
    <n v="7.0819999999999999"/>
  </r>
  <r>
    <x v="24"/>
    <x v="96"/>
    <n v="916446.02"/>
    <x v="0"/>
    <n v="38.69"/>
    <n v="3.415"/>
    <n v="211.86678559999999"/>
    <n v="7.0819999999999999"/>
  </r>
  <r>
    <x v="24"/>
    <x v="97"/>
    <n v="997502.47"/>
    <x v="0"/>
    <n v="33.090000000000003"/>
    <n v="3.4129999999999998"/>
    <n v="212.0685039"/>
    <n v="7.0819999999999999"/>
  </r>
  <r>
    <x v="24"/>
    <x v="98"/>
    <n v="1290532.97"/>
    <x v="0"/>
    <n v="36.56"/>
    <n v="3.3889999999999998"/>
    <n v="212.2360401"/>
    <n v="7.0819999999999999"/>
  </r>
  <r>
    <x v="24"/>
    <x v="99"/>
    <n v="683665.37"/>
    <x v="1"/>
    <n v="32.42"/>
    <n v="3.3889999999999998"/>
    <n v="212.4035763"/>
    <n v="7.0819999999999999"/>
  </r>
  <r>
    <x v="24"/>
    <x v="100"/>
    <n v="636419.12"/>
    <x v="0"/>
    <n v="30.23"/>
    <n v="3.4220000000000002"/>
    <n v="212.5711125"/>
    <n v="6.9610000000000003"/>
  </r>
  <r>
    <x v="24"/>
    <x v="101"/>
    <n v="614764.31000000006"/>
    <x v="0"/>
    <n v="34.6"/>
    <n v="3.5129999999999999"/>
    <n v="212.7386486"/>
    <n v="6.9610000000000003"/>
  </r>
  <r>
    <x v="24"/>
    <x v="102"/>
    <n v="594744.89"/>
    <x v="0"/>
    <n v="23.87"/>
    <n v="3.5329999999999999"/>
    <n v="212.83363990000001"/>
    <n v="6.9610000000000003"/>
  </r>
  <r>
    <x v="24"/>
    <x v="103"/>
    <n v="589554.29"/>
    <x v="0"/>
    <n v="32.24"/>
    <n v="3.5670000000000002"/>
    <n v="212.92863120000001"/>
    <n v="6.9610000000000003"/>
  </r>
  <r>
    <x v="24"/>
    <x v="104"/>
    <n v="642776.4"/>
    <x v="0"/>
    <n v="34.979999999999997"/>
    <n v="3.617"/>
    <n v="213.02362249999999"/>
    <n v="6.9610000000000003"/>
  </r>
  <r>
    <x v="24"/>
    <x v="105"/>
    <n v="658984.38"/>
    <x v="1"/>
    <n v="32.47"/>
    <n v="3.64"/>
    <n v="213.11861379999999"/>
    <n v="6.9610000000000003"/>
  </r>
  <r>
    <x v="24"/>
    <x v="106"/>
    <n v="654088.02"/>
    <x v="0"/>
    <n v="32.229999999999997"/>
    <n v="3.6949999999999998"/>
    <n v="213.2732106"/>
    <n v="6.9610000000000003"/>
  </r>
  <r>
    <x v="24"/>
    <x v="107"/>
    <n v="613501.05000000005"/>
    <x v="0"/>
    <n v="35.51"/>
    <n v="3.7389999999999999"/>
    <n v="213.47251159999999"/>
    <n v="6.9610000000000003"/>
  </r>
  <r>
    <x v="24"/>
    <x v="108"/>
    <n v="643155.89"/>
    <x v="0"/>
    <n v="36.01"/>
    <n v="3.8159999999999998"/>
    <n v="213.6718127"/>
    <n v="6.9610000000000003"/>
  </r>
  <r>
    <x v="24"/>
    <x v="109"/>
    <n v="643711.53"/>
    <x v="0"/>
    <n v="37.44"/>
    <n v="3.8479999999999999"/>
    <n v="213.8711137"/>
    <n v="6.9610000000000003"/>
  </r>
  <r>
    <x v="24"/>
    <x v="110"/>
    <n v="638204.27"/>
    <x v="0"/>
    <n v="50.64"/>
    <n v="3.8620000000000001"/>
    <n v="214.0167132"/>
    <n v="6.9610000000000003"/>
  </r>
  <r>
    <x v="24"/>
    <x v="111"/>
    <n v="672831.78"/>
    <x v="0"/>
    <n v="62.7"/>
    <n v="3.9"/>
    <n v="214.0907105"/>
    <n v="6.9610000000000003"/>
  </r>
  <r>
    <x v="24"/>
    <x v="112"/>
    <n v="684348.92"/>
    <x v="0"/>
    <n v="47.92"/>
    <n v="3.9529999999999998"/>
    <n v="214.1647079"/>
    <n v="6.9610000000000003"/>
  </r>
  <r>
    <x v="24"/>
    <x v="113"/>
    <n v="791356.9"/>
    <x v="0"/>
    <n v="44.73"/>
    <n v="3.996"/>
    <n v="214.23870529999999"/>
    <n v="7.1390000000000002"/>
  </r>
  <r>
    <x v="24"/>
    <x v="114"/>
    <n v="658691.56000000006"/>
    <x v="0"/>
    <n v="42.46"/>
    <n v="4.0439999999999996"/>
    <n v="214.31270269999999"/>
    <n v="7.1390000000000002"/>
  </r>
  <r>
    <x v="24"/>
    <x v="115"/>
    <n v="661566.48"/>
    <x v="0"/>
    <n v="57.1"/>
    <n v="4.0270000000000001"/>
    <n v="214.3675045"/>
    <n v="7.1390000000000002"/>
  </r>
  <r>
    <x v="24"/>
    <x v="116"/>
    <n v="655157.31999999995"/>
    <x v="0"/>
    <n v="44.2"/>
    <n v="4.0039999999999996"/>
    <n v="214.4223063"/>
    <n v="7.1390000000000002"/>
  </r>
  <r>
    <x v="24"/>
    <x v="117"/>
    <n v="696421.72"/>
    <x v="0"/>
    <n v="58.76"/>
    <n v="3.9510000000000001"/>
    <n v="214.47710810000001"/>
    <n v="7.1390000000000002"/>
  </r>
  <r>
    <x v="24"/>
    <x v="118"/>
    <n v="739866.16"/>
    <x v="0"/>
    <n v="59.21"/>
    <n v="3.8889999999999998"/>
    <n v="214.53190989999999"/>
    <n v="7.1390000000000002"/>
  </r>
  <r>
    <x v="24"/>
    <x v="119"/>
    <n v="717207.19"/>
    <x v="0"/>
    <n v="58.21"/>
    <n v="3.8479999999999999"/>
    <n v="214.54855710000001"/>
    <n v="7.1390000000000002"/>
  </r>
  <r>
    <x v="24"/>
    <x v="120"/>
    <n v="783371.02"/>
    <x v="0"/>
    <n v="67.69"/>
    <n v="3.798"/>
    <n v="214.54994249999999"/>
    <n v="7.1390000000000002"/>
  </r>
  <r>
    <x v="24"/>
    <x v="121"/>
    <n v="694765.95"/>
    <x v="0"/>
    <n v="69.540000000000006"/>
    <n v="3.742"/>
    <n v="214.5513278"/>
    <n v="7.1390000000000002"/>
  </r>
  <r>
    <x v="24"/>
    <x v="122"/>
    <n v="730254.19"/>
    <x v="0"/>
    <n v="58.48"/>
    <n v="3.6890000000000001"/>
    <n v="214.5527132"/>
    <n v="7.1390000000000002"/>
  </r>
  <r>
    <x v="24"/>
    <x v="123"/>
    <n v="753860.89"/>
    <x v="0"/>
    <n v="68.34"/>
    <n v="3.62"/>
    <n v="214.56532429999999"/>
    <n v="7.1390000000000002"/>
  </r>
  <r>
    <x v="24"/>
    <x v="124"/>
    <n v="721601.9"/>
    <x v="0"/>
    <n v="73.52"/>
    <n v="3.5640000000000001"/>
    <n v="214.60599999999999"/>
    <n v="7.1390000000000002"/>
  </r>
  <r>
    <x v="24"/>
    <x v="125"/>
    <n v="718890.81"/>
    <x v="0"/>
    <n v="69.84"/>
    <n v="3.5059999999999998"/>
    <n v="214.6466757"/>
    <n v="7.1390000000000002"/>
  </r>
  <r>
    <x v="24"/>
    <x v="126"/>
    <n v="753385.55"/>
    <x v="0"/>
    <n v="75.52"/>
    <n v="3.4750000000000001"/>
    <n v="214.68735140000001"/>
    <n v="7.28"/>
  </r>
  <r>
    <x v="24"/>
    <x v="127"/>
    <n v="714093.95"/>
    <x v="0"/>
    <n v="73.87"/>
    <n v="3.5230000000000001"/>
    <n v="214.728027"/>
    <n v="7.28"/>
  </r>
  <r>
    <x v="24"/>
    <x v="128"/>
    <n v="685676.58"/>
    <x v="0"/>
    <n v="74.319999999999993"/>
    <n v="3.5670000000000002"/>
    <n v="214.7331351"/>
    <n v="7.28"/>
  </r>
  <r>
    <x v="24"/>
    <x v="129"/>
    <n v="659109.53"/>
    <x v="0"/>
    <n v="72.98"/>
    <n v="3.6469999999999998"/>
    <n v="214.7382432"/>
    <n v="7.28"/>
  </r>
  <r>
    <x v="24"/>
    <x v="130"/>
    <n v="709724.6"/>
    <x v="0"/>
    <n v="72.08"/>
    <n v="3.6539999999999999"/>
    <n v="214.74335139999999"/>
    <n v="7.28"/>
  </r>
  <r>
    <x v="24"/>
    <x v="131"/>
    <n v="710496.97"/>
    <x v="0"/>
    <n v="71.930000000000007"/>
    <n v="3.722"/>
    <n v="214.7484595"/>
    <n v="7.28"/>
  </r>
  <r>
    <x v="24"/>
    <x v="132"/>
    <n v="728467.72"/>
    <x v="0"/>
    <n v="66.989999999999995"/>
    <n v="3.8069999999999999"/>
    <n v="214.82557800000001"/>
    <n v="7.28"/>
  </r>
  <r>
    <x v="24"/>
    <x v="133"/>
    <n v="756527.64"/>
    <x v="0"/>
    <n v="64.53"/>
    <n v="3.8340000000000001"/>
    <n v="214.95670440000001"/>
    <n v="7.28"/>
  </r>
  <r>
    <x v="24"/>
    <x v="134"/>
    <n v="714828.73"/>
    <x v="0"/>
    <n v="68.55"/>
    <n v="3.867"/>
    <n v="215.0878309"/>
    <n v="7.28"/>
  </r>
  <r>
    <x v="24"/>
    <x v="135"/>
    <n v="671482.9"/>
    <x v="1"/>
    <n v="72.790000000000006"/>
    <n v="3.911"/>
    <n v="215.2189573"/>
    <n v="7.28"/>
  </r>
  <r>
    <x v="24"/>
    <x v="136"/>
    <n v="657241.63"/>
    <x v="0"/>
    <n v="60.9"/>
    <n v="3.948"/>
    <n v="215.35837570000001"/>
    <n v="7.28"/>
  </r>
  <r>
    <x v="24"/>
    <x v="137"/>
    <n v="664745.19999999995"/>
    <x v="0"/>
    <n v="57.6"/>
    <n v="4.0380000000000003"/>
    <n v="215.54754589999999"/>
    <n v="7.28"/>
  </r>
  <r>
    <x v="24"/>
    <x v="138"/>
    <n v="683300.84"/>
    <x v="0"/>
    <n v="54.52"/>
    <n v="3.9969999999999999"/>
    <n v="215.73671619999999"/>
    <n v="7.28"/>
  </r>
  <r>
    <x v="24"/>
    <x v="139"/>
    <n v="699536.73"/>
    <x v="0"/>
    <n v="57.58"/>
    <n v="3.9849999999999999"/>
    <n v="215.92588649999999"/>
    <n v="7.2930000000000001"/>
  </r>
  <r>
    <x v="24"/>
    <x v="140"/>
    <n v="697317.41"/>
    <x v="0"/>
    <n v="43.74"/>
    <n v="4"/>
    <n v="216.11505679999999"/>
    <n v="7.2930000000000001"/>
  </r>
  <r>
    <x v="24"/>
    <x v="141"/>
    <n v="685531.85"/>
    <x v="0"/>
    <n v="51.93"/>
    <n v="3.9689999999999999"/>
    <n v="216.1464699"/>
    <n v="7.2930000000000001"/>
  </r>
  <r>
    <x v="24"/>
    <x v="142"/>
    <n v="688940.94"/>
    <x v="0"/>
    <n v="56.69"/>
    <n v="3.8820000000000001"/>
    <n v="216.15159019999999"/>
    <n v="7.2930000000000001"/>
  </r>
  <r>
    <x v="25"/>
    <x v="0"/>
    <n v="1034119.21"/>
    <x v="0"/>
    <n v="9.5500000000000007"/>
    <n v="2.7879999999999998"/>
    <n v="131.5279032"/>
    <n v="8.4879999999999995"/>
  </r>
  <r>
    <x v="25"/>
    <x v="1"/>
    <n v="1015684.09"/>
    <x v="1"/>
    <n v="18.14"/>
    <n v="2.7709999999999999"/>
    <n v="131.58661290000001"/>
    <n v="8.4879999999999995"/>
  </r>
  <r>
    <x v="25"/>
    <x v="2"/>
    <n v="999348.55"/>
    <x v="0"/>
    <n v="22.62"/>
    <n v="2.7469999999999999"/>
    <n v="131.637"/>
    <n v="8.4879999999999995"/>
  </r>
  <r>
    <x v="25"/>
    <x v="3"/>
    <n v="855385.01"/>
    <x v="0"/>
    <n v="27.32"/>
    <n v="2.7530000000000001"/>
    <n v="131.68600000000001"/>
    <n v="8.4879999999999995"/>
  </r>
  <r>
    <x v="25"/>
    <x v="4"/>
    <n v="1005669.58"/>
    <x v="0"/>
    <n v="28.6"/>
    <n v="2.766"/>
    <n v="131.73500000000001"/>
    <n v="8.4879999999999995"/>
  </r>
  <r>
    <x v="25"/>
    <x v="5"/>
    <n v="963382.09"/>
    <x v="0"/>
    <n v="31.1"/>
    <n v="2.8050000000000002"/>
    <n v="131.78399999999999"/>
    <n v="8.4879999999999995"/>
  </r>
  <r>
    <x v="25"/>
    <x v="6"/>
    <n v="903366.55"/>
    <x v="0"/>
    <n v="35.340000000000003"/>
    <n v="2.8340000000000001"/>
    <n v="131.8242903"/>
    <n v="8.4879999999999995"/>
  </r>
  <r>
    <x v="25"/>
    <x v="7"/>
    <n v="893613"/>
    <x v="0"/>
    <n v="35.26"/>
    <n v="2.831"/>
    <n v="131.86312899999999"/>
    <n v="8.4879999999999995"/>
  </r>
  <r>
    <x v="25"/>
    <x v="8"/>
    <n v="1029849.2"/>
    <x v="0"/>
    <n v="36.53"/>
    <n v="2.8260000000000001"/>
    <n v="131.9019677"/>
    <n v="8.5120000000000005"/>
  </r>
  <r>
    <x v="25"/>
    <x v="9"/>
    <n v="1022293.81"/>
    <x v="0"/>
    <n v="50.13"/>
    <n v="2.8490000000000002"/>
    <n v="131.94080650000001"/>
    <n v="8.5120000000000005"/>
  </r>
  <r>
    <x v="25"/>
    <x v="10"/>
    <n v="905548.38"/>
    <x v="0"/>
    <n v="36.6"/>
    <n v="2.8849999999999998"/>
    <n v="131.98089999999999"/>
    <n v="8.5120000000000005"/>
  </r>
  <r>
    <x v="25"/>
    <x v="11"/>
    <n v="881930.87"/>
    <x v="0"/>
    <n v="39.68"/>
    <n v="2.895"/>
    <n v="132.0226667"/>
    <n v="8.5120000000000005"/>
  </r>
  <r>
    <x v="25"/>
    <x v="12"/>
    <n v="904503.85"/>
    <x v="0"/>
    <n v="40.56"/>
    <n v="2.9350000000000001"/>
    <n v="132.06443329999999"/>
    <n v="8.5120000000000005"/>
  </r>
  <r>
    <x v="25"/>
    <x v="13"/>
    <n v="1074479.73"/>
    <x v="0"/>
    <n v="54.72"/>
    <n v="2.9809999999999999"/>
    <n v="132.1062"/>
    <n v="8.5120000000000005"/>
  </r>
  <r>
    <x v="25"/>
    <x v="14"/>
    <n v="972663.59"/>
    <x v="0"/>
    <n v="39.08"/>
    <n v="2.9830000000000001"/>
    <n v="132.152129"/>
    <n v="8.5120000000000005"/>
  </r>
  <r>
    <x v="25"/>
    <x v="15"/>
    <n v="986765.01"/>
    <x v="0"/>
    <n v="50.81"/>
    <n v="2.9609999999999999"/>
    <n v="132.2230323"/>
    <n v="8.5120000000000005"/>
  </r>
  <r>
    <x v="25"/>
    <x v="16"/>
    <n v="1069851.5900000001"/>
    <x v="0"/>
    <n v="61.65"/>
    <n v="2.9060000000000001"/>
    <n v="132.2939355"/>
    <n v="8.5120000000000005"/>
  </r>
  <r>
    <x v="25"/>
    <x v="17"/>
    <n v="1003202.66"/>
    <x v="0"/>
    <n v="58.46"/>
    <n v="2.8570000000000002"/>
    <n v="132.36483870000001"/>
    <n v="8.5120000000000005"/>
  </r>
  <r>
    <x v="25"/>
    <x v="18"/>
    <n v="1073862.5900000001"/>
    <x v="0"/>
    <n v="51.62"/>
    <n v="2.83"/>
    <n v="132.43574190000001"/>
    <n v="8.5120000000000005"/>
  </r>
  <r>
    <x v="25"/>
    <x v="19"/>
    <n v="1001286.67"/>
    <x v="0"/>
    <n v="53.62"/>
    <n v="2.8050000000000002"/>
    <n v="132.47333330000001"/>
    <n v="8.5120000000000005"/>
  </r>
  <r>
    <x v="25"/>
    <x v="20"/>
    <n v="976242.09"/>
    <x v="0"/>
    <n v="63.78"/>
    <n v="2.81"/>
    <n v="132.49760000000001"/>
    <n v="8.5120000000000005"/>
  </r>
  <r>
    <x v="25"/>
    <x v="21"/>
    <n v="1078455.48"/>
    <x v="0"/>
    <n v="58.9"/>
    <n v="2.8149999999999999"/>
    <n v="132.5218667"/>
    <n v="8.4450000000000003"/>
  </r>
  <r>
    <x v="25"/>
    <x v="22"/>
    <n v="1122356.53"/>
    <x v="0"/>
    <n v="71.08"/>
    <n v="2.806"/>
    <n v="132.54613330000001"/>
    <n v="8.4450000000000003"/>
  </r>
  <r>
    <x v="25"/>
    <x v="23"/>
    <n v="1028151.72"/>
    <x v="0"/>
    <n v="67.66"/>
    <n v="2.7959999999999998"/>
    <n v="132.5667742"/>
    <n v="8.4450000000000003"/>
  </r>
  <r>
    <x v="25"/>
    <x v="24"/>
    <n v="971615.62"/>
    <x v="0"/>
    <n v="65.400000000000006"/>
    <n v="2.7839999999999998"/>
    <n v="132.5825806"/>
    <n v="8.4450000000000003"/>
  </r>
  <r>
    <x v="25"/>
    <x v="25"/>
    <n v="1005324.28"/>
    <x v="0"/>
    <n v="63.79"/>
    <n v="2.7919999999999998"/>
    <n v="132.5983871"/>
    <n v="8.4450000000000003"/>
  </r>
  <r>
    <x v="25"/>
    <x v="26"/>
    <n v="1125329.77"/>
    <x v="0"/>
    <n v="62.93"/>
    <n v="2.7919999999999998"/>
    <n v="132.6141935"/>
    <n v="8.4450000000000003"/>
  </r>
  <r>
    <x v="25"/>
    <x v="27"/>
    <n v="1011938.29"/>
    <x v="0"/>
    <n v="61.58"/>
    <n v="2.81"/>
    <n v="132.63"/>
    <n v="8.4450000000000003"/>
  </r>
  <r>
    <x v="25"/>
    <x v="28"/>
    <n v="1007385.36"/>
    <x v="0"/>
    <n v="62.68"/>
    <n v="2.7959999999999998"/>
    <n v="132.66161289999999"/>
    <n v="8.4450000000000003"/>
  </r>
  <r>
    <x v="25"/>
    <x v="29"/>
    <n v="977322.52"/>
    <x v="0"/>
    <n v="57.23"/>
    <n v="2.77"/>
    <n v="132.69322579999999"/>
    <n v="8.4450000000000003"/>
  </r>
  <r>
    <x v="25"/>
    <x v="30"/>
    <n v="1037549.71"/>
    <x v="0"/>
    <n v="66.930000000000007"/>
    <n v="2.7349999999999999"/>
    <n v="132.72483869999999"/>
    <n v="8.4450000000000003"/>
  </r>
  <r>
    <x v="25"/>
    <x v="31"/>
    <n v="1042226.3"/>
    <x v="1"/>
    <n v="54.82"/>
    <n v="2.7170000000000001"/>
    <n v="132.75645159999999"/>
    <n v="8.4450000000000003"/>
  </r>
  <r>
    <x v="25"/>
    <x v="32"/>
    <n v="923473.7"/>
    <x v="0"/>
    <n v="50.08"/>
    <n v="2.7160000000000002"/>
    <n v="132.76706669999999"/>
    <n v="8.4450000000000003"/>
  </r>
  <r>
    <x v="25"/>
    <x v="33"/>
    <n v="868636.3"/>
    <x v="0"/>
    <n v="52.47"/>
    <n v="2.718"/>
    <n v="132.76193330000001"/>
    <n v="8.4450000000000003"/>
  </r>
  <r>
    <x v="25"/>
    <x v="34"/>
    <n v="923221.52"/>
    <x v="0"/>
    <n v="57.8"/>
    <n v="2.7170000000000001"/>
    <n v="132.7568"/>
    <n v="8.1489999999999991"/>
  </r>
  <r>
    <x v="25"/>
    <x v="35"/>
    <n v="1001069.52"/>
    <x v="0"/>
    <n v="46.81"/>
    <n v="2.7759999999999998"/>
    <n v="132.75166669999999"/>
    <n v="8.1489999999999991"/>
  </r>
  <r>
    <x v="25"/>
    <x v="36"/>
    <n v="937956.89"/>
    <x v="0"/>
    <n v="39.93"/>
    <n v="2.8780000000000001"/>
    <n v="132.7633548"/>
    <n v="8.1489999999999991"/>
  </r>
  <r>
    <x v="25"/>
    <x v="37"/>
    <n v="916522.66"/>
    <x v="0"/>
    <n v="36.130000000000003"/>
    <n v="2.919"/>
    <n v="132.8170968"/>
    <n v="8.1489999999999991"/>
  </r>
  <r>
    <x v="25"/>
    <x v="38"/>
    <n v="895069.88"/>
    <x v="0"/>
    <n v="40.299999999999997"/>
    <n v="2.9380000000000002"/>
    <n v="132.87083870000001"/>
    <n v="8.1489999999999991"/>
  </r>
  <r>
    <x v="25"/>
    <x v="39"/>
    <n v="970224.51"/>
    <x v="0"/>
    <n v="30.51"/>
    <n v="2.9380000000000002"/>
    <n v="132.92458060000001"/>
    <n v="8.1489999999999991"/>
  </r>
  <r>
    <x v="25"/>
    <x v="40"/>
    <n v="971193.01"/>
    <x v="0"/>
    <n v="37.51"/>
    <n v="2.9609999999999999"/>
    <n v="132.97832260000001"/>
    <n v="8.1489999999999991"/>
  </r>
  <r>
    <x v="25"/>
    <x v="41"/>
    <n v="901972.7"/>
    <x v="0"/>
    <n v="36.729999999999997"/>
    <n v="3.03"/>
    <n v="132.91720000000001"/>
    <n v="8.1489999999999991"/>
  </r>
  <r>
    <x v="25"/>
    <x v="42"/>
    <n v="1286833.6200000001"/>
    <x v="1"/>
    <n v="28.11"/>
    <n v="3.07"/>
    <n v="132.8369333"/>
    <n v="8.1489999999999991"/>
  </r>
  <r>
    <x v="25"/>
    <x v="43"/>
    <n v="1016143.64"/>
    <x v="0"/>
    <n v="27.73"/>
    <n v="3.0649999999999999"/>
    <n v="132.75666670000001"/>
    <n v="8.1489999999999991"/>
  </r>
  <r>
    <x v="25"/>
    <x v="44"/>
    <n v="1149612.04"/>
    <x v="0"/>
    <n v="16.600000000000001"/>
    <n v="3.1320000000000001"/>
    <n v="132.6764"/>
    <n v="8.1489999999999991"/>
  </r>
  <r>
    <x v="25"/>
    <x v="45"/>
    <n v="1196813.33"/>
    <x v="0"/>
    <n v="20.61"/>
    <n v="3.1389999999999998"/>
    <n v="132.6804516"/>
    <n v="8.1489999999999991"/>
  </r>
  <r>
    <x v="25"/>
    <x v="46"/>
    <n v="1573982.47"/>
    <x v="0"/>
    <n v="21.81"/>
    <n v="3.15"/>
    <n v="132.74774189999999"/>
    <n v="8.1489999999999991"/>
  </r>
  <r>
    <x v="25"/>
    <x v="47"/>
    <n v="877268.29"/>
    <x v="1"/>
    <n v="18.73"/>
    <n v="3.177"/>
    <n v="132.81503230000001"/>
    <n v="8.1489999999999991"/>
  </r>
  <r>
    <x v="25"/>
    <x v="48"/>
    <n v="938149.21"/>
    <x v="0"/>
    <n v="21.13"/>
    <n v="3.1930000000000001"/>
    <n v="132.88232260000001"/>
    <n v="7.907"/>
  </r>
  <r>
    <x v="25"/>
    <x v="49"/>
    <n v="812323.29"/>
    <x v="0"/>
    <n v="16.7"/>
    <n v="3.2149999999999999"/>
    <n v="132.9510645"/>
    <n v="7.907"/>
  </r>
  <r>
    <x v="25"/>
    <x v="50"/>
    <n v="809833.21"/>
    <x v="0"/>
    <n v="12.98"/>
    <n v="3.2320000000000002"/>
    <n v="133.02851609999999"/>
    <n v="7.907"/>
  </r>
  <r>
    <x v="25"/>
    <x v="51"/>
    <n v="817485.14"/>
    <x v="0"/>
    <n v="5.54"/>
    <n v="3.2429999999999999"/>
    <n v="133.10596770000001"/>
    <n v="7.907"/>
  </r>
  <r>
    <x v="25"/>
    <x v="52"/>
    <n v="911807.02"/>
    <x v="0"/>
    <n v="11.17"/>
    <n v="3.24"/>
    <n v="133.18341939999999"/>
    <n v="7.907"/>
  </r>
  <r>
    <x v="25"/>
    <x v="53"/>
    <n v="1010711.08"/>
    <x v="1"/>
    <n v="15.12"/>
    <n v="3.2549999999999999"/>
    <n v="133.26087100000001"/>
    <n v="7.907"/>
  </r>
  <r>
    <x v="25"/>
    <x v="54"/>
    <n v="981978.02"/>
    <x v="0"/>
    <n v="19.63"/>
    <n v="3.2629999999999999"/>
    <n v="133.37014289999999"/>
    <n v="7.907"/>
  </r>
  <r>
    <x v="25"/>
    <x v="55"/>
    <n v="910298.44"/>
    <x v="0"/>
    <n v="16.3"/>
    <n v="3.2810000000000001"/>
    <n v="133.4921429"/>
    <n v="7.907"/>
  </r>
  <r>
    <x v="25"/>
    <x v="56"/>
    <n v="945643.17"/>
    <x v="0"/>
    <n v="14.31"/>
    <n v="3.4369999999999998"/>
    <n v="133.61414289999999"/>
    <n v="7.907"/>
  </r>
  <r>
    <x v="25"/>
    <x v="57"/>
    <n v="946614.55"/>
    <x v="0"/>
    <n v="28.13"/>
    <n v="3.6"/>
    <n v="133.7361429"/>
    <n v="7.907"/>
  </r>
  <r>
    <x v="25"/>
    <x v="58"/>
    <n v="887426.12"/>
    <x v="0"/>
    <n v="31.76"/>
    <n v="3.6339999999999999"/>
    <n v="133.8492258"/>
    <n v="7.907"/>
  </r>
  <r>
    <x v="25"/>
    <x v="59"/>
    <n v="866566.54"/>
    <x v="0"/>
    <n v="22.99"/>
    <n v="3.6240000000000001"/>
    <n v="133.95874190000001"/>
    <n v="7.907"/>
  </r>
  <r>
    <x v="25"/>
    <x v="60"/>
    <n v="849231.61"/>
    <x v="0"/>
    <n v="22.99"/>
    <n v="3.6379999999999999"/>
    <n v="134.06825810000001"/>
    <n v="7.8179999999999996"/>
  </r>
  <r>
    <x v="25"/>
    <x v="61"/>
    <n v="985229.81"/>
    <x v="0"/>
    <n v="29.09"/>
    <n v="3.72"/>
    <n v="134.17777419999999"/>
    <n v="7.8179999999999996"/>
  </r>
  <r>
    <x v="25"/>
    <x v="62"/>
    <n v="863266.12"/>
    <x v="0"/>
    <n v="39.46"/>
    <n v="3.823"/>
    <n v="134.2784667"/>
    <n v="7.8179999999999996"/>
  </r>
  <r>
    <x v="25"/>
    <x v="63"/>
    <n v="921700.61"/>
    <x v="0"/>
    <n v="33.81"/>
    <n v="3.919"/>
    <n v="134.3571"/>
    <n v="7.8179999999999996"/>
  </r>
  <r>
    <x v="25"/>
    <x v="64"/>
    <n v="873450.29"/>
    <x v="0"/>
    <n v="47.17"/>
    <n v="3.988"/>
    <n v="134.43573330000001"/>
    <n v="7.8179999999999996"/>
  </r>
  <r>
    <x v="25"/>
    <x v="65"/>
    <n v="1024778.23"/>
    <x v="0"/>
    <n v="45"/>
    <n v="4.0780000000000003"/>
    <n v="134.51436670000001"/>
    <n v="7.8179999999999996"/>
  </r>
  <r>
    <x v="25"/>
    <x v="66"/>
    <n v="941008.85"/>
    <x v="0"/>
    <n v="48.2"/>
    <n v="4.0949999999999998"/>
    <n v="134.59299999999999"/>
    <n v="7.8179999999999996"/>
  </r>
  <r>
    <x v="25"/>
    <x v="67"/>
    <n v="938334.62"/>
    <x v="0"/>
    <n v="48.86"/>
    <n v="4.101"/>
    <n v="134.68038709999999"/>
    <n v="7.8179999999999996"/>
  </r>
  <r>
    <x v="25"/>
    <x v="68"/>
    <n v="996723.58"/>
    <x v="0"/>
    <n v="56.74"/>
    <n v="4.0339999999999998"/>
    <n v="134.76777419999999"/>
    <n v="7.8179999999999996"/>
  </r>
  <r>
    <x v="25"/>
    <x v="69"/>
    <n v="1054454.3999999999"/>
    <x v="0"/>
    <n v="60.49"/>
    <n v="3.9729999999999999"/>
    <n v="134.85516129999999"/>
    <n v="7.8179999999999996"/>
  </r>
  <r>
    <x v="25"/>
    <x v="70"/>
    <n v="1094058.68"/>
    <x v="0"/>
    <n v="59.85"/>
    <n v="3.9239999999999999"/>
    <n v="134.94254839999999"/>
    <n v="7.8179999999999996"/>
  </r>
  <r>
    <x v="25"/>
    <x v="71"/>
    <n v="981646.46"/>
    <x v="0"/>
    <n v="54.5"/>
    <n v="3.8730000000000002"/>
    <n v="135.08373330000001"/>
    <n v="7.8179999999999996"/>
  </r>
  <r>
    <x v="25"/>
    <x v="72"/>
    <n v="997474.93"/>
    <x v="0"/>
    <n v="56.94"/>
    <n v="3.851"/>
    <n v="135.26526670000001"/>
    <n v="7.8179999999999996"/>
  </r>
  <r>
    <x v="25"/>
    <x v="73"/>
    <n v="1070119.0900000001"/>
    <x v="0"/>
    <n v="59.89"/>
    <n v="3.8149999999999999"/>
    <n v="135.4468"/>
    <n v="7.7670000000000003"/>
  </r>
  <r>
    <x v="25"/>
    <x v="74"/>
    <n v="1133807.03"/>
    <x v="0"/>
    <n v="63.34"/>
    <n v="3.7839999999999998"/>
    <n v="135.62833330000001"/>
    <n v="7.7670000000000003"/>
  </r>
  <r>
    <x v="25"/>
    <x v="75"/>
    <n v="1021534.7"/>
    <x v="0"/>
    <n v="64.430000000000007"/>
    <n v="3.827"/>
    <n v="135.7837419"/>
    <n v="7.7670000000000003"/>
  </r>
  <r>
    <x v="25"/>
    <x v="76"/>
    <n v="1017867.8"/>
    <x v="0"/>
    <n v="69.52"/>
    <n v="3.8820000000000001"/>
    <n v="135.87383869999999"/>
    <n v="7.7670000000000003"/>
  </r>
  <r>
    <x v="25"/>
    <x v="77"/>
    <n v="1005360.5"/>
    <x v="0"/>
    <n v="63.32"/>
    <n v="3.8980000000000001"/>
    <n v="135.96393549999999"/>
    <n v="7.7670000000000003"/>
  </r>
  <r>
    <x v="25"/>
    <x v="78"/>
    <n v="1107552.43"/>
    <x v="0"/>
    <n v="63.16"/>
    <n v="3.903"/>
    <n v="136.05403229999999"/>
    <n v="7.7670000000000003"/>
  </r>
  <r>
    <x v="25"/>
    <x v="79"/>
    <n v="1087644.5"/>
    <x v="0"/>
    <n v="62.99"/>
    <n v="3.88"/>
    <n v="136.14412899999999"/>
    <n v="7.7670000000000003"/>
  </r>
  <r>
    <x v="25"/>
    <x v="80"/>
    <n v="1021766.75"/>
    <x v="0"/>
    <n v="60.58"/>
    <n v="3.82"/>
    <n v="136.18312900000001"/>
    <n v="7.7670000000000003"/>
  </r>
  <r>
    <x v="25"/>
    <x v="81"/>
    <n v="1064617.6200000001"/>
    <x v="0"/>
    <n v="61.1"/>
    <n v="3.7959999999999998"/>
    <n v="136.21361289999999"/>
    <n v="7.7670000000000003"/>
  </r>
  <r>
    <x v="25"/>
    <x v="82"/>
    <n v="1040143.14"/>
    <x v="0"/>
    <n v="59.67"/>
    <n v="3.7839999999999998"/>
    <n v="136.24409679999999"/>
    <n v="7.7670000000000003"/>
  </r>
  <r>
    <x v="25"/>
    <x v="83"/>
    <n v="1069710.97"/>
    <x v="1"/>
    <n v="60.98"/>
    <n v="3.8090000000000002"/>
    <n v="136.27458060000001"/>
    <n v="7.7670000000000003"/>
  </r>
  <r>
    <x v="25"/>
    <x v="84"/>
    <n v="951569.84"/>
    <x v="0"/>
    <n v="55.19"/>
    <n v="3.8090000000000002"/>
    <n v="136.31450000000001"/>
    <n v="7.7670000000000003"/>
  </r>
  <r>
    <x v="25"/>
    <x v="85"/>
    <n v="923644.6"/>
    <x v="0"/>
    <n v="50.72"/>
    <n v="3.758"/>
    <n v="136.36699999999999"/>
    <n v="7.7670000000000003"/>
  </r>
  <r>
    <x v="25"/>
    <x v="86"/>
    <n v="959339.51"/>
    <x v="0"/>
    <n v="59.42"/>
    <n v="3.6840000000000002"/>
    <n v="136.4195"/>
    <n v="7.7670000000000003"/>
  </r>
  <r>
    <x v="25"/>
    <x v="87"/>
    <n v="1130022.99"/>
    <x v="0"/>
    <n v="46.84"/>
    <n v="3.633"/>
    <n v="136.47200000000001"/>
    <n v="7.5979999999999999"/>
  </r>
  <r>
    <x v="25"/>
    <x v="88"/>
    <n v="987886.07999999996"/>
    <x v="0"/>
    <n v="53.91"/>
    <n v="3.5830000000000002"/>
    <n v="136.51509680000001"/>
    <n v="7.5979999999999999"/>
  </r>
  <r>
    <x v="25"/>
    <x v="89"/>
    <n v="974907.28"/>
    <x v="0"/>
    <n v="45.23"/>
    <n v="3.6179999999999999"/>
    <n v="136.5017742"/>
    <n v="7.5979999999999999"/>
  </r>
  <r>
    <x v="25"/>
    <x v="90"/>
    <n v="972256.98"/>
    <x v="0"/>
    <n v="35.06"/>
    <n v="3.6040000000000001"/>
    <n v="136.48845159999999"/>
    <n v="7.5979999999999999"/>
  </r>
  <r>
    <x v="25"/>
    <x v="91"/>
    <n v="988950.75"/>
    <x v="0"/>
    <n v="31.7"/>
    <n v="3.5859999999999999"/>
    <n v="136.47512900000001"/>
    <n v="7.5979999999999999"/>
  </r>
  <r>
    <x v="25"/>
    <x v="92"/>
    <n v="1077640.1299999999"/>
    <x v="0"/>
    <n v="40.08"/>
    <n v="3.57"/>
    <n v="136.46180649999999"/>
    <n v="7.5979999999999999"/>
  </r>
  <r>
    <x v="25"/>
    <x v="93"/>
    <n v="946091.79"/>
    <x v="0"/>
    <n v="37.78"/>
    <n v="3.5710000000000002"/>
    <n v="136.46666669999999"/>
    <n v="7.5979999999999999"/>
  </r>
  <r>
    <x v="25"/>
    <x v="94"/>
    <n v="1282320.05"/>
    <x v="1"/>
    <n v="31.07"/>
    <n v="3.536"/>
    <n v="136.47880000000001"/>
    <n v="7.5979999999999999"/>
  </r>
  <r>
    <x v="25"/>
    <x v="95"/>
    <n v="1012498.49"/>
    <x v="0"/>
    <n v="36.74"/>
    <n v="3.5009999999999999"/>
    <n v="136.49093329999999"/>
    <n v="7.5979999999999999"/>
  </r>
  <r>
    <x v="25"/>
    <x v="96"/>
    <n v="1148987.46"/>
    <x v="0"/>
    <n v="34.24"/>
    <n v="3.47"/>
    <n v="136.50306670000001"/>
    <n v="7.5979999999999999"/>
  </r>
  <r>
    <x v="25"/>
    <x v="97"/>
    <n v="1204807.83"/>
    <x v="0"/>
    <n v="28.24"/>
    <n v="3.4449999999999998"/>
    <n v="136.53351610000001"/>
    <n v="7.5979999999999999"/>
  </r>
  <r>
    <x v="25"/>
    <x v="98"/>
    <n v="1515175.01"/>
    <x v="0"/>
    <n v="22.53"/>
    <n v="3.4129999999999998"/>
    <n v="136.58838710000001"/>
    <n v="7.5979999999999999"/>
  </r>
  <r>
    <x v="25"/>
    <x v="99"/>
    <n v="972834.42"/>
    <x v="1"/>
    <n v="18.8"/>
    <n v="3.4020000000000001"/>
    <n v="136.6432581"/>
    <n v="7.5979999999999999"/>
  </r>
  <r>
    <x v="25"/>
    <x v="100"/>
    <n v="971557.62"/>
    <x v="0"/>
    <n v="22.94"/>
    <n v="3.4390000000000001"/>
    <n v="136.69812899999999"/>
    <n v="7.4669999999999996"/>
  </r>
  <r>
    <x v="25"/>
    <x v="101"/>
    <n v="836305.65"/>
    <x v="0"/>
    <n v="25.55"/>
    <n v="3.5230000000000001"/>
    <n v="136.75299999999999"/>
    <n v="7.4669999999999996"/>
  </r>
  <r>
    <x v="25"/>
    <x v="102"/>
    <n v="838751.5"/>
    <x v="0"/>
    <n v="15.22"/>
    <n v="3.5419999999999998"/>
    <n v="136.85641939999999"/>
    <n v="7.4669999999999996"/>
  </r>
  <r>
    <x v="25"/>
    <x v="103"/>
    <n v="820059.89"/>
    <x v="0"/>
    <n v="24.16"/>
    <n v="3.5680000000000001"/>
    <n v="136.95983870000001"/>
    <n v="7.4669999999999996"/>
  </r>
  <r>
    <x v="25"/>
    <x v="104"/>
    <n v="939158.25"/>
    <x v="0"/>
    <n v="25.24"/>
    <n v="3.633"/>
    <n v="137.06325810000001"/>
    <n v="7.4669999999999996"/>
  </r>
  <r>
    <x v="25"/>
    <x v="105"/>
    <n v="1081005.6399999999"/>
    <x v="1"/>
    <n v="23.89"/>
    <n v="3.6549999999999998"/>
    <n v="137.1666774"/>
    <n v="7.4669999999999996"/>
  </r>
  <r>
    <x v="25"/>
    <x v="106"/>
    <n v="965788.76"/>
    <x v="0"/>
    <n v="23.9"/>
    <n v="3.7029999999999998"/>
    <n v="137.25831030000001"/>
    <n v="7.4669999999999996"/>
  </r>
  <r>
    <x v="25"/>
    <x v="107"/>
    <n v="917924.47"/>
    <x v="0"/>
    <n v="28.06"/>
    <n v="3.7509999999999999"/>
    <n v="137.34110340000001"/>
    <n v="7.4669999999999996"/>
  </r>
  <r>
    <x v="25"/>
    <x v="108"/>
    <n v="955641.74"/>
    <x v="0"/>
    <n v="22.49"/>
    <n v="3.827"/>
    <n v="137.42389660000001"/>
    <n v="7.4669999999999996"/>
  </r>
  <r>
    <x v="25"/>
    <x v="109"/>
    <n v="1028569.01"/>
    <x v="0"/>
    <n v="29.03"/>
    <n v="3.8759999999999999"/>
    <n v="137.50668970000001"/>
    <n v="7.4669999999999996"/>
  </r>
  <r>
    <x v="25"/>
    <x v="110"/>
    <n v="919503.4"/>
    <x v="0"/>
    <n v="35.06"/>
    <n v="3.867"/>
    <n v="137.58438709999999"/>
    <n v="7.4669999999999996"/>
  </r>
  <r>
    <x v="25"/>
    <x v="111"/>
    <n v="874790.68"/>
    <x v="0"/>
    <n v="49.97"/>
    <n v="3.8889999999999998"/>
    <n v="137.65529029999999"/>
    <n v="7.4669999999999996"/>
  </r>
  <r>
    <x v="25"/>
    <x v="112"/>
    <n v="922018.43"/>
    <x v="0"/>
    <n v="33.33"/>
    <n v="3.9209999999999998"/>
    <n v="137.72619349999999"/>
    <n v="7.4669999999999996"/>
  </r>
  <r>
    <x v="25"/>
    <x v="113"/>
    <n v="1116829.23"/>
    <x v="0"/>
    <n v="33.35"/>
    <n v="3.9569999999999999"/>
    <n v="137.79709679999999"/>
    <n v="7.4889999999999999"/>
  </r>
  <r>
    <x v="25"/>
    <x v="114"/>
    <n v="889670.29"/>
    <x v="0"/>
    <n v="36.9"/>
    <n v="4.0250000000000004"/>
    <n v="137.86799999999999"/>
    <n v="7.4889999999999999"/>
  </r>
  <r>
    <x v="25"/>
    <x v="115"/>
    <n v="923600.02"/>
    <x v="0"/>
    <n v="50.81"/>
    <n v="4.0460000000000003"/>
    <n v="137.92306669999999"/>
    <n v="7.4889999999999999"/>
  </r>
  <r>
    <x v="25"/>
    <x v="116"/>
    <n v="911969"/>
    <x v="0"/>
    <n v="43.6"/>
    <n v="4.0229999999999997"/>
    <n v="137.9781333"/>
    <n v="7.4889999999999999"/>
  </r>
  <r>
    <x v="25"/>
    <x v="117"/>
    <n v="946573.29"/>
    <x v="0"/>
    <n v="40.29"/>
    <n v="3.9910000000000001"/>
    <n v="138.03319999999999"/>
    <n v="7.4889999999999999"/>
  </r>
  <r>
    <x v="25"/>
    <x v="118"/>
    <n v="1062548.73"/>
    <x v="0"/>
    <n v="47.11"/>
    <n v="3.9470000000000001"/>
    <n v="138.08826669999999"/>
    <n v="7.4889999999999999"/>
  </r>
  <r>
    <x v="25"/>
    <x v="119"/>
    <n v="978082.84"/>
    <x v="0"/>
    <n v="52.55"/>
    <n v="3.899"/>
    <n v="138.1065806"/>
    <n v="7.4889999999999999"/>
  </r>
  <r>
    <x v="25"/>
    <x v="120"/>
    <n v="1067310.74"/>
    <x v="0"/>
    <n v="58.2"/>
    <n v="3.85"/>
    <n v="138.11019350000001"/>
    <n v="7.4889999999999999"/>
  </r>
  <r>
    <x v="25"/>
    <x v="121"/>
    <n v="1015853.03"/>
    <x v="0"/>
    <n v="58.51"/>
    <n v="3.798"/>
    <n v="138.11380650000001"/>
    <n v="7.4889999999999999"/>
  </r>
  <r>
    <x v="25"/>
    <x v="122"/>
    <n v="1106176.83"/>
    <x v="0"/>
    <n v="49.43"/>
    <n v="3.746"/>
    <n v="138.11741939999999"/>
    <n v="7.4889999999999999"/>
  </r>
  <r>
    <x v="25"/>
    <x v="123"/>
    <n v="1029248.22"/>
    <x v="0"/>
    <n v="57.84"/>
    <n v="3.6829999999999998"/>
    <n v="138.12953329999999"/>
    <n v="7.4889999999999999"/>
  </r>
  <r>
    <x v="25"/>
    <x v="124"/>
    <n v="1056282.9099999999"/>
    <x v="0"/>
    <n v="63.04"/>
    <n v="3.629"/>
    <n v="138.16290000000001"/>
    <n v="7.4889999999999999"/>
  </r>
  <r>
    <x v="25"/>
    <x v="125"/>
    <n v="1051190.44"/>
    <x v="0"/>
    <n v="60.71"/>
    <n v="3.577"/>
    <n v="138.1962667"/>
    <n v="7.4889999999999999"/>
  </r>
  <r>
    <x v="25"/>
    <x v="126"/>
    <n v="1180470.8"/>
    <x v="0"/>
    <n v="64.94"/>
    <n v="3.5379999999999998"/>
    <n v="138.22963329999999"/>
    <n v="7.4050000000000002"/>
  </r>
  <r>
    <x v="25"/>
    <x v="127"/>
    <n v="1063149.78"/>
    <x v="0"/>
    <n v="64.47"/>
    <n v="3.5609999999999999"/>
    <n v="138.26300000000001"/>
    <n v="7.4050000000000002"/>
  </r>
  <r>
    <x v="25"/>
    <x v="128"/>
    <n v="1049625.8999999999"/>
    <x v="0"/>
    <n v="66.75"/>
    <n v="3.61"/>
    <n v="138.2331935"/>
    <n v="7.4050000000000002"/>
  </r>
  <r>
    <x v="25"/>
    <x v="129"/>
    <n v="1031745.14"/>
    <x v="0"/>
    <n v="64.12"/>
    <n v="3.7010000000000001"/>
    <n v="138.20338709999999"/>
    <n v="7.4050000000000002"/>
  </r>
  <r>
    <x v="25"/>
    <x v="130"/>
    <n v="1090915.0900000001"/>
    <x v="0"/>
    <n v="65.599999999999994"/>
    <n v="3.698"/>
    <n v="138.17358060000001"/>
    <n v="7.4050000000000002"/>
  </r>
  <r>
    <x v="25"/>
    <x v="131"/>
    <n v="1121476.51"/>
    <x v="0"/>
    <n v="67.010000000000005"/>
    <n v="3.7719999999999998"/>
    <n v="138.1437742"/>
    <n v="7.4050000000000002"/>
  </r>
  <r>
    <x v="25"/>
    <x v="132"/>
    <n v="1068292.56"/>
    <x v="0"/>
    <n v="65.540000000000006"/>
    <n v="3.84"/>
    <n v="138.18570969999999"/>
    <n v="7.4050000000000002"/>
  </r>
  <r>
    <x v="25"/>
    <x v="133"/>
    <n v="1022704.2"/>
    <x v="0"/>
    <n v="62.08"/>
    <n v="3.8740000000000001"/>
    <n v="138.2814516"/>
    <n v="7.4050000000000002"/>
  </r>
  <r>
    <x v="25"/>
    <x v="134"/>
    <n v="1053495.51"/>
    <x v="0"/>
    <n v="63.69"/>
    <n v="3.8839999999999999"/>
    <n v="138.3771935"/>
    <n v="7.4050000000000002"/>
  </r>
  <r>
    <x v="25"/>
    <x v="135"/>
    <n v="1081874.03"/>
    <x v="1"/>
    <n v="61.58"/>
    <n v="3.9209999999999998"/>
    <n v="138.47293550000001"/>
    <n v="7.4050000000000002"/>
  </r>
  <r>
    <x v="25"/>
    <x v="136"/>
    <n v="986131.94"/>
    <x v="0"/>
    <n v="57.69"/>
    <n v="3.988"/>
    <n v="138.56729999999999"/>
    <n v="7.4050000000000002"/>
  </r>
  <r>
    <x v="25"/>
    <x v="137"/>
    <n v="961084.08"/>
    <x v="0"/>
    <n v="52.68"/>
    <n v="4.056"/>
    <n v="138.6534"/>
    <n v="7.4050000000000002"/>
  </r>
  <r>
    <x v="25"/>
    <x v="138"/>
    <n v="964726.37"/>
    <x v="0"/>
    <n v="50.66"/>
    <n v="4.0179999999999998"/>
    <n v="138.73949999999999"/>
    <n v="7.4050000000000002"/>
  </r>
  <r>
    <x v="25"/>
    <x v="139"/>
    <n v="1095504.26"/>
    <x v="0"/>
    <n v="54.07"/>
    <n v="4.0270000000000001"/>
    <n v="138.82560000000001"/>
    <n v="7.1379999999999999"/>
  </r>
  <r>
    <x v="25"/>
    <x v="140"/>
    <n v="1044639.69"/>
    <x v="0"/>
    <n v="45.19"/>
    <n v="4.0289999999999999"/>
    <n v="138.9117"/>
    <n v="7.1379999999999999"/>
  </r>
  <r>
    <x v="25"/>
    <x v="141"/>
    <n v="975578.02"/>
    <x v="0"/>
    <n v="43.51"/>
    <n v="4"/>
    <n v="138.83361289999999"/>
    <n v="7.1379999999999999"/>
  </r>
  <r>
    <x v="25"/>
    <x v="142"/>
    <n v="958619.8"/>
    <x v="0"/>
    <n v="46.95"/>
    <n v="3.9169999999999998"/>
    <n v="138.72816130000001"/>
    <n v="7.1379999999999999"/>
  </r>
  <r>
    <x v="26"/>
    <x v="0"/>
    <n v="1874289.79"/>
    <x v="0"/>
    <n v="27.19"/>
    <n v="2.9540000000000002"/>
    <n v="135.35246079999999"/>
    <n v="8.2370000000000001"/>
  </r>
  <r>
    <x v="26"/>
    <x v="1"/>
    <n v="1745362.72"/>
    <x v="1"/>
    <n v="29.81"/>
    <n v="2.94"/>
    <n v="135.41130759999999"/>
    <n v="8.2370000000000001"/>
  </r>
  <r>
    <x v="26"/>
    <x v="2"/>
    <n v="1945070.33"/>
    <x v="0"/>
    <n v="32.44"/>
    <n v="2.9089999999999998"/>
    <n v="135.46577809999999"/>
    <n v="8.2370000000000001"/>
  </r>
  <r>
    <x v="26"/>
    <x v="3"/>
    <n v="1390934.27"/>
    <x v="0"/>
    <n v="36"/>
    <n v="2.91"/>
    <n v="135.5195191"/>
    <n v="8.2370000000000001"/>
  </r>
  <r>
    <x v="26"/>
    <x v="4"/>
    <n v="1313729.72"/>
    <x v="0"/>
    <n v="38.07"/>
    <n v="2.919"/>
    <n v="135.57326019999999"/>
    <n v="8.2370000000000001"/>
  </r>
  <r>
    <x v="26"/>
    <x v="5"/>
    <n v="1925113.12"/>
    <x v="0"/>
    <n v="45.98"/>
    <n v="2.9380000000000002"/>
    <n v="135.62700129999999"/>
    <n v="8.2370000000000001"/>
  </r>
  <r>
    <x v="26"/>
    <x v="6"/>
    <n v="1700627.97"/>
    <x v="0"/>
    <n v="49.04"/>
    <n v="2.96"/>
    <n v="135.6682247"/>
    <n v="8.2370000000000001"/>
  </r>
  <r>
    <x v="26"/>
    <x v="7"/>
    <n v="1836714.84"/>
    <x v="0"/>
    <n v="52.34"/>
    <n v="2.9630000000000001"/>
    <n v="135.7073618"/>
    <n v="8.2370000000000001"/>
  </r>
  <r>
    <x v="26"/>
    <x v="8"/>
    <n v="2053952.97"/>
    <x v="0"/>
    <n v="46.9"/>
    <n v="2.9569999999999999"/>
    <n v="135.74649880000001"/>
    <n v="8.0579999999999998"/>
  </r>
  <r>
    <x v="26"/>
    <x v="9"/>
    <n v="1955814.13"/>
    <x v="0"/>
    <n v="62.62"/>
    <n v="2.992"/>
    <n v="135.78563589999999"/>
    <n v="8.0579999999999998"/>
  </r>
  <r>
    <x v="26"/>
    <x v="10"/>
    <n v="1857500.96"/>
    <x v="0"/>
    <n v="54.95"/>
    <n v="3.01"/>
    <n v="135.82724999999999"/>
    <n v="8.0579999999999998"/>
  </r>
  <r>
    <x v="26"/>
    <x v="11"/>
    <n v="1850205.47"/>
    <x v="0"/>
    <n v="53.91"/>
    <n v="3.0209999999999999"/>
    <n v="135.87216670000001"/>
    <n v="8.0579999999999998"/>
  </r>
  <r>
    <x v="26"/>
    <x v="12"/>
    <n v="1805885.04"/>
    <x v="0"/>
    <n v="53.55"/>
    <n v="3.0419999999999998"/>
    <n v="135.9170833"/>
    <n v="8.0579999999999998"/>
  </r>
  <r>
    <x v="26"/>
    <x v="13"/>
    <n v="1939458.84"/>
    <x v="0"/>
    <n v="69.02"/>
    <n v="3.0950000000000002"/>
    <n v="135.96199999999999"/>
    <n v="8.0579999999999998"/>
  </r>
  <r>
    <x v="26"/>
    <x v="14"/>
    <n v="1842465.78"/>
    <x v="0"/>
    <n v="53.82"/>
    <n v="3.1120000000000001"/>
    <n v="136.01039399999999"/>
    <n v="8.0579999999999998"/>
  </r>
  <r>
    <x v="26"/>
    <x v="15"/>
    <n v="1836595.58"/>
    <x v="0"/>
    <n v="63.31"/>
    <n v="3.0960000000000001"/>
    <n v="136.0796521"/>
    <n v="8.0579999999999998"/>
  </r>
  <r>
    <x v="26"/>
    <x v="16"/>
    <n v="1962468.67"/>
    <x v="0"/>
    <n v="67.88"/>
    <n v="3.0459999999999998"/>
    <n v="136.14891009999999"/>
    <n v="8.0579999999999998"/>
  </r>
  <r>
    <x v="26"/>
    <x v="17"/>
    <n v="2073102.59"/>
    <x v="0"/>
    <n v="74.290000000000006"/>
    <n v="3.0059999999999998"/>
    <n v="136.21816820000001"/>
    <n v="8.0579999999999998"/>
  </r>
  <r>
    <x v="26"/>
    <x v="18"/>
    <n v="1873812.93"/>
    <x v="0"/>
    <n v="68.900000000000006"/>
    <n v="2.972"/>
    <n v="136.28742629999999"/>
    <n v="8.0579999999999998"/>
  </r>
  <r>
    <x v="26"/>
    <x v="19"/>
    <n v="1887182.27"/>
    <x v="0"/>
    <n v="70"/>
    <n v="2.9420000000000002"/>
    <n v="136.32433929999999"/>
    <n v="8.0579999999999998"/>
  </r>
  <r>
    <x v="26"/>
    <x v="20"/>
    <n v="1962625.01"/>
    <x v="0"/>
    <n v="78.02"/>
    <n v="2.9580000000000002"/>
    <n v="136.3483143"/>
    <n v="8.0579999999999998"/>
  </r>
  <r>
    <x v="26"/>
    <x v="21"/>
    <n v="2024554.1"/>
    <x v="0"/>
    <n v="76.25"/>
    <n v="2.9580000000000002"/>
    <n v="136.37228930000001"/>
    <n v="7.9820000000000002"/>
  </r>
  <r>
    <x v="26"/>
    <x v="22"/>
    <n v="2119163.0099999998"/>
    <x v="0"/>
    <n v="82.69"/>
    <n v="2.94"/>
    <n v="136.39626430000001"/>
    <n v="7.9820000000000002"/>
  </r>
  <r>
    <x v="26"/>
    <x v="23"/>
    <n v="1880691.64"/>
    <x v="0"/>
    <n v="78.260000000000005"/>
    <n v="2.9329999999999998"/>
    <n v="136.41798270000001"/>
    <n v="7.9820000000000002"/>
  </r>
  <r>
    <x v="26"/>
    <x v="24"/>
    <n v="1808250.71"/>
    <x v="0"/>
    <n v="81.56"/>
    <n v="2.9239999999999999"/>
    <n v="136.4366924"/>
    <n v="7.9820000000000002"/>
  </r>
  <r>
    <x v="26"/>
    <x v="25"/>
    <n v="1816489.53"/>
    <x v="0"/>
    <n v="79.78"/>
    <n v="2.9319999999999999"/>
    <n v="136.45540209999999"/>
    <n v="7.9820000000000002"/>
  </r>
  <r>
    <x v="26"/>
    <x v="26"/>
    <n v="1908036.68"/>
    <x v="0"/>
    <n v="77.45"/>
    <n v="2.9420000000000002"/>
    <n v="136.4741118"/>
    <n v="7.9820000000000002"/>
  </r>
  <r>
    <x v="26"/>
    <x v="27"/>
    <n v="1864436.12"/>
    <x v="0"/>
    <n v="77.36"/>
    <n v="2.923"/>
    <n v="136.4928214"/>
    <n v="7.9820000000000002"/>
  </r>
  <r>
    <x v="26"/>
    <x v="28"/>
    <n v="1936878.46"/>
    <x v="0"/>
    <n v="75.16"/>
    <n v="2.9129999999999998"/>
    <n v="136.5249182"/>
    <n v="7.9820000000000002"/>
  </r>
  <r>
    <x v="26"/>
    <x v="29"/>
    <n v="1870684.21"/>
    <x v="0"/>
    <n v="70.31"/>
    <n v="2.8849999999999998"/>
    <n v="136.55701500000001"/>
    <n v="7.9820000000000002"/>
  </r>
  <r>
    <x v="26"/>
    <x v="30"/>
    <n v="1908110.9"/>
    <x v="0"/>
    <n v="78.52"/>
    <n v="2.86"/>
    <n v="136.58911180000001"/>
    <n v="7.9820000000000002"/>
  </r>
  <r>
    <x v="26"/>
    <x v="31"/>
    <n v="1913494.81"/>
    <x v="1"/>
    <n v="70.38"/>
    <n v="2.8370000000000002"/>
    <n v="136.62120849999999"/>
    <n v="7.9820000000000002"/>
  </r>
  <r>
    <x v="26"/>
    <x v="32"/>
    <n v="1629978.46"/>
    <x v="0"/>
    <n v="64.5"/>
    <n v="2.8460000000000001"/>
    <n v="136.63380710000001"/>
    <n v="7.9820000000000002"/>
  </r>
  <r>
    <x v="26"/>
    <x v="33"/>
    <n v="1597002.71"/>
    <x v="0"/>
    <n v="67.08"/>
    <n v="2.8370000000000002"/>
    <n v="136.63178210000001"/>
    <n v="7.9820000000000002"/>
  </r>
  <r>
    <x v="26"/>
    <x v="34"/>
    <n v="1543532.83"/>
    <x v="0"/>
    <n v="70.19"/>
    <n v="2.84"/>
    <n v="136.62975710000001"/>
    <n v="8.0210000000000008"/>
  </r>
  <r>
    <x v="26"/>
    <x v="35"/>
    <n v="1707662.87"/>
    <x v="0"/>
    <n v="57.78"/>
    <n v="2.903"/>
    <n v="136.6277321"/>
    <n v="8.0210000000000008"/>
  </r>
  <r>
    <x v="26"/>
    <x v="36"/>
    <n v="1728388.2"/>
    <x v="0"/>
    <n v="58.38"/>
    <n v="2.9990000000000001"/>
    <n v="136.64019350000001"/>
    <n v="8.0210000000000008"/>
  </r>
  <r>
    <x v="26"/>
    <x v="37"/>
    <n v="1693935.29"/>
    <x v="0"/>
    <n v="52.82"/>
    <n v="3.0489999999999999"/>
    <n v="136.68887100000001"/>
    <n v="8.0210000000000008"/>
  </r>
  <r>
    <x v="26"/>
    <x v="38"/>
    <n v="1688955.49"/>
    <x v="0"/>
    <n v="61.02"/>
    <n v="3.0550000000000002"/>
    <n v="136.73754840000001"/>
    <n v="8.0210000000000008"/>
  </r>
  <r>
    <x v="26"/>
    <x v="39"/>
    <n v="1686010.02"/>
    <x v="0"/>
    <n v="45.91"/>
    <n v="3.0489999999999999"/>
    <n v="136.78622580000001"/>
    <n v="8.0210000000000008"/>
  </r>
  <r>
    <x v="26"/>
    <x v="40"/>
    <n v="1828010.25"/>
    <x v="0"/>
    <n v="45.9"/>
    <n v="3.0649999999999999"/>
    <n v="136.83490320000001"/>
    <n v="8.0210000000000008"/>
  </r>
  <r>
    <x v="26"/>
    <x v="41"/>
    <n v="1704785.74"/>
    <x v="0"/>
    <n v="50.81"/>
    <n v="3.1379999999999999"/>
    <n v="136.7715714"/>
    <n v="8.0210000000000008"/>
  </r>
  <r>
    <x v="26"/>
    <x v="42"/>
    <n v="2627910.75"/>
    <x v="1"/>
    <n v="46.67"/>
    <n v="3.1859999999999999"/>
    <n v="136.68957140000001"/>
    <n v="8.0210000000000008"/>
  </r>
  <r>
    <x v="26"/>
    <x v="43"/>
    <n v="1884343.67"/>
    <x v="0"/>
    <n v="41.81"/>
    <n v="3.2"/>
    <n v="136.60757140000001"/>
    <n v="8.0210000000000008"/>
  </r>
  <r>
    <x v="26"/>
    <x v="44"/>
    <n v="2139733.6800000002"/>
    <x v="0"/>
    <n v="30.83"/>
    <n v="3.2549999999999999"/>
    <n v="136.52557139999999"/>
    <n v="8.0210000000000008"/>
  </r>
  <r>
    <x v="26"/>
    <x v="45"/>
    <n v="2350098.36"/>
    <x v="0"/>
    <n v="31.62"/>
    <n v="3.3010000000000002"/>
    <n v="136.52928109999999"/>
    <n v="8.0210000000000008"/>
  </r>
  <r>
    <x v="26"/>
    <x v="46"/>
    <n v="3078162.08"/>
    <x v="0"/>
    <n v="31.34"/>
    <n v="3.3090000000000002"/>
    <n v="136.597273"/>
    <n v="8.0210000000000008"/>
  </r>
  <r>
    <x v="26"/>
    <x v="47"/>
    <n v="1440963"/>
    <x v="1"/>
    <n v="29.59"/>
    <n v="3.3359999999999999"/>
    <n v="136.66526500000001"/>
    <n v="8.0210000000000008"/>
  </r>
  <r>
    <x v="26"/>
    <x v="48"/>
    <n v="1568159.48"/>
    <x v="0"/>
    <n v="34.42"/>
    <n v="3.351"/>
    <n v="136.73325689999999"/>
    <n v="7.827"/>
  </r>
  <r>
    <x v="26"/>
    <x v="49"/>
    <n v="1532308.62"/>
    <x v="0"/>
    <n v="25.7"/>
    <n v="3.367"/>
    <n v="136.80347699999999"/>
    <n v="7.827"/>
  </r>
  <r>
    <x v="26"/>
    <x v="50"/>
    <n v="1517029.9"/>
    <x v="0"/>
    <n v="30.13"/>
    <n v="3.391"/>
    <n v="136.88706569999999"/>
    <n v="7.827"/>
  </r>
  <r>
    <x v="26"/>
    <x v="51"/>
    <n v="1421111.55"/>
    <x v="0"/>
    <n v="23.64"/>
    <n v="3.4020000000000001"/>
    <n v="136.9706544"/>
    <n v="7.827"/>
  </r>
  <r>
    <x v="26"/>
    <x v="52"/>
    <n v="1628100.79"/>
    <x v="0"/>
    <n v="28.7"/>
    <n v="3.4"/>
    <n v="137.05424310000001"/>
    <n v="7.827"/>
  </r>
  <r>
    <x v="26"/>
    <x v="53"/>
    <n v="1636224.77"/>
    <x v="1"/>
    <n v="30.45"/>
    <n v="3.4159999999999999"/>
    <n v="137.13783179999999"/>
    <n v="7.827"/>
  </r>
  <r>
    <x v="26"/>
    <x v="54"/>
    <n v="1709365.19"/>
    <x v="0"/>
    <n v="39.32"/>
    <n v="3.42"/>
    <n v="137.2511849"/>
    <n v="7.827"/>
  </r>
  <r>
    <x v="26"/>
    <x v="55"/>
    <n v="1688935.71"/>
    <x v="0"/>
    <n v="33.049999999999997"/>
    <n v="3.452"/>
    <n v="137.3764439"/>
    <n v="7.827"/>
  </r>
  <r>
    <x v="26"/>
    <x v="56"/>
    <n v="1656130.67"/>
    <x v="0"/>
    <n v="36.99"/>
    <n v="3.605"/>
    <n v="137.5017028"/>
    <n v="7.827"/>
  </r>
  <r>
    <x v="26"/>
    <x v="57"/>
    <n v="1613259.77"/>
    <x v="0"/>
    <n v="43.64"/>
    <n v="3.7519999999999998"/>
    <n v="137.62696170000001"/>
    <n v="7.827"/>
  </r>
  <r>
    <x v="26"/>
    <x v="58"/>
    <n v="1624539.21"/>
    <x v="0"/>
    <n v="46.65"/>
    <n v="3.7959999999999998"/>
    <n v="137.7398929"/>
    <n v="7.827"/>
  </r>
  <r>
    <x v="26"/>
    <x v="59"/>
    <n v="1554651.08"/>
    <x v="0"/>
    <n v="40.11"/>
    <n v="3.7890000000000001"/>
    <n v="137.84789290000001"/>
    <n v="7.827"/>
  </r>
  <r>
    <x v="26"/>
    <x v="60"/>
    <n v="1628868.28"/>
    <x v="0"/>
    <n v="37.270000000000003"/>
    <n v="3.8109999999999999"/>
    <n v="137.95589290000001"/>
    <n v="7.7249999999999996"/>
  </r>
  <r>
    <x v="26"/>
    <x v="61"/>
    <n v="1689844.18"/>
    <x v="0"/>
    <n v="46.87"/>
    <n v="3.895"/>
    <n v="138.06389290000001"/>
    <n v="7.7249999999999996"/>
  </r>
  <r>
    <x v="26"/>
    <x v="62"/>
    <n v="1727175.61"/>
    <x v="0"/>
    <n v="52.24"/>
    <n v="3.9809999999999999"/>
    <n v="138.16469520000001"/>
    <n v="7.7249999999999996"/>
  </r>
  <r>
    <x v="26"/>
    <x v="63"/>
    <n v="1921655.48"/>
    <x v="0"/>
    <n v="50.02"/>
    <n v="4.0609999999999999"/>
    <n v="138.24750359999999"/>
    <n v="7.7249999999999996"/>
  </r>
  <r>
    <x v="26"/>
    <x v="64"/>
    <n v="1642074.64"/>
    <x v="0"/>
    <n v="61.71"/>
    <n v="4.117"/>
    <n v="138.3303119"/>
    <n v="7.7249999999999996"/>
  </r>
  <r>
    <x v="26"/>
    <x v="65"/>
    <n v="1757041.96"/>
    <x v="0"/>
    <n v="56.48"/>
    <n v="4.1920000000000002"/>
    <n v="138.41312020000001"/>
    <n v="7.7249999999999996"/>
  </r>
  <r>
    <x v="26"/>
    <x v="66"/>
    <n v="1763545.32"/>
    <x v="0"/>
    <n v="60.07"/>
    <n v="4.2110000000000003"/>
    <n v="138.49592860000001"/>
    <n v="7.7249999999999996"/>
  </r>
  <r>
    <x v="26"/>
    <x v="67"/>
    <n v="1725268.56"/>
    <x v="0"/>
    <n v="60.22"/>
    <n v="4.202"/>
    <n v="138.58710600000001"/>
    <n v="7.7249999999999996"/>
  </r>
  <r>
    <x v="26"/>
    <x v="68"/>
    <n v="1820723.17"/>
    <x v="0"/>
    <n v="66.430000000000007"/>
    <n v="4.1340000000000003"/>
    <n v="138.6782834"/>
    <n v="7.7249999999999996"/>
  </r>
  <r>
    <x v="26"/>
    <x v="69"/>
    <n v="2053708.01"/>
    <x v="0"/>
    <n v="74.17"/>
    <n v="4.069"/>
    <n v="138.76946079999999"/>
    <n v="7.7249999999999996"/>
  </r>
  <r>
    <x v="26"/>
    <x v="70"/>
    <n v="1817914.71"/>
    <x v="0"/>
    <n v="73.260000000000005"/>
    <n v="4.0250000000000004"/>
    <n v="138.86063820000001"/>
    <n v="7.7249999999999996"/>
  </r>
  <r>
    <x v="26"/>
    <x v="71"/>
    <n v="1814740.09"/>
    <x v="0"/>
    <n v="67.03"/>
    <n v="3.9889999999999999"/>
    <n v="139.00283329999999"/>
    <n v="7.7249999999999996"/>
  </r>
  <r>
    <x v="26"/>
    <x v="72"/>
    <n v="1811455.15"/>
    <x v="0"/>
    <n v="72.02"/>
    <n v="3.964"/>
    <n v="139.18329170000001"/>
    <n v="7.7249999999999996"/>
  </r>
  <r>
    <x v="26"/>
    <x v="73"/>
    <n v="1949983.93"/>
    <x v="0"/>
    <n v="73.760000000000005"/>
    <n v="3.9159999999999999"/>
    <n v="139.36375000000001"/>
    <n v="7.85"/>
  </r>
  <r>
    <x v="26"/>
    <x v="74"/>
    <n v="2000055.27"/>
    <x v="0"/>
    <n v="76.87"/>
    <n v="3.8860000000000001"/>
    <n v="139.54420830000001"/>
    <n v="7.85"/>
  </r>
  <r>
    <x v="26"/>
    <x v="75"/>
    <n v="1762155.79"/>
    <x v="0"/>
    <n v="77.83"/>
    <n v="3.915"/>
    <n v="139.70063250000001"/>
    <n v="7.85"/>
  </r>
  <r>
    <x v="26"/>
    <x v="76"/>
    <n v="1754879.45"/>
    <x v="0"/>
    <n v="82.28"/>
    <n v="3.972"/>
    <n v="139.7969712"/>
    <n v="7.85"/>
  </r>
  <r>
    <x v="26"/>
    <x v="77"/>
    <n v="1744879.06"/>
    <x v="0"/>
    <n v="79.41"/>
    <n v="4.0039999999999996"/>
    <n v="139.89330989999999"/>
    <n v="7.85"/>
  </r>
  <r>
    <x v="26"/>
    <x v="78"/>
    <n v="1747289.53"/>
    <x v="0"/>
    <n v="78.14"/>
    <n v="4.0199999999999996"/>
    <n v="139.98964860000001"/>
    <n v="7.85"/>
  </r>
  <r>
    <x v="26"/>
    <x v="79"/>
    <n v="1758437.96"/>
    <x v="0"/>
    <n v="76.67"/>
    <n v="3.9950000000000001"/>
    <n v="140.0859873"/>
    <n v="7.85"/>
  </r>
  <r>
    <x v="26"/>
    <x v="80"/>
    <n v="1781905.24"/>
    <x v="0"/>
    <n v="72.97"/>
    <n v="3.9420000000000002"/>
    <n v="140.12892049999999"/>
    <n v="7.85"/>
  </r>
  <r>
    <x v="26"/>
    <x v="81"/>
    <n v="2034400.78"/>
    <x v="0"/>
    <n v="72.88"/>
    <n v="3.9060000000000001"/>
    <n v="140.1629528"/>
    <n v="7.85"/>
  </r>
  <r>
    <x v="26"/>
    <x v="82"/>
    <n v="1511717.53"/>
    <x v="0"/>
    <n v="71.44"/>
    <n v="3.879"/>
    <n v="140.19698500000001"/>
    <n v="7.85"/>
  </r>
  <r>
    <x v="26"/>
    <x v="83"/>
    <n v="1911470.84"/>
    <x v="1"/>
    <n v="70.930000000000007"/>
    <n v="3.93"/>
    <n v="140.23101729999999"/>
    <n v="7.85"/>
  </r>
  <r>
    <x v="26"/>
    <x v="84"/>
    <n v="1613773.9"/>
    <x v="0"/>
    <n v="69.650000000000006"/>
    <n v="3.9369999999999998"/>
    <n v="140.27350000000001"/>
    <n v="7.85"/>
  </r>
  <r>
    <x v="26"/>
    <x v="85"/>
    <n v="1606208.68"/>
    <x v="0"/>
    <n v="63.61"/>
    <n v="3.899"/>
    <n v="140.32724999999999"/>
    <n v="7.85"/>
  </r>
  <r>
    <x v="26"/>
    <x v="86"/>
    <n v="1599626.26"/>
    <x v="0"/>
    <n v="70.92"/>
    <n v="3.8580000000000001"/>
    <n v="140.381"/>
    <n v="7.85"/>
  </r>
  <r>
    <x v="26"/>
    <x v="87"/>
    <n v="1672339.27"/>
    <x v="0"/>
    <n v="56.91"/>
    <n v="3.7749999999999999"/>
    <n v="140.43475000000001"/>
    <n v="7.9059999999999997"/>
  </r>
  <r>
    <x v="26"/>
    <x v="88"/>
    <n v="1682652.51"/>
    <x v="0"/>
    <n v="64.78"/>
    <n v="3.7440000000000002"/>
    <n v="140.47841940000001"/>
    <n v="7.9059999999999997"/>
  </r>
  <r>
    <x v="26"/>
    <x v="89"/>
    <n v="1689591.44"/>
    <x v="0"/>
    <n v="59.62"/>
    <n v="3.7570000000000001"/>
    <n v="140.4616048"/>
    <n v="7.9059999999999997"/>
  </r>
  <r>
    <x v="26"/>
    <x v="90"/>
    <n v="1710372.4"/>
    <x v="0"/>
    <n v="51.81"/>
    <n v="3.7570000000000001"/>
    <n v="140.44479029999999"/>
    <n v="7.9059999999999997"/>
  </r>
  <r>
    <x v="26"/>
    <x v="91"/>
    <n v="1621109.3"/>
    <x v="0"/>
    <n v="44.46"/>
    <n v="3.738"/>
    <n v="140.42797580000001"/>
    <n v="7.9059999999999997"/>
  </r>
  <r>
    <x v="26"/>
    <x v="92"/>
    <n v="1800728.07"/>
    <x v="0"/>
    <n v="49.69"/>
    <n v="3.7189999999999999"/>
    <n v="140.4111613"/>
    <n v="7.9059999999999997"/>
  </r>
  <r>
    <x v="26"/>
    <x v="93"/>
    <n v="1723739.44"/>
    <x v="0"/>
    <n v="51.42"/>
    <n v="3.7170000000000001"/>
    <n v="140.4127857"/>
    <n v="7.9059999999999997"/>
  </r>
  <r>
    <x v="26"/>
    <x v="94"/>
    <n v="2504400.71"/>
    <x v="1"/>
    <n v="47.88"/>
    <n v="3.6890000000000001"/>
    <n v="140.42178569999999"/>
    <n v="7.9059999999999997"/>
  </r>
  <r>
    <x v="26"/>
    <x v="95"/>
    <n v="1806924.74"/>
    <x v="0"/>
    <n v="50.55"/>
    <n v="3.6659999999999999"/>
    <n v="140.4307857"/>
    <n v="7.9059999999999997"/>
  </r>
  <r>
    <x v="26"/>
    <x v="96"/>
    <n v="2014665.98"/>
    <x v="0"/>
    <n v="46.28"/>
    <n v="3.6269999999999998"/>
    <n v="140.43978569999999"/>
    <n v="7.9059999999999997"/>
  </r>
  <r>
    <x v="26"/>
    <x v="97"/>
    <n v="2205919.86"/>
    <x v="0"/>
    <n v="40.68"/>
    <n v="3.6110000000000002"/>
    <n v="140.4700795"/>
    <n v="7.9059999999999997"/>
  </r>
  <r>
    <x v="26"/>
    <x v="98"/>
    <n v="2739019.75"/>
    <x v="0"/>
    <n v="41.59"/>
    <n v="3.5870000000000002"/>
    <n v="140.52876499999999"/>
    <n v="7.9059999999999997"/>
  </r>
  <r>
    <x v="26"/>
    <x v="99"/>
    <n v="1650604.6"/>
    <x v="1"/>
    <n v="37.85"/>
    <n v="3.5659999999999998"/>
    <n v="140.58745049999999"/>
    <n v="7.9059999999999997"/>
  </r>
  <r>
    <x v="26"/>
    <x v="100"/>
    <n v="1535287.4"/>
    <x v="0"/>
    <n v="35.799999999999997"/>
    <n v="3.585"/>
    <n v="140.64613589999999"/>
    <n v="8.0090000000000003"/>
  </r>
  <r>
    <x v="26"/>
    <x v="101"/>
    <n v="1492399.13"/>
    <x v="0"/>
    <n v="41.3"/>
    <n v="3.6659999999999999"/>
    <n v="140.70482139999999"/>
    <n v="8.0090000000000003"/>
  </r>
  <r>
    <x v="26"/>
    <x v="102"/>
    <n v="1542131.05"/>
    <x v="0"/>
    <n v="30.35"/>
    <n v="3.7050000000000001"/>
    <n v="140.80861179999999"/>
    <n v="8.0090000000000003"/>
  </r>
  <r>
    <x v="26"/>
    <x v="103"/>
    <n v="1263534.8600000001"/>
    <x v="0"/>
    <n v="36.96"/>
    <n v="3.7370000000000001"/>
    <n v="140.91240210000001"/>
    <n v="8.0090000000000003"/>
  </r>
  <r>
    <x v="26"/>
    <x v="104"/>
    <n v="1564246.02"/>
    <x v="0"/>
    <n v="42.52"/>
    <n v="3.7959999999999998"/>
    <n v="141.01619239999999"/>
    <n v="8.0090000000000003"/>
  </r>
  <r>
    <x v="26"/>
    <x v="105"/>
    <n v="1651605.35"/>
    <x v="1"/>
    <n v="37.86"/>
    <n v="3.8260000000000001"/>
    <n v="141.11998270000001"/>
    <n v="8.0090000000000003"/>
  </r>
  <r>
    <x v="26"/>
    <x v="106"/>
    <n v="1606221.56"/>
    <x v="0"/>
    <n v="37.24"/>
    <n v="3.8740000000000001"/>
    <n v="141.21403570000001"/>
    <n v="8.0090000000000003"/>
  </r>
  <r>
    <x v="26"/>
    <x v="107"/>
    <n v="1648602.39"/>
    <x v="0"/>
    <n v="41.74"/>
    <n v="3.9169999999999998"/>
    <n v="141.30078570000001"/>
    <n v="8.0090000000000003"/>
  </r>
  <r>
    <x v="26"/>
    <x v="108"/>
    <n v="1509323.09"/>
    <x v="0"/>
    <n v="40.07"/>
    <n v="3.9830000000000001"/>
    <n v="141.3875357"/>
    <n v="8.0090000000000003"/>
  </r>
  <r>
    <x v="26"/>
    <x v="109"/>
    <n v="1607343.41"/>
    <x v="0"/>
    <n v="44.32"/>
    <n v="4.0209999999999999"/>
    <n v="141.4742857"/>
    <n v="8.0090000000000003"/>
  </r>
  <r>
    <x v="26"/>
    <x v="110"/>
    <n v="1635984.07"/>
    <x v="0"/>
    <n v="49.6"/>
    <n v="4.0209999999999999"/>
    <n v="141.55477999999999"/>
    <n v="8.0090000000000003"/>
  </r>
  <r>
    <x v="26"/>
    <x v="111"/>
    <n v="1620839.34"/>
    <x v="0"/>
    <n v="57.3"/>
    <n v="4.0540000000000003"/>
    <n v="141.6269332"/>
    <n v="8.0090000000000003"/>
  </r>
  <r>
    <x v="26"/>
    <x v="112"/>
    <n v="1615494.14"/>
    <x v="0"/>
    <n v="49.4"/>
    <n v="4.0979999999999999"/>
    <n v="141.6990864"/>
    <n v="8.0090000000000003"/>
  </r>
  <r>
    <x v="26"/>
    <x v="113"/>
    <n v="1899013.34"/>
    <x v="0"/>
    <n v="48.73"/>
    <n v="4.1429999999999998"/>
    <n v="141.7712396"/>
    <n v="8.2530000000000001"/>
  </r>
  <r>
    <x v="26"/>
    <x v="114"/>
    <n v="1650405.21"/>
    <x v="0"/>
    <n v="52.22"/>
    <n v="4.1870000000000003"/>
    <n v="141.8433929"/>
    <n v="8.2530000000000001"/>
  </r>
  <r>
    <x v="26"/>
    <x v="115"/>
    <n v="1639999.47"/>
    <x v="0"/>
    <n v="62.62"/>
    <n v="4.17"/>
    <n v="141.90152620000001"/>
    <n v="8.2530000000000001"/>
  </r>
  <r>
    <x v="26"/>
    <x v="116"/>
    <n v="1565498.84"/>
    <x v="0"/>
    <n v="52.33"/>
    <n v="4.1630000000000003"/>
    <n v="141.95965949999999"/>
    <n v="8.2530000000000001"/>
  </r>
  <r>
    <x v="26"/>
    <x v="117"/>
    <n v="1669388.45"/>
    <x v="0"/>
    <n v="53.68"/>
    <n v="4.1239999999999997"/>
    <n v="142.01779289999999"/>
    <n v="8.2530000000000001"/>
  </r>
  <r>
    <x v="26"/>
    <x v="118"/>
    <n v="1674306.31"/>
    <x v="0"/>
    <n v="58.97"/>
    <n v="4.0549999999999997"/>
    <n v="142.0759262"/>
    <n v="8.2530000000000001"/>
  </r>
  <r>
    <x v="26"/>
    <x v="119"/>
    <n v="1707158.82"/>
    <x v="0"/>
    <n v="65.150000000000006"/>
    <n v="4.0289999999999999"/>
    <n v="142.09701150000001"/>
    <n v="8.2530000000000001"/>
  </r>
  <r>
    <x v="26"/>
    <x v="120"/>
    <n v="1818906.73"/>
    <x v="0"/>
    <n v="64.77"/>
    <n v="3.9790000000000001"/>
    <n v="142.10327760000001"/>
    <n v="8.2530000000000001"/>
  </r>
  <r>
    <x v="26"/>
    <x v="121"/>
    <n v="1900638.6"/>
    <x v="0"/>
    <n v="73.400000000000006"/>
    <n v="3.915"/>
    <n v="142.10954380000001"/>
    <n v="8.2530000000000001"/>
  </r>
  <r>
    <x v="26"/>
    <x v="122"/>
    <n v="1764756.31"/>
    <x v="0"/>
    <n v="64.05"/>
    <n v="3.871"/>
    <n v="142.11580989999999"/>
    <n v="8.2530000000000001"/>
  </r>
  <r>
    <x v="26"/>
    <x v="123"/>
    <n v="1773500.56"/>
    <x v="0"/>
    <n v="69.52"/>
    <n v="3.786"/>
    <n v="142.12925480000001"/>
    <n v="8.2530000000000001"/>
  </r>
  <r>
    <x v="26"/>
    <x v="124"/>
    <n v="1837884.79"/>
    <x v="0"/>
    <n v="73.23"/>
    <n v="3.722"/>
    <n v="142.16064639999999"/>
    <n v="8.2530000000000001"/>
  </r>
  <r>
    <x v="26"/>
    <x v="125"/>
    <n v="1842555.32"/>
    <x v="0"/>
    <n v="73.94"/>
    <n v="3.6669999999999998"/>
    <n v="142.19203809999999"/>
    <n v="8.2530000000000001"/>
  </r>
  <r>
    <x v="26"/>
    <x v="126"/>
    <n v="2062224.92"/>
    <x v="0"/>
    <n v="82.08"/>
    <n v="3.6459999999999999"/>
    <n v="142.22342979999999"/>
    <n v="8.2390000000000008"/>
  </r>
  <r>
    <x v="26"/>
    <x v="127"/>
    <n v="1755889.53"/>
    <x v="0"/>
    <n v="78.95"/>
    <n v="3.6890000000000001"/>
    <n v="142.2548214"/>
    <n v="8.2390000000000008"/>
  </r>
  <r>
    <x v="26"/>
    <x v="128"/>
    <n v="1730913.66"/>
    <x v="0"/>
    <n v="78.64"/>
    <n v="3.7320000000000002"/>
    <n v="142.2337569"/>
    <n v="8.2390000000000008"/>
  </r>
  <r>
    <x v="26"/>
    <x v="129"/>
    <n v="1625883.71"/>
    <x v="0"/>
    <n v="76.010000000000005"/>
    <n v="3.82"/>
    <n v="142.21269240000001"/>
    <n v="8.2390000000000008"/>
  </r>
  <r>
    <x v="26"/>
    <x v="130"/>
    <n v="1705810.84"/>
    <x v="0"/>
    <n v="75.22"/>
    <n v="3.819"/>
    <n v="142.19162789999999"/>
    <n v="8.2390000000000008"/>
  </r>
  <r>
    <x v="26"/>
    <x v="131"/>
    <n v="1720537.26"/>
    <x v="0"/>
    <n v="78.44"/>
    <n v="3.863"/>
    <n v="142.17056339999999"/>
    <n v="8.2390000000000008"/>
  </r>
  <r>
    <x v="26"/>
    <x v="132"/>
    <n v="1735339.59"/>
    <x v="0"/>
    <n v="76.510000000000005"/>
    <n v="3.9630000000000001"/>
    <n v="142.21573849999999"/>
    <n v="8.2390000000000008"/>
  </r>
  <r>
    <x v="26"/>
    <x v="133"/>
    <n v="1780443.36"/>
    <x v="0"/>
    <n v="72.930000000000007"/>
    <n v="3.9969999999999999"/>
    <n v="142.31059329999999"/>
    <n v="8.2390000000000008"/>
  </r>
  <r>
    <x v="26"/>
    <x v="134"/>
    <n v="1731935.43"/>
    <x v="0"/>
    <n v="75"/>
    <n v="4.0259999999999998"/>
    <n v="142.4054482"/>
    <n v="8.2390000000000008"/>
  </r>
  <r>
    <x v="26"/>
    <x v="135"/>
    <n v="1840955.23"/>
    <x v="1"/>
    <n v="76"/>
    <n v="4.0759999999999996"/>
    <n v="142.500303"/>
    <n v="8.2390000000000008"/>
  </r>
  <r>
    <x v="26"/>
    <x v="136"/>
    <n v="1519604.5"/>
    <x v="0"/>
    <n v="68.72"/>
    <n v="4.0880000000000001"/>
    <n v="142.59388329999999"/>
    <n v="8.2390000000000008"/>
  </r>
  <r>
    <x v="26"/>
    <x v="137"/>
    <n v="1557485.75"/>
    <x v="0"/>
    <n v="66.099999999999994"/>
    <n v="4.2030000000000003"/>
    <n v="142.6798167"/>
    <n v="8.2390000000000008"/>
  </r>
  <r>
    <x v="26"/>
    <x v="138"/>
    <n v="1540687.63"/>
    <x v="0"/>
    <n v="64.92"/>
    <n v="4.1580000000000004"/>
    <n v="142.76575"/>
    <n v="8.2390000000000008"/>
  </r>
  <r>
    <x v="26"/>
    <x v="139"/>
    <n v="1591816.88"/>
    <x v="0"/>
    <n v="64.5"/>
    <n v="4.1509999999999998"/>
    <n v="142.85168329999999"/>
    <n v="8"/>
  </r>
  <r>
    <x v="26"/>
    <x v="140"/>
    <n v="1660081.29"/>
    <x v="0"/>
    <n v="55.4"/>
    <n v="4.1859999999999999"/>
    <n v="142.93761670000001"/>
    <n v="8"/>
  </r>
  <r>
    <x v="26"/>
    <x v="141"/>
    <n v="1620374.24"/>
    <x v="0"/>
    <n v="56.53"/>
    <n v="4.1529999999999996"/>
    <n v="142.8633629"/>
    <n v="8"/>
  </r>
  <r>
    <x v="26"/>
    <x v="142"/>
    <n v="1703047.74"/>
    <x v="0"/>
    <n v="58.99"/>
    <n v="4.0709999999999997"/>
    <n v="142.7624113"/>
    <n v="8"/>
  </r>
  <r>
    <x v="27"/>
    <x v="0"/>
    <n v="1672352.29"/>
    <x v="0"/>
    <n v="49.47"/>
    <n v="2.9620000000000002"/>
    <n v="126.4420645"/>
    <n v="13.975"/>
  </r>
  <r>
    <x v="27"/>
    <x v="1"/>
    <n v="1558968.49"/>
    <x v="1"/>
    <n v="47.87"/>
    <n v="2.9460000000000002"/>
    <n v="126.49625810000001"/>
    <n v="13.975"/>
  </r>
  <r>
    <x v="27"/>
    <x v="2"/>
    <n v="1491300.42"/>
    <x v="0"/>
    <n v="54.83"/>
    <n v="2.915"/>
    <n v="126.5262857"/>
    <n v="13.975"/>
  </r>
  <r>
    <x v="27"/>
    <x v="3"/>
    <n v="1542173.33"/>
    <x v="0"/>
    <n v="50.23"/>
    <n v="2.8250000000000002"/>
    <n v="126.5522857"/>
    <n v="13.975"/>
  </r>
  <r>
    <x v="27"/>
    <x v="4"/>
    <n v="1608435.45"/>
    <x v="0"/>
    <n v="53.77"/>
    <n v="2.9870000000000001"/>
    <n v="126.5782857"/>
    <n v="13.975"/>
  </r>
  <r>
    <x v="27"/>
    <x v="5"/>
    <n v="1326877.1100000001"/>
    <x v="0"/>
    <n v="50.11"/>
    <n v="2.9249999999999998"/>
    <n v="126.60428570000001"/>
    <n v="13.975"/>
  </r>
  <r>
    <x v="27"/>
    <x v="6"/>
    <n v="1279819.43"/>
    <x v="0"/>
    <n v="59.57"/>
    <n v="3.0539999999999998"/>
    <n v="126.6066452"/>
    <n v="13.975"/>
  </r>
  <r>
    <x v="27"/>
    <x v="7"/>
    <n v="1245268.77"/>
    <x v="0"/>
    <n v="60.06"/>
    <n v="3.0830000000000002"/>
    <n v="126.6050645"/>
    <n v="13.975"/>
  </r>
  <r>
    <x v="27"/>
    <x v="8"/>
    <n v="1441559.4"/>
    <x v="0"/>
    <n v="59.84"/>
    <n v="3.0859999999999999"/>
    <n v="126.6034839"/>
    <n v="14.099"/>
  </r>
  <r>
    <x v="27"/>
    <x v="9"/>
    <n v="1382359.21"/>
    <x v="0"/>
    <n v="59.25"/>
    <n v="3.09"/>
    <n v="126.6019032"/>
    <n v="14.099"/>
  </r>
  <r>
    <x v="27"/>
    <x v="10"/>
    <n v="1268240.6599999999"/>
    <x v="0"/>
    <n v="64.95"/>
    <n v="3.109"/>
    <n v="126.5621"/>
    <n v="14.099"/>
  </r>
  <r>
    <x v="27"/>
    <x v="11"/>
    <n v="1244177.21"/>
    <x v="0"/>
    <n v="64.55"/>
    <n v="3.05"/>
    <n v="126.4713333"/>
    <n v="14.099"/>
  </r>
  <r>
    <x v="27"/>
    <x v="12"/>
    <n v="1186971.02"/>
    <x v="0"/>
    <n v="67.38"/>
    <n v="3.105"/>
    <n v="126.3805667"/>
    <n v="14.099"/>
  </r>
  <r>
    <x v="27"/>
    <x v="13"/>
    <n v="1532893.22"/>
    <x v="0"/>
    <n v="70.150000000000006"/>
    <n v="3.1269999999999998"/>
    <n v="126.2898"/>
    <n v="14.099"/>
  </r>
  <r>
    <x v="27"/>
    <x v="14"/>
    <n v="1245898.73"/>
    <x v="0"/>
    <n v="68.44"/>
    <n v="3.145"/>
    <n v="126.2085484"/>
    <n v="14.099"/>
  </r>
  <r>
    <x v="27"/>
    <x v="15"/>
    <n v="1217923.71"/>
    <x v="0"/>
    <n v="76.2"/>
    <n v="3.12"/>
    <n v="126.1843871"/>
    <n v="14.099"/>
  </r>
  <r>
    <x v="27"/>
    <x v="16"/>
    <n v="1176588.25"/>
    <x v="0"/>
    <n v="67.84"/>
    <n v="3.0579999999999998"/>
    <n v="126.16022580000001"/>
    <n v="14.099"/>
  </r>
  <r>
    <x v="27"/>
    <x v="17"/>
    <n v="1543678.02"/>
    <x v="0"/>
    <n v="81.39"/>
    <n v="2.9409999999999998"/>
    <n v="126.1360645"/>
    <n v="14.099"/>
  </r>
  <r>
    <x v="27"/>
    <x v="18"/>
    <n v="1348995.17"/>
    <x v="0"/>
    <n v="90.84"/>
    <n v="2.9489999999999998"/>
    <n v="126.1119032"/>
    <n v="14.099"/>
  </r>
  <r>
    <x v="27"/>
    <x v="19"/>
    <n v="1267619.06"/>
    <x v="0"/>
    <n v="81.06"/>
    <n v="3.0430000000000001"/>
    <n v="126.114"/>
    <n v="14.099"/>
  </r>
  <r>
    <x v="27"/>
    <x v="20"/>
    <n v="1231025.07"/>
    <x v="0"/>
    <n v="87.27"/>
    <n v="3.0840000000000001"/>
    <n v="126.1266"/>
    <n v="14.099"/>
  </r>
  <r>
    <x v="27"/>
    <x v="21"/>
    <n v="1399960.15"/>
    <x v="0"/>
    <n v="91.98"/>
    <n v="3.105"/>
    <n v="126.1392"/>
    <n v="14.18"/>
  </r>
  <r>
    <x v="27"/>
    <x v="22"/>
    <n v="1340293.8700000001"/>
    <x v="0"/>
    <n v="90.37"/>
    <n v="3.1"/>
    <n v="126.15179999999999"/>
    <n v="14.18"/>
  </r>
  <r>
    <x v="27"/>
    <x v="23"/>
    <n v="1225336.4099999999"/>
    <x v="0"/>
    <n v="97.18"/>
    <n v="3.0939999999999999"/>
    <n v="126.1498065"/>
    <n v="14.18"/>
  </r>
  <r>
    <x v="27"/>
    <x v="24"/>
    <n v="1205884.98"/>
    <x v="0"/>
    <n v="99.22"/>
    <n v="3.1120000000000001"/>
    <n v="126.1283548"/>
    <n v="14.18"/>
  </r>
  <r>
    <x v="27"/>
    <x v="25"/>
    <n v="1150204.71"/>
    <x v="0"/>
    <n v="96.31"/>
    <n v="3.0169999999999999"/>
    <n v="126.1069032"/>
    <n v="14.18"/>
  </r>
  <r>
    <x v="27"/>
    <x v="26"/>
    <n v="1523101.38"/>
    <x v="0"/>
    <n v="92.95"/>
    <n v="3.1230000000000002"/>
    <n v="126.0854516"/>
    <n v="14.18"/>
  </r>
  <r>
    <x v="27"/>
    <x v="27"/>
    <n v="1218688.0900000001"/>
    <x v="0"/>
    <n v="87.01"/>
    <n v="3.1589999999999998"/>
    <n v="126.06399999999999"/>
    <n v="14.18"/>
  </r>
  <r>
    <x v="27"/>
    <x v="28"/>
    <n v="1195897.6000000001"/>
    <x v="0"/>
    <n v="92.81"/>
    <n v="3.0409999999999999"/>
    <n v="126.0766452"/>
    <n v="14.18"/>
  </r>
  <r>
    <x v="27"/>
    <x v="29"/>
    <n v="1191585.92"/>
    <x v="0"/>
    <n v="93.19"/>
    <n v="3.129"/>
    <n v="126.0892903"/>
    <n v="14.18"/>
  </r>
  <r>
    <x v="27"/>
    <x v="30"/>
    <n v="1523410.71"/>
    <x v="0"/>
    <n v="83.12"/>
    <n v="3.0870000000000002"/>
    <n v="126.1019355"/>
    <n v="14.18"/>
  </r>
  <r>
    <x v="27"/>
    <x v="31"/>
    <n v="1246062.17"/>
    <x v="1"/>
    <n v="83.63"/>
    <n v="3.044"/>
    <n v="126.1145806"/>
    <n v="14.18"/>
  </r>
  <r>
    <x v="27"/>
    <x v="32"/>
    <n v="1159812.3500000001"/>
    <x v="0"/>
    <n v="82.45"/>
    <n v="3.028"/>
    <n v="126.1454667"/>
    <n v="14.18"/>
  </r>
  <r>
    <x v="27"/>
    <x v="33"/>
    <n v="1111797.21"/>
    <x v="0"/>
    <n v="81.77"/>
    <n v="2.9390000000000001"/>
    <n v="126.1900333"/>
    <n v="14.18"/>
  </r>
  <r>
    <x v="27"/>
    <x v="34"/>
    <n v="1203080.4099999999"/>
    <x v="0"/>
    <n v="85.2"/>
    <n v="3.0009999999999999"/>
    <n v="126.2346"/>
    <n v="14.313000000000001"/>
  </r>
  <r>
    <x v="27"/>
    <x v="35"/>
    <n v="1334571.8700000001"/>
    <x v="0"/>
    <n v="71.819999999999993"/>
    <n v="3.0129999999999999"/>
    <n v="126.2791667"/>
    <n v="14.313000000000001"/>
  </r>
  <r>
    <x v="27"/>
    <x v="36"/>
    <n v="1158062.99"/>
    <x v="0"/>
    <n v="75"/>
    <n v="2.976"/>
    <n v="126.32667739999999"/>
    <n v="14.313000000000001"/>
  </r>
  <r>
    <x v="27"/>
    <x v="37"/>
    <n v="1120619.32"/>
    <x v="0"/>
    <n v="68.849999999999994"/>
    <n v="3.0139999999999998"/>
    <n v="126.3815484"/>
    <n v="14.313000000000001"/>
  </r>
  <r>
    <x v="27"/>
    <x v="38"/>
    <n v="1231688.48"/>
    <x v="0"/>
    <n v="61.09"/>
    <n v="3.016"/>
    <n v="126.43641940000001"/>
    <n v="14.313000000000001"/>
  </r>
  <r>
    <x v="27"/>
    <x v="39"/>
    <n v="1501663.26"/>
    <x v="0"/>
    <n v="65.489999999999995"/>
    <n v="3.129"/>
    <n v="126.4912903"/>
    <n v="14.313000000000001"/>
  </r>
  <r>
    <x v="27"/>
    <x v="40"/>
    <n v="1266460.45"/>
    <x v="0"/>
    <n v="57.79"/>
    <n v="3.13"/>
    <n v="126.54616129999999"/>
    <n v="14.313000000000001"/>
  </r>
  <r>
    <x v="27"/>
    <x v="41"/>
    <n v="1179315.72"/>
    <x v="0"/>
    <n v="58.18"/>
    <n v="3.161"/>
    <n v="126.60720000000001"/>
    <n v="14.313000000000001"/>
  </r>
  <r>
    <x v="27"/>
    <x v="42"/>
    <n v="1937033.5"/>
    <x v="1"/>
    <n v="47.66"/>
    <n v="3.1619999999999999"/>
    <n v="126.66926669999999"/>
    <n v="14.313000000000001"/>
  </r>
  <r>
    <x v="27"/>
    <x v="43"/>
    <n v="1447916.29"/>
    <x v="0"/>
    <n v="43.33"/>
    <n v="3.0409999999999999"/>
    <n v="126.7313333"/>
    <n v="14.313000000000001"/>
  </r>
  <r>
    <x v="27"/>
    <x v="44"/>
    <n v="1466164.49"/>
    <x v="0"/>
    <n v="50.01"/>
    <n v="3.2029999999999998"/>
    <n v="126.79340000000001"/>
    <n v="14.313000000000001"/>
  </r>
  <r>
    <x v="27"/>
    <x v="45"/>
    <n v="1510443.62"/>
    <x v="0"/>
    <n v="52.77"/>
    <n v="3.2360000000000002"/>
    <n v="126.8794839"/>
    <n v="14.313000000000001"/>
  </r>
  <r>
    <x v="27"/>
    <x v="46"/>
    <n v="2026026.39"/>
    <x v="0"/>
    <n v="52.02"/>
    <n v="3.2360000000000002"/>
    <n v="126.9835806"/>
    <n v="14.313000000000001"/>
  </r>
  <r>
    <x v="27"/>
    <x v="47"/>
    <n v="1090558.57"/>
    <x v="1"/>
    <n v="45.64"/>
    <n v="3.1480000000000001"/>
    <n v="127.0876774"/>
    <n v="14.313000000000001"/>
  </r>
  <r>
    <x v="27"/>
    <x v="48"/>
    <n v="1402902.47"/>
    <x v="0"/>
    <n v="37.64"/>
    <n v="3.2869999999999999"/>
    <n v="127.1917742"/>
    <n v="14.021000000000001"/>
  </r>
  <r>
    <x v="27"/>
    <x v="49"/>
    <n v="1098286.6100000001"/>
    <x v="0"/>
    <n v="43.15"/>
    <n v="3.3119999999999998"/>
    <n v="127.30093549999999"/>
    <n v="14.021000000000001"/>
  </r>
  <r>
    <x v="27"/>
    <x v="50"/>
    <n v="1079669.1100000001"/>
    <x v="0"/>
    <n v="53.53"/>
    <n v="3.2229999999999999"/>
    <n v="127.4404839"/>
    <n v="14.021000000000001"/>
  </r>
  <r>
    <x v="27"/>
    <x v="51"/>
    <n v="1127859.69"/>
    <x v="0"/>
    <n v="50.74"/>
    <n v="3.3420000000000001"/>
    <n v="127.5800323"/>
    <n v="14.021000000000001"/>
  </r>
  <r>
    <x v="27"/>
    <x v="52"/>
    <n v="1564897.32"/>
    <x v="0"/>
    <n v="45.14"/>
    <n v="3.3479999999999999"/>
    <n v="127.7195806"/>
    <n v="14.021000000000001"/>
  </r>
  <r>
    <x v="27"/>
    <x v="53"/>
    <n v="1397301.38"/>
    <x v="1"/>
    <n v="51.3"/>
    <n v="3.3809999999999998"/>
    <n v="127.859129"/>
    <n v="14.021000000000001"/>
  </r>
  <r>
    <x v="27"/>
    <x v="54"/>
    <n v="1514828.82"/>
    <x v="0"/>
    <n v="53.35"/>
    <n v="3.43"/>
    <n v="127.99525"/>
    <n v="14.021000000000001"/>
  </r>
  <r>
    <x v="27"/>
    <x v="55"/>
    <n v="1311796.9099999999"/>
    <x v="0"/>
    <n v="48.45"/>
    <n v="3.53"/>
    <n v="128.13"/>
    <n v="14.021000000000001"/>
  </r>
  <r>
    <x v="27"/>
    <x v="56"/>
    <n v="1723736.91"/>
    <x v="0"/>
    <n v="51.72"/>
    <n v="3.6739999999999999"/>
    <n v="128.26474999999999"/>
    <n v="14.021000000000001"/>
  </r>
  <r>
    <x v="27"/>
    <x v="57"/>
    <n v="1380836.35"/>
    <x v="0"/>
    <n v="57.75"/>
    <n v="3.8180000000000001"/>
    <n v="128.39949999999999"/>
    <n v="14.021000000000001"/>
  </r>
  <r>
    <x v="27"/>
    <x v="58"/>
    <n v="1286413.71"/>
    <x v="0"/>
    <n v="64.209999999999994"/>
    <n v="3.6920000000000002"/>
    <n v="128.5121935"/>
    <n v="14.021000000000001"/>
  </r>
  <r>
    <x v="27"/>
    <x v="59"/>
    <n v="1201059.72"/>
    <x v="0"/>
    <n v="54.4"/>
    <n v="3.9089999999999998"/>
    <n v="128.61606449999999"/>
    <n v="14.021000000000001"/>
  </r>
  <r>
    <x v="27"/>
    <x v="60"/>
    <n v="1336838.4099999999"/>
    <x v="0"/>
    <n v="63.63"/>
    <n v="3.7719999999999998"/>
    <n v="128.71993549999999"/>
    <n v="13.736000000000001"/>
  </r>
  <r>
    <x v="27"/>
    <x v="61"/>
    <n v="1414713.5"/>
    <x v="0"/>
    <n v="64.47"/>
    <n v="4.0030000000000001"/>
    <n v="128.82380649999999"/>
    <n v="13.736000000000001"/>
  </r>
  <r>
    <x v="27"/>
    <x v="62"/>
    <n v="1240126.07"/>
    <x v="0"/>
    <n v="57.63"/>
    <n v="3.8679999999999999"/>
    <n v="128.9107333"/>
    <n v="13.736000000000001"/>
  </r>
  <r>
    <x v="27"/>
    <x v="63"/>
    <n v="1297452"/>
    <x v="0"/>
    <n v="72.12"/>
    <n v="4.1340000000000003"/>
    <n v="128.95529999999999"/>
    <n v="13.736000000000001"/>
  </r>
  <r>
    <x v="27"/>
    <x v="64"/>
    <n v="1222367.8999999999"/>
    <x v="0"/>
    <n v="68.27"/>
    <n v="4.1509999999999998"/>
    <n v="128.99986670000001"/>
    <n v="13.736000000000001"/>
  </r>
  <r>
    <x v="27"/>
    <x v="65"/>
    <n v="1515890.38"/>
    <x v="0"/>
    <n v="68.400000000000006"/>
    <n v="4.1929999999999996"/>
    <n v="129.04443330000001"/>
    <n v="13.736000000000001"/>
  </r>
  <r>
    <x v="27"/>
    <x v="66"/>
    <n v="1253316.3"/>
    <x v="0"/>
    <n v="70.930000000000007"/>
    <n v="4.202"/>
    <n v="129.089"/>
    <n v="13.736000000000001"/>
  </r>
  <r>
    <x v="27"/>
    <x v="67"/>
    <n v="1151282.31"/>
    <x v="0"/>
    <n v="66.59"/>
    <n v="4.1689999999999996"/>
    <n v="129.07567739999999"/>
    <n v="13.736000000000001"/>
  </r>
  <r>
    <x v="27"/>
    <x v="68"/>
    <n v="1160043.98"/>
    <x v="0"/>
    <n v="76.67"/>
    <n v="4.0869999999999997"/>
    <n v="129.06235480000001"/>
    <n v="13.736000000000001"/>
  </r>
  <r>
    <x v="27"/>
    <x v="69"/>
    <n v="1403779.25"/>
    <x v="0"/>
    <n v="71.81"/>
    <n v="4.0309999999999997"/>
    <n v="129.04903229999999"/>
    <n v="13.736000000000001"/>
  </r>
  <r>
    <x v="27"/>
    <x v="70"/>
    <n v="1339972.83"/>
    <x v="0"/>
    <n v="78.72"/>
    <n v="3.9809999999999999"/>
    <n v="129.03570970000001"/>
    <n v="13.736000000000001"/>
  </r>
  <r>
    <x v="27"/>
    <x v="71"/>
    <n v="1268503.49"/>
    <x v="0"/>
    <n v="86.84"/>
    <n v="3.9350000000000001"/>
    <n v="129.04320000000001"/>
    <n v="13.736000000000001"/>
  </r>
  <r>
    <x v="27"/>
    <x v="72"/>
    <n v="1208809.3400000001"/>
    <x v="0"/>
    <n v="88.95"/>
    <n v="3.8980000000000001"/>
    <n v="129.06630000000001"/>
    <n v="13.736000000000001"/>
  </r>
  <r>
    <x v="27"/>
    <x v="73"/>
    <n v="1319054.57"/>
    <x v="0"/>
    <n v="89.85"/>
    <n v="3.8420000000000001"/>
    <n v="129.08940000000001"/>
    <n v="13.503"/>
  </r>
  <r>
    <x v="27"/>
    <x v="74"/>
    <n v="1459655.85"/>
    <x v="0"/>
    <n v="89.9"/>
    <n v="3.7050000000000001"/>
    <n v="129.11250000000001"/>
    <n v="13.503"/>
  </r>
  <r>
    <x v="27"/>
    <x v="75"/>
    <n v="1197373.1299999999"/>
    <x v="0"/>
    <n v="88.1"/>
    <n v="3.6920000000000002"/>
    <n v="129.13383870000001"/>
    <n v="13.503"/>
  </r>
  <r>
    <x v="27"/>
    <x v="76"/>
    <n v="1165870.54"/>
    <x v="0"/>
    <n v="91.17"/>
    <n v="3.794"/>
    <n v="129.1507742"/>
    <n v="13.503"/>
  </r>
  <r>
    <x v="27"/>
    <x v="77"/>
    <n v="1114530.29"/>
    <x v="0"/>
    <n v="93.29"/>
    <n v="3.8050000000000002"/>
    <n v="129.16770969999999"/>
    <n v="13.503"/>
  </r>
  <r>
    <x v="27"/>
    <x v="78"/>
    <n v="1523870.89"/>
    <x v="0"/>
    <n v="90.61"/>
    <n v="3.8029999999999999"/>
    <n v="129.18464520000001"/>
    <n v="13.503"/>
  </r>
  <r>
    <x v="27"/>
    <x v="79"/>
    <n v="1218764.94"/>
    <x v="0"/>
    <n v="91.04"/>
    <n v="3.7010000000000001"/>
    <n v="129.2015806"/>
    <n v="13.503"/>
  </r>
  <r>
    <x v="27"/>
    <x v="80"/>
    <n v="1200019.74"/>
    <x v="0"/>
    <n v="91.74"/>
    <n v="3.7429999999999999"/>
    <n v="129.24058059999999"/>
    <n v="13.503"/>
  </r>
  <r>
    <x v="27"/>
    <x v="81"/>
    <n v="1166479.51"/>
    <x v="0"/>
    <n v="94.61"/>
    <n v="3.74"/>
    <n v="129.28325810000001"/>
    <n v="13.503"/>
  </r>
  <r>
    <x v="27"/>
    <x v="82"/>
    <n v="1468871.49"/>
    <x v="0"/>
    <n v="93.66"/>
    <n v="3.798"/>
    <n v="129.32593550000001"/>
    <n v="13.503"/>
  </r>
  <r>
    <x v="27"/>
    <x v="83"/>
    <n v="1310087"/>
    <x v="1"/>
    <n v="88"/>
    <n v="3.9129999999999998"/>
    <n v="129.36861289999999"/>
    <n v="13.503"/>
  </r>
  <r>
    <x v="27"/>
    <x v="84"/>
    <n v="1159212.1000000001"/>
    <x v="0"/>
    <n v="76.36"/>
    <n v="3.9180000000000001"/>
    <n v="129.4306"/>
    <n v="13.503"/>
  </r>
  <r>
    <x v="27"/>
    <x v="85"/>
    <n v="1109105.92"/>
    <x v="0"/>
    <n v="82.95"/>
    <n v="3.7890000000000001"/>
    <n v="129.51833329999999"/>
    <n v="13.503"/>
  </r>
  <r>
    <x v="27"/>
    <x v="86"/>
    <n v="1120731.76"/>
    <x v="0"/>
    <n v="83.26"/>
    <n v="3.8769999999999998"/>
    <n v="129.60606670000001"/>
    <n v="13.503"/>
  </r>
  <r>
    <x v="27"/>
    <x v="87"/>
    <n v="1557314.58"/>
    <x v="0"/>
    <n v="70.44"/>
    <n v="3.827"/>
    <n v="129.69380000000001"/>
    <n v="12.89"/>
  </r>
  <r>
    <x v="27"/>
    <x v="88"/>
    <n v="1220984.94"/>
    <x v="0"/>
    <n v="67.31"/>
    <n v="3.8050000000000002"/>
    <n v="129.77064519999999"/>
    <n v="12.89"/>
  </r>
  <r>
    <x v="27"/>
    <x v="89"/>
    <n v="1203172.05"/>
    <x v="0"/>
    <n v="73.05"/>
    <n v="3.8420000000000001"/>
    <n v="129.78216130000001"/>
    <n v="12.89"/>
  </r>
  <r>
    <x v="27"/>
    <x v="90"/>
    <n v="1242746.06"/>
    <x v="0"/>
    <n v="67.41"/>
    <n v="3.7269999999999999"/>
    <n v="129.79367740000001"/>
    <n v="12.89"/>
  </r>
  <r>
    <x v="27"/>
    <x v="91"/>
    <n v="1576654.67"/>
    <x v="0"/>
    <n v="59.77"/>
    <n v="3.8279999999999998"/>
    <n v="129.8051935"/>
    <n v="12.89"/>
  </r>
  <r>
    <x v="27"/>
    <x v="92"/>
    <n v="1402654.95"/>
    <x v="0"/>
    <n v="48.76"/>
    <n v="3.8239999999999998"/>
    <n v="129.81670969999999"/>
    <n v="12.89"/>
  </r>
  <r>
    <x v="27"/>
    <x v="93"/>
    <n v="1255081.22"/>
    <x v="0"/>
    <n v="54.2"/>
    <n v="3.8130000000000002"/>
    <n v="129.8268333"/>
    <n v="12.89"/>
  </r>
  <r>
    <x v="27"/>
    <x v="94"/>
    <n v="1929738.27"/>
    <x v="1"/>
    <n v="53.25"/>
    <n v="3.6219999999999999"/>
    <n v="129.8364"/>
    <n v="12.89"/>
  </r>
  <r>
    <x v="27"/>
    <x v="95"/>
    <n v="1368130.35"/>
    <x v="0"/>
    <n v="52.5"/>
    <n v="3.7010000000000001"/>
    <n v="129.84596669999999"/>
    <n v="12.89"/>
  </r>
  <r>
    <x v="27"/>
    <x v="96"/>
    <n v="1467024.3"/>
    <x v="0"/>
    <n v="42.17"/>
    <n v="3.6440000000000001"/>
    <n v="129.85553329999999"/>
    <n v="12.89"/>
  </r>
  <r>
    <x v="27"/>
    <x v="97"/>
    <n v="1429954.66"/>
    <x v="0"/>
    <n v="43.29"/>
    <n v="3.6"/>
    <n v="129.8980645"/>
    <n v="12.89"/>
  </r>
  <r>
    <x v="27"/>
    <x v="98"/>
    <n v="1796203.51"/>
    <x v="0"/>
    <n v="45.4"/>
    <n v="3.5409999999999999"/>
    <n v="129.98454839999999"/>
    <n v="12.89"/>
  </r>
  <r>
    <x v="27"/>
    <x v="99"/>
    <n v="1270036.53"/>
    <x v="1"/>
    <n v="44.64"/>
    <n v="3.4279999999999999"/>
    <n v="130.07103230000001"/>
    <n v="12.89"/>
  </r>
  <r>
    <x v="27"/>
    <x v="100"/>
    <n v="1466046.07"/>
    <x v="0"/>
    <n v="50.43"/>
    <n v="3.5990000000000002"/>
    <n v="130.15751610000001"/>
    <n v="12.186999999999999"/>
  </r>
  <r>
    <x v="27"/>
    <x v="101"/>
    <n v="1161190.29"/>
    <x v="0"/>
    <n v="48.07"/>
    <n v="3.657"/>
    <n v="130.244"/>
    <n v="12.186999999999999"/>
  </r>
  <r>
    <x v="27"/>
    <x v="102"/>
    <n v="1129540.48"/>
    <x v="0"/>
    <n v="46.2"/>
    <n v="3.66"/>
    <n v="130.27922580000001"/>
    <n v="12.186999999999999"/>
  </r>
  <r>
    <x v="27"/>
    <x v="103"/>
    <n v="1132948.48"/>
    <x v="0"/>
    <n v="50.43"/>
    <n v="3.6749999999999998"/>
    <n v="130.31445160000001"/>
    <n v="12.186999999999999"/>
  </r>
  <r>
    <x v="27"/>
    <x v="104"/>
    <n v="1531599.44"/>
    <x v="0"/>
    <n v="50.58"/>
    <n v="3.702"/>
    <n v="130.34967739999999"/>
    <n v="12.186999999999999"/>
  </r>
  <r>
    <x v="27"/>
    <x v="105"/>
    <n v="1572966.15"/>
    <x v="1"/>
    <n v="52.27"/>
    <n v="3.722"/>
    <n v="130.3849032"/>
    <n v="12.186999999999999"/>
  </r>
  <r>
    <x v="27"/>
    <x v="106"/>
    <n v="1501503.68"/>
    <x v="0"/>
    <n v="51.8"/>
    <n v="3.7810000000000001"/>
    <n v="130.45462069999999"/>
    <n v="12.186999999999999"/>
  </r>
  <r>
    <x v="27"/>
    <x v="107"/>
    <n v="1323487.9099999999"/>
    <x v="0"/>
    <n v="53.13"/>
    <n v="3.95"/>
    <n v="130.55020690000001"/>
    <n v="12.186999999999999"/>
  </r>
  <r>
    <x v="27"/>
    <x v="108"/>
    <n v="1451740.57"/>
    <x v="0"/>
    <n v="52.27"/>
    <n v="4.1779999999999999"/>
    <n v="130.64579309999999"/>
    <n v="12.186999999999999"/>
  </r>
  <r>
    <x v="27"/>
    <x v="109"/>
    <n v="1680764.06"/>
    <x v="0"/>
    <n v="54.54"/>
    <n v="4.25"/>
    <n v="130.74137930000001"/>
    <n v="12.186999999999999"/>
  </r>
  <r>
    <x v="27"/>
    <x v="110"/>
    <n v="1337875.49"/>
    <x v="0"/>
    <n v="64.44"/>
    <n v="4.2729999999999997"/>
    <n v="130.82619349999999"/>
    <n v="12.186999999999999"/>
  </r>
  <r>
    <x v="27"/>
    <x v="111"/>
    <n v="1216059.4099999999"/>
    <x v="0"/>
    <n v="56.26"/>
    <n v="4.0380000000000003"/>
    <n v="130.89664519999999"/>
    <n v="12.186999999999999"/>
  </r>
  <r>
    <x v="27"/>
    <x v="112"/>
    <n v="1209524.1100000001"/>
    <x v="0"/>
    <n v="64.36"/>
    <n v="4.2939999999999996"/>
    <n v="130.96709680000001"/>
    <n v="12.186999999999999"/>
  </r>
  <r>
    <x v="27"/>
    <x v="113"/>
    <n v="1559592.79"/>
    <x v="0"/>
    <n v="64.05"/>
    <n v="4.1210000000000004"/>
    <n v="131.03754839999999"/>
    <n v="11.627000000000001"/>
  </r>
  <r>
    <x v="27"/>
    <x v="114"/>
    <n v="1290684.95"/>
    <x v="0"/>
    <n v="64.28"/>
    <n v="4.2539999999999996"/>
    <n v="131.108"/>
    <n v="11.627000000000001"/>
  </r>
  <r>
    <x v="27"/>
    <x v="115"/>
    <n v="1180797.2"/>
    <x v="0"/>
    <n v="66.73"/>
    <n v="4.2220000000000004"/>
    <n v="131.11733330000001"/>
    <n v="11.627000000000001"/>
  </r>
  <r>
    <x v="27"/>
    <x v="116"/>
    <n v="1170456.1599999999"/>
    <x v="0"/>
    <n v="77.989999999999995"/>
    <n v="4.1929999999999996"/>
    <n v="131.12666669999999"/>
    <n v="11.627000000000001"/>
  </r>
  <r>
    <x v="27"/>
    <x v="117"/>
    <n v="1450628.85"/>
    <x v="0"/>
    <n v="76.03"/>
    <n v="4.1710000000000003"/>
    <n v="131.136"/>
    <n v="11.627000000000001"/>
  </r>
  <r>
    <x v="27"/>
    <x v="118"/>
    <n v="1264575.18"/>
    <x v="0"/>
    <n v="77.27"/>
    <n v="4.1859999999999999"/>
    <n v="131.1453333"/>
    <n v="11.627000000000001"/>
  </r>
  <r>
    <x v="27"/>
    <x v="119"/>
    <n v="1213310.45"/>
    <x v="0"/>
    <n v="84.51"/>
    <n v="4.1100000000000003"/>
    <n v="131.09832259999999"/>
    <n v="11.627000000000001"/>
  </r>
  <r>
    <x v="27"/>
    <x v="120"/>
    <n v="1151214.4099999999"/>
    <x v="0"/>
    <n v="83.84"/>
    <n v="4.2930000000000001"/>
    <n v="131.02877419999999"/>
    <n v="11.627000000000001"/>
  </r>
  <r>
    <x v="27"/>
    <x v="121"/>
    <n v="1245480.95"/>
    <x v="0"/>
    <n v="78.11"/>
    <n v="4.2770000000000001"/>
    <n v="130.95922580000001"/>
    <n v="11.627000000000001"/>
  </r>
  <r>
    <x v="27"/>
    <x v="122"/>
    <n v="1440687.69"/>
    <x v="0"/>
    <n v="84.83"/>
    <n v="4.1029999999999998"/>
    <n v="130.88967740000001"/>
    <n v="11.627000000000001"/>
  </r>
  <r>
    <x v="27"/>
    <x v="123"/>
    <n v="1229760.97"/>
    <x v="0"/>
    <n v="85.94"/>
    <n v="4.1440000000000001"/>
    <n v="130.82953330000001"/>
    <n v="11.627000000000001"/>
  </r>
  <r>
    <x v="27"/>
    <x v="124"/>
    <n v="1180671.55"/>
    <x v="0"/>
    <n v="91.61"/>
    <n v="4.0140000000000002"/>
    <n v="130.7929"/>
    <n v="11.627000000000001"/>
  </r>
  <r>
    <x v="27"/>
    <x v="125"/>
    <n v="1129031.98"/>
    <x v="0"/>
    <n v="90.47"/>
    <n v="3.875"/>
    <n v="130.7562667"/>
    <n v="11.627000000000001"/>
  </r>
  <r>
    <x v="27"/>
    <x v="126"/>
    <n v="1500863.54"/>
    <x v="0"/>
    <n v="89.13"/>
    <n v="3.7650000000000001"/>
    <n v="130.7196333"/>
    <n v="10.926"/>
  </r>
  <r>
    <x v="27"/>
    <x v="127"/>
    <n v="1179915.04"/>
    <x v="0"/>
    <n v="95.61"/>
    <n v="3.7229999999999999"/>
    <n v="130.68299999999999"/>
    <n v="10.926"/>
  </r>
  <r>
    <x v="27"/>
    <x v="128"/>
    <n v="1149427.48"/>
    <x v="0"/>
    <n v="85.53"/>
    <n v="3.726"/>
    <n v="130.70129030000001"/>
    <n v="10.926"/>
  </r>
  <r>
    <x v="27"/>
    <x v="129"/>
    <n v="1135035.0900000001"/>
    <x v="0"/>
    <n v="93.47"/>
    <n v="3.7690000000000001"/>
    <n v="130.7195806"/>
    <n v="10.926"/>
  </r>
  <r>
    <x v="27"/>
    <x v="130"/>
    <n v="1376520.1"/>
    <x v="0"/>
    <n v="88.16"/>
    <n v="3.76"/>
    <n v="130.73787100000001"/>
    <n v="10.926"/>
  </r>
  <r>
    <x v="27"/>
    <x v="131"/>
    <n v="1269113.4099999999"/>
    <x v="0"/>
    <n v="95.91"/>
    <n v="3.8109999999999999"/>
    <n v="130.7561613"/>
    <n v="10.926"/>
  </r>
  <r>
    <x v="27"/>
    <x v="132"/>
    <n v="1184198.4099999999"/>
    <x v="0"/>
    <n v="94.87"/>
    <n v="4.0019999999999998"/>
    <n v="130.79096770000001"/>
    <n v="10.926"/>
  </r>
  <r>
    <x v="27"/>
    <x v="133"/>
    <n v="1199309.5900000001"/>
    <x v="0"/>
    <n v="85.32"/>
    <n v="4.0549999999999997"/>
    <n v="130.8381613"/>
    <n v="10.926"/>
  </r>
  <r>
    <x v="27"/>
    <x v="134"/>
    <n v="1227118.75"/>
    <x v="0"/>
    <n v="89.78"/>
    <n v="4.093"/>
    <n v="130.88535479999999"/>
    <n v="10.926"/>
  </r>
  <r>
    <x v="27"/>
    <x v="135"/>
    <n v="1469693.99"/>
    <x v="1"/>
    <n v="88.52"/>
    <n v="4.1239999999999997"/>
    <n v="130.9325484"/>
    <n v="10.926"/>
  </r>
  <r>
    <x v="27"/>
    <x v="136"/>
    <n v="1124660.77"/>
    <x v="0"/>
    <n v="83.64"/>
    <n v="4.133"/>
    <n v="130.97766669999999"/>
    <n v="10.926"/>
  </r>
  <r>
    <x v="27"/>
    <x v="137"/>
    <n v="1135340.19"/>
    <x v="0"/>
    <n v="82.97"/>
    <n v="4.125"/>
    <n v="131.01033330000001"/>
    <n v="10.926"/>
  </r>
  <r>
    <x v="27"/>
    <x v="138"/>
    <n v="1129508.6100000001"/>
    <x v="0"/>
    <n v="81.22"/>
    <n v="3.9660000000000002"/>
    <n v="131.04300000000001"/>
    <n v="10.926"/>
  </r>
  <r>
    <x v="27"/>
    <x v="139"/>
    <n v="1462941.03"/>
    <x v="0"/>
    <n v="81.61"/>
    <n v="3.9660000000000002"/>
    <n v="131.0756667"/>
    <n v="10.199"/>
  </r>
  <r>
    <x v="27"/>
    <x v="140"/>
    <n v="1205536.71"/>
    <x v="0"/>
    <n v="71.739999999999995"/>
    <n v="4.468"/>
    <n v="131.1083333"/>
    <n v="10.199"/>
  </r>
  <r>
    <x v="27"/>
    <x v="141"/>
    <n v="1143724.48"/>
    <x v="0"/>
    <n v="68.66"/>
    <n v="4.4489999999999998"/>
    <n v="131.14996769999999"/>
    <n v="10.199"/>
  </r>
  <r>
    <x v="27"/>
    <x v="142"/>
    <n v="1213860.6100000001"/>
    <x v="0"/>
    <n v="65.95"/>
    <n v="4.3010000000000002"/>
    <n v="131.19309680000001"/>
    <n v="10.199"/>
  </r>
  <r>
    <x v="28"/>
    <x v="0"/>
    <n v="538634.46"/>
    <x v="0"/>
    <n v="24.36"/>
    <n v="2.7879999999999998"/>
    <n v="131.5279032"/>
    <n v="10.064"/>
  </r>
  <r>
    <x v="28"/>
    <x v="1"/>
    <n v="529672.94999999995"/>
    <x v="1"/>
    <n v="28.14"/>
    <n v="2.7709999999999999"/>
    <n v="131.58661290000001"/>
    <n v="10.064"/>
  </r>
  <r>
    <x v="28"/>
    <x v="2"/>
    <n v="542399.06999999995"/>
    <x v="0"/>
    <n v="31.96"/>
    <n v="2.7469999999999999"/>
    <n v="131.637"/>
    <n v="10.064"/>
  </r>
  <r>
    <x v="28"/>
    <x v="3"/>
    <n v="488417.61"/>
    <x v="0"/>
    <n v="35.979999999999997"/>
    <n v="2.7530000000000001"/>
    <n v="131.68600000000001"/>
    <n v="10.064"/>
  </r>
  <r>
    <x v="28"/>
    <x v="4"/>
    <n v="535087.91"/>
    <x v="0"/>
    <n v="36.82"/>
    <n v="2.766"/>
    <n v="131.73500000000001"/>
    <n v="10.064"/>
  </r>
  <r>
    <x v="28"/>
    <x v="5"/>
    <n v="519042.49"/>
    <x v="0"/>
    <n v="43.43"/>
    <n v="2.8050000000000002"/>
    <n v="131.78399999999999"/>
    <n v="10.064"/>
  </r>
  <r>
    <x v="28"/>
    <x v="6"/>
    <n v="496851.6"/>
    <x v="0"/>
    <n v="46.03"/>
    <n v="2.8340000000000001"/>
    <n v="131.8242903"/>
    <n v="10.064"/>
  </r>
  <r>
    <x v="28"/>
    <x v="7"/>
    <n v="552985.34"/>
    <x v="0"/>
    <n v="48.56"/>
    <n v="2.831"/>
    <n v="131.86312899999999"/>
    <n v="10.064"/>
  </r>
  <r>
    <x v="28"/>
    <x v="8"/>
    <n v="599629.25"/>
    <x v="0"/>
    <n v="44.96"/>
    <n v="2.8260000000000001"/>
    <n v="131.9019677"/>
    <n v="10.16"/>
  </r>
  <r>
    <x v="28"/>
    <x v="9"/>
    <n v="569937.23"/>
    <x v="0"/>
    <n v="57.06"/>
    <n v="2.8490000000000002"/>
    <n v="131.94080650000001"/>
    <n v="10.16"/>
  </r>
  <r>
    <x v="28"/>
    <x v="10"/>
    <n v="509100.84"/>
    <x v="0"/>
    <n v="51.14"/>
    <n v="2.8849999999999998"/>
    <n v="131.98089999999999"/>
    <n v="10.16"/>
  </r>
  <r>
    <x v="28"/>
    <x v="11"/>
    <n v="505329.66"/>
    <x v="0"/>
    <n v="51.04"/>
    <n v="2.895"/>
    <n v="132.0226667"/>
    <n v="10.16"/>
  </r>
  <r>
    <x v="28"/>
    <x v="12"/>
    <n v="501013.47"/>
    <x v="0"/>
    <n v="50.96"/>
    <n v="2.9350000000000001"/>
    <n v="132.06443329999999"/>
    <n v="10.16"/>
  </r>
  <r>
    <x v="28"/>
    <x v="13"/>
    <n v="568497.35"/>
    <x v="0"/>
    <n v="63.81"/>
    <n v="2.9809999999999999"/>
    <n v="132.1062"/>
    <n v="10.16"/>
  </r>
  <r>
    <x v="28"/>
    <x v="14"/>
    <n v="518940.88"/>
    <x v="0"/>
    <n v="50.99"/>
    <n v="2.9830000000000001"/>
    <n v="132.152129"/>
    <n v="10.16"/>
  </r>
  <r>
    <x v="28"/>
    <x v="15"/>
    <n v="502021.82"/>
    <x v="0"/>
    <n v="59.99"/>
    <n v="2.9609999999999999"/>
    <n v="132.2230323"/>
    <n v="10.16"/>
  </r>
  <r>
    <x v="28"/>
    <x v="16"/>
    <n v="577627.66"/>
    <x v="0"/>
    <n v="65.64"/>
    <n v="2.9060000000000001"/>
    <n v="132.2939355"/>
    <n v="10.16"/>
  </r>
  <r>
    <x v="28"/>
    <x v="17"/>
    <n v="588017.66"/>
    <x v="0"/>
    <n v="69.489999999999995"/>
    <n v="2.8570000000000002"/>
    <n v="132.36483870000001"/>
    <n v="10.16"/>
  </r>
  <r>
    <x v="28"/>
    <x v="18"/>
    <n v="540716.57999999996"/>
    <x v="0"/>
    <n v="65.010000000000005"/>
    <n v="2.83"/>
    <n v="132.43574190000001"/>
    <n v="10.16"/>
  </r>
  <r>
    <x v="28"/>
    <x v="19"/>
    <n v="558731.74"/>
    <x v="0"/>
    <n v="67.13"/>
    <n v="2.8050000000000002"/>
    <n v="132.47333330000001"/>
    <n v="10.16"/>
  </r>
  <r>
    <x v="28"/>
    <x v="20"/>
    <n v="585548.79"/>
    <x v="0"/>
    <n v="74.37"/>
    <n v="2.81"/>
    <n v="132.49760000000001"/>
    <n v="10.16"/>
  </r>
  <r>
    <x v="28"/>
    <x v="21"/>
    <n v="581473.55000000005"/>
    <x v="0"/>
    <n v="72.88"/>
    <n v="2.8149999999999999"/>
    <n v="132.5218667"/>
    <n v="10.409000000000001"/>
  </r>
  <r>
    <x v="28"/>
    <x v="22"/>
    <n v="563449.43000000005"/>
    <x v="0"/>
    <n v="79.22"/>
    <n v="2.806"/>
    <n v="132.54613330000001"/>
    <n v="10.409000000000001"/>
  </r>
  <r>
    <x v="28"/>
    <x v="23"/>
    <n v="512292.01"/>
    <x v="0"/>
    <n v="76.3"/>
    <n v="2.7959999999999998"/>
    <n v="132.5667742"/>
    <n v="10.409000000000001"/>
  </r>
  <r>
    <x v="28"/>
    <x v="24"/>
    <n v="506502.09"/>
    <x v="0"/>
    <n v="76.91"/>
    <n v="2.7839999999999998"/>
    <n v="132.5825806"/>
    <n v="10.409000000000001"/>
  </r>
  <r>
    <x v="28"/>
    <x v="25"/>
    <n v="509872.77"/>
    <x v="0"/>
    <n v="76.349999999999994"/>
    <n v="2.7919999999999998"/>
    <n v="132.5983871"/>
    <n v="10.409000000000001"/>
  </r>
  <r>
    <x v="28"/>
    <x v="26"/>
    <n v="519787.93"/>
    <x v="0"/>
    <n v="74.37"/>
    <n v="2.7919999999999998"/>
    <n v="132.6141935"/>
    <n v="10.409000000000001"/>
  </r>
  <r>
    <x v="28"/>
    <x v="27"/>
    <n v="495269"/>
    <x v="0"/>
    <n v="74.75"/>
    <n v="2.81"/>
    <n v="132.63"/>
    <n v="10.409000000000001"/>
  </r>
  <r>
    <x v="28"/>
    <x v="28"/>
    <n v="531640.18999999994"/>
    <x v="0"/>
    <n v="73.209999999999994"/>
    <n v="2.7959999999999998"/>
    <n v="132.66161289999999"/>
    <n v="10.409000000000001"/>
  </r>
  <r>
    <x v="28"/>
    <x v="29"/>
    <n v="545766.13"/>
    <x v="0"/>
    <n v="68.989999999999995"/>
    <n v="2.77"/>
    <n v="132.69322579999999"/>
    <n v="10.409000000000001"/>
  </r>
  <r>
    <x v="28"/>
    <x v="30"/>
    <n v="579272.38"/>
    <x v="0"/>
    <n v="75.849999999999994"/>
    <n v="2.7349999999999999"/>
    <n v="132.72483869999999"/>
    <n v="10.409000000000001"/>
  </r>
  <r>
    <x v="28"/>
    <x v="31"/>
    <n v="491290.37"/>
    <x v="1"/>
    <n v="68.599999999999994"/>
    <n v="2.7170000000000001"/>
    <n v="132.75645159999999"/>
    <n v="10.409000000000001"/>
  </r>
  <r>
    <x v="28"/>
    <x v="32"/>
    <n v="463752.89"/>
    <x v="0"/>
    <n v="62.49"/>
    <n v="2.7160000000000002"/>
    <n v="132.76706669999999"/>
    <n v="10.409000000000001"/>
  </r>
  <r>
    <x v="28"/>
    <x v="33"/>
    <n v="465338.41"/>
    <x v="0"/>
    <n v="65.14"/>
    <n v="2.718"/>
    <n v="132.76193330000001"/>
    <n v="10.409000000000001"/>
  </r>
  <r>
    <x v="28"/>
    <x v="34"/>
    <n v="474698.01"/>
    <x v="0"/>
    <n v="69.31"/>
    <n v="2.7170000000000001"/>
    <n v="132.7568"/>
    <n v="10.523999999999999"/>
  </r>
  <r>
    <x v="28"/>
    <x v="35"/>
    <n v="530059.06000000006"/>
    <x v="0"/>
    <n v="56.32"/>
    <n v="2.7759999999999998"/>
    <n v="132.75166669999999"/>
    <n v="10.523999999999999"/>
  </r>
  <r>
    <x v="28"/>
    <x v="36"/>
    <n v="483011.69"/>
    <x v="0"/>
    <n v="55.23"/>
    <n v="2.8780000000000001"/>
    <n v="132.7633548"/>
    <n v="10.523999999999999"/>
  </r>
  <r>
    <x v="28"/>
    <x v="37"/>
    <n v="505221.17"/>
    <x v="0"/>
    <n v="50.24"/>
    <n v="2.919"/>
    <n v="132.8170968"/>
    <n v="10.523999999999999"/>
  </r>
  <r>
    <x v="28"/>
    <x v="38"/>
    <n v="527058.59"/>
    <x v="0"/>
    <n v="57.73"/>
    <n v="2.9380000000000002"/>
    <n v="132.87083870000001"/>
    <n v="10.523999999999999"/>
  </r>
  <r>
    <x v="28"/>
    <x v="39"/>
    <n v="521002.97"/>
    <x v="0"/>
    <n v="44.34"/>
    <n v="2.9380000000000002"/>
    <n v="132.92458060000001"/>
    <n v="10.523999999999999"/>
  </r>
  <r>
    <x v="28"/>
    <x v="40"/>
    <n v="524450.69999999995"/>
    <x v="0"/>
    <n v="44.42"/>
    <n v="2.9609999999999999"/>
    <n v="132.97832260000001"/>
    <n v="10.523999999999999"/>
  </r>
  <r>
    <x v="28"/>
    <x v="41"/>
    <n v="508174.55"/>
    <x v="0"/>
    <n v="48.62"/>
    <n v="3.03"/>
    <n v="132.91720000000001"/>
    <n v="10.523999999999999"/>
  </r>
  <r>
    <x v="28"/>
    <x v="42"/>
    <n v="975268.91"/>
    <x v="1"/>
    <n v="44.61"/>
    <n v="3.07"/>
    <n v="132.8369333"/>
    <n v="10.523999999999999"/>
  </r>
  <r>
    <x v="28"/>
    <x v="43"/>
    <n v="642678.53"/>
    <x v="0"/>
    <n v="39.42"/>
    <n v="3.0649999999999999"/>
    <n v="132.75666670000001"/>
    <n v="10.523999999999999"/>
  </r>
  <r>
    <x v="28"/>
    <x v="44"/>
    <n v="713834.74"/>
    <x v="0"/>
    <n v="28.43"/>
    <n v="3.1320000000000001"/>
    <n v="132.6764"/>
    <n v="10.523999999999999"/>
  </r>
  <r>
    <x v="28"/>
    <x v="45"/>
    <n v="850538.25"/>
    <x v="0"/>
    <n v="30.46"/>
    <n v="3.1389999999999998"/>
    <n v="132.6804516"/>
    <n v="10.523999999999999"/>
  </r>
  <r>
    <x v="28"/>
    <x v="46"/>
    <n v="1130926.79"/>
    <x v="0"/>
    <n v="29.76"/>
    <n v="3.15"/>
    <n v="132.74774189999999"/>
    <n v="10.523999999999999"/>
  </r>
  <r>
    <x v="28"/>
    <x v="47"/>
    <n v="465992.02"/>
    <x v="1"/>
    <n v="28.49"/>
    <n v="3.177"/>
    <n v="132.81503230000001"/>
    <n v="10.523999999999999"/>
  </r>
  <r>
    <x v="28"/>
    <x v="48"/>
    <n v="455952.18"/>
    <x v="0"/>
    <n v="32.56"/>
    <n v="3.1930000000000001"/>
    <n v="132.88232260000001"/>
    <n v="10.256"/>
  </r>
  <r>
    <x v="28"/>
    <x v="49"/>
    <n v="426905.26"/>
    <x v="0"/>
    <n v="24.76"/>
    <n v="3.2149999999999999"/>
    <n v="132.9510645"/>
    <n v="10.256"/>
  </r>
  <r>
    <x v="28"/>
    <x v="50"/>
    <n v="445134.15"/>
    <x v="0"/>
    <n v="26.8"/>
    <n v="3.2320000000000002"/>
    <n v="133.02851609999999"/>
    <n v="10.256"/>
  </r>
  <r>
    <x v="28"/>
    <x v="51"/>
    <n v="410426.97"/>
    <x v="0"/>
    <n v="20.61"/>
    <n v="3.2429999999999999"/>
    <n v="133.10596770000001"/>
    <n v="10.256"/>
  </r>
  <r>
    <x v="28"/>
    <x v="52"/>
    <n v="504126.89"/>
    <x v="0"/>
    <n v="26.39"/>
    <n v="3.24"/>
    <n v="133.18341939999999"/>
    <n v="10.256"/>
  </r>
  <r>
    <x v="28"/>
    <x v="53"/>
    <n v="550387.78"/>
    <x v="1"/>
    <n v="28.89"/>
    <n v="3.2549999999999999"/>
    <n v="133.26087100000001"/>
    <n v="10.256"/>
  </r>
  <r>
    <x v="28"/>
    <x v="54"/>
    <n v="542529.21"/>
    <x v="0"/>
    <n v="35.340000000000003"/>
    <n v="3.2629999999999999"/>
    <n v="133.37014289999999"/>
    <n v="10.256"/>
  </r>
  <r>
    <x v="28"/>
    <x v="55"/>
    <n v="483660.15"/>
    <x v="0"/>
    <n v="30.23"/>
    <n v="3.2810000000000001"/>
    <n v="133.4921429"/>
    <n v="10.256"/>
  </r>
  <r>
    <x v="28"/>
    <x v="56"/>
    <n v="536031.67000000004"/>
    <x v="0"/>
    <n v="33.520000000000003"/>
    <n v="3.4369999999999998"/>
    <n v="133.61414289999999"/>
    <n v="10.256"/>
  </r>
  <r>
    <x v="28"/>
    <x v="57"/>
    <n v="493430.45"/>
    <x v="0"/>
    <n v="41.42"/>
    <n v="3.6"/>
    <n v="133.7361429"/>
    <n v="10.256"/>
  </r>
  <r>
    <x v="28"/>
    <x v="58"/>
    <n v="493653.43"/>
    <x v="0"/>
    <n v="43.38"/>
    <n v="3.6339999999999999"/>
    <n v="133.8492258"/>
    <n v="10.256"/>
  </r>
  <r>
    <x v="28"/>
    <x v="59"/>
    <n v="478773.05"/>
    <x v="0"/>
    <n v="38.770000000000003"/>
    <n v="3.6240000000000001"/>
    <n v="133.95874190000001"/>
    <n v="10.256"/>
  </r>
  <r>
    <x v="28"/>
    <x v="60"/>
    <n v="475615.26"/>
    <x v="0"/>
    <n v="36.04"/>
    <n v="3.6379999999999999"/>
    <n v="134.06825810000001"/>
    <n v="9.9659999999999993"/>
  </r>
  <r>
    <x v="28"/>
    <x v="61"/>
    <n v="505304.33"/>
    <x v="0"/>
    <n v="44.42"/>
    <n v="3.72"/>
    <n v="134.17777419999999"/>
    <n v="9.9659999999999993"/>
  </r>
  <r>
    <x v="28"/>
    <x v="62"/>
    <n v="518245.97"/>
    <x v="0"/>
    <n v="48.88"/>
    <n v="3.823"/>
    <n v="134.2784667"/>
    <n v="9.9659999999999993"/>
  </r>
  <r>
    <x v="28"/>
    <x v="63"/>
    <n v="589252.68999999994"/>
    <x v="0"/>
    <n v="47.76"/>
    <n v="3.919"/>
    <n v="134.3571"/>
    <n v="9.9659999999999993"/>
  </r>
  <r>
    <x v="28"/>
    <x v="64"/>
    <n v="493078.64"/>
    <x v="0"/>
    <n v="57.2"/>
    <n v="3.988"/>
    <n v="134.43573330000001"/>
    <n v="9.9659999999999993"/>
  </r>
  <r>
    <x v="28"/>
    <x v="65"/>
    <n v="534372.53"/>
    <x v="0"/>
    <n v="53.63"/>
    <n v="4.0780000000000003"/>
    <n v="134.51436670000001"/>
    <n v="9.9659999999999993"/>
  </r>
  <r>
    <x v="28"/>
    <x v="66"/>
    <n v="549551.02"/>
    <x v="0"/>
    <n v="57.71"/>
    <n v="4.0949999999999998"/>
    <n v="134.59299999999999"/>
    <n v="9.9659999999999993"/>
  </r>
  <r>
    <x v="28"/>
    <x v="67"/>
    <n v="492932.51"/>
    <x v="0"/>
    <n v="58.56"/>
    <n v="4.101"/>
    <n v="134.68038709999999"/>
    <n v="9.9659999999999993"/>
  </r>
  <r>
    <x v="28"/>
    <x v="68"/>
    <n v="550735.64"/>
    <x v="0"/>
    <n v="62.59"/>
    <n v="4.0339999999999998"/>
    <n v="134.76777419999999"/>
    <n v="9.9659999999999993"/>
  </r>
  <r>
    <x v="28"/>
    <x v="69"/>
    <n v="598251.56999999995"/>
    <x v="0"/>
    <n v="70.09"/>
    <n v="3.9729999999999999"/>
    <n v="134.85516129999999"/>
    <n v="9.9659999999999993"/>
  </r>
  <r>
    <x v="28"/>
    <x v="70"/>
    <n v="558431.43999999994"/>
    <x v="0"/>
    <n v="69.53"/>
    <n v="3.9239999999999999"/>
    <n v="134.94254839999999"/>
    <n v="9.9659999999999993"/>
  </r>
  <r>
    <x v="28"/>
    <x v="71"/>
    <n v="536914.17000000004"/>
    <x v="0"/>
    <n v="63.97"/>
    <n v="3.8730000000000002"/>
    <n v="135.08373330000001"/>
    <n v="9.9659999999999993"/>
  </r>
  <r>
    <x v="28"/>
    <x v="72"/>
    <n v="545368.17000000004"/>
    <x v="0"/>
    <n v="68.53"/>
    <n v="3.851"/>
    <n v="135.26526670000001"/>
    <n v="9.9659999999999993"/>
  </r>
  <r>
    <x v="28"/>
    <x v="73"/>
    <n v="567114.6"/>
    <x v="0"/>
    <n v="70.8"/>
    <n v="3.8149999999999999"/>
    <n v="135.4468"/>
    <n v="9.8629999999999995"/>
  </r>
  <r>
    <x v="28"/>
    <x v="74"/>
    <n v="547586.06999999995"/>
    <x v="0"/>
    <n v="74.22"/>
    <n v="3.7839999999999998"/>
    <n v="135.62833330000001"/>
    <n v="9.8629999999999995"/>
  </r>
  <r>
    <x v="28"/>
    <x v="75"/>
    <n v="505246.15"/>
    <x v="0"/>
    <n v="75.2"/>
    <n v="3.827"/>
    <n v="135.7837419"/>
    <n v="9.8629999999999995"/>
  </r>
  <r>
    <x v="28"/>
    <x v="76"/>
    <n v="507335.75"/>
    <x v="0"/>
    <n v="77.790000000000006"/>
    <n v="3.8820000000000001"/>
    <n v="135.87383869999999"/>
    <n v="9.8629999999999995"/>
  </r>
  <r>
    <x v="28"/>
    <x v="77"/>
    <n v="474653.06"/>
    <x v="0"/>
    <n v="75.319999999999993"/>
    <n v="3.8980000000000001"/>
    <n v="135.96393549999999"/>
    <n v="9.8629999999999995"/>
  </r>
  <r>
    <x v="28"/>
    <x v="78"/>
    <n v="503486.37"/>
    <x v="0"/>
    <n v="75.33"/>
    <n v="3.903"/>
    <n v="136.05403229999999"/>
    <n v="9.8629999999999995"/>
  </r>
  <r>
    <x v="28"/>
    <x v="79"/>
    <n v="471311.5"/>
    <x v="0"/>
    <n v="74.69"/>
    <n v="3.88"/>
    <n v="136.14412899999999"/>
    <n v="9.8629999999999995"/>
  </r>
  <r>
    <x v="28"/>
    <x v="80"/>
    <n v="498056"/>
    <x v="0"/>
    <n v="71.3"/>
    <n v="3.82"/>
    <n v="136.18312900000001"/>
    <n v="9.8629999999999995"/>
  </r>
  <r>
    <x v="28"/>
    <x v="81"/>
    <n v="608294.98"/>
    <x v="0"/>
    <n v="72.22"/>
    <n v="3.7959999999999998"/>
    <n v="136.21361289999999"/>
    <n v="9.8629999999999995"/>
  </r>
  <r>
    <x v="28"/>
    <x v="82"/>
    <n v="497085.91"/>
    <x v="0"/>
    <n v="69.16"/>
    <n v="3.7839999999999998"/>
    <n v="136.24409679999999"/>
    <n v="9.8629999999999995"/>
  </r>
  <r>
    <x v="28"/>
    <x v="83"/>
    <n v="505406.71999999997"/>
    <x v="1"/>
    <n v="69.14"/>
    <n v="3.8090000000000002"/>
    <n v="136.27458060000001"/>
    <n v="9.8629999999999995"/>
  </r>
  <r>
    <x v="28"/>
    <x v="84"/>
    <n v="474129.35"/>
    <x v="0"/>
    <n v="68.08"/>
    <n v="3.8090000000000002"/>
    <n v="136.31450000000001"/>
    <n v="9.8629999999999995"/>
  </r>
  <r>
    <x v="28"/>
    <x v="85"/>
    <n v="475696.37"/>
    <x v="0"/>
    <n v="62.36"/>
    <n v="3.758"/>
    <n v="136.36699999999999"/>
    <n v="9.8629999999999995"/>
  </r>
  <r>
    <x v="28"/>
    <x v="86"/>
    <n v="446516.26"/>
    <x v="0"/>
    <n v="69.78"/>
    <n v="3.6840000000000002"/>
    <n v="136.4195"/>
    <n v="9.8629999999999995"/>
  </r>
  <r>
    <x v="28"/>
    <x v="87"/>
    <n v="514993"/>
    <x v="0"/>
    <n v="56.44"/>
    <n v="3.633"/>
    <n v="136.47200000000001"/>
    <n v="9.3569999999999993"/>
  </r>
  <r>
    <x v="28"/>
    <x v="88"/>
    <n v="475776.45"/>
    <x v="0"/>
    <n v="62.63"/>
    <n v="3.5830000000000002"/>
    <n v="136.51509680000001"/>
    <n v="9.3569999999999993"/>
  </r>
  <r>
    <x v="28"/>
    <x v="89"/>
    <n v="505068.22"/>
    <x v="0"/>
    <n v="59.3"/>
    <n v="3.6179999999999999"/>
    <n v="136.5017742"/>
    <n v="9.3569999999999993"/>
  </r>
  <r>
    <x v="28"/>
    <x v="90"/>
    <n v="515119.64"/>
    <x v="0"/>
    <n v="49.31"/>
    <n v="3.6040000000000001"/>
    <n v="136.48845159999999"/>
    <n v="9.3569999999999993"/>
  </r>
  <r>
    <x v="28"/>
    <x v="91"/>
    <n v="620735.72"/>
    <x v="0"/>
    <n v="42.81"/>
    <n v="3.5859999999999999"/>
    <n v="136.47512900000001"/>
    <n v="9.3569999999999993"/>
  </r>
  <r>
    <x v="28"/>
    <x v="92"/>
    <n v="531600.62"/>
    <x v="0"/>
    <n v="47.8"/>
    <n v="3.57"/>
    <n v="136.46180649999999"/>
    <n v="9.3569999999999993"/>
  </r>
  <r>
    <x v="28"/>
    <x v="93"/>
    <n v="504601.29"/>
    <x v="0"/>
    <n v="50.62"/>
    <n v="3.5710000000000002"/>
    <n v="136.46666669999999"/>
    <n v="9.3569999999999993"/>
  </r>
  <r>
    <x v="28"/>
    <x v="94"/>
    <n v="913165.19"/>
    <x v="1"/>
    <n v="46.28"/>
    <n v="3.536"/>
    <n v="136.47880000000001"/>
    <n v="9.3569999999999993"/>
  </r>
  <r>
    <x v="28"/>
    <x v="95"/>
    <n v="579874.22"/>
    <x v="0"/>
    <n v="49.11"/>
    <n v="3.5009999999999999"/>
    <n v="136.49093329999999"/>
    <n v="9.3569999999999993"/>
  </r>
  <r>
    <x v="28"/>
    <x v="96"/>
    <n v="633240.53"/>
    <x v="0"/>
    <n v="45.35"/>
    <n v="3.47"/>
    <n v="136.50306670000001"/>
    <n v="9.3569999999999993"/>
  </r>
  <r>
    <x v="28"/>
    <x v="97"/>
    <n v="736805.66"/>
    <x v="0"/>
    <n v="39.11"/>
    <n v="3.4449999999999998"/>
    <n v="136.53351610000001"/>
    <n v="9.3569999999999993"/>
  </r>
  <r>
    <x v="28"/>
    <x v="98"/>
    <n v="1016637.39"/>
    <x v="0"/>
    <n v="39.83"/>
    <n v="3.4129999999999998"/>
    <n v="136.58838710000001"/>
    <n v="9.3569999999999993"/>
  </r>
  <r>
    <x v="28"/>
    <x v="99"/>
    <n v="551743.05000000005"/>
    <x v="1"/>
    <n v="36.28"/>
    <n v="3.4020000000000001"/>
    <n v="136.6432581"/>
    <n v="9.3569999999999993"/>
  </r>
  <r>
    <x v="28"/>
    <x v="100"/>
    <n v="469773.85"/>
    <x v="0"/>
    <n v="34.61"/>
    <n v="3.4390000000000001"/>
    <n v="136.69812899999999"/>
    <n v="8.9879999999999995"/>
  </r>
  <r>
    <x v="28"/>
    <x v="101"/>
    <n v="444756.37"/>
    <x v="0"/>
    <n v="39"/>
    <n v="3.5230000000000001"/>
    <n v="136.75299999999999"/>
    <n v="8.9879999999999995"/>
  </r>
  <r>
    <x v="28"/>
    <x v="102"/>
    <n v="446863.31"/>
    <x v="0"/>
    <n v="29.16"/>
    <n v="3.5419999999999998"/>
    <n v="136.85641939999999"/>
    <n v="8.9879999999999995"/>
  </r>
  <r>
    <x v="28"/>
    <x v="103"/>
    <n v="395987.24"/>
    <x v="0"/>
    <n v="35.68"/>
    <n v="3.5680000000000001"/>
    <n v="136.95983870000001"/>
    <n v="8.9879999999999995"/>
  </r>
  <r>
    <x v="28"/>
    <x v="104"/>
    <n v="493159.35"/>
    <x v="0"/>
    <n v="40.58"/>
    <n v="3.633"/>
    <n v="137.06325810000001"/>
    <n v="8.9879999999999995"/>
  </r>
  <r>
    <x v="28"/>
    <x v="105"/>
    <n v="545840.05000000005"/>
    <x v="1"/>
    <n v="35.68"/>
    <n v="3.6549999999999998"/>
    <n v="137.1666774"/>
    <n v="8.9879999999999995"/>
  </r>
  <r>
    <x v="28"/>
    <x v="106"/>
    <n v="559606.91"/>
    <x v="0"/>
    <n v="36.25"/>
    <n v="3.7029999999999998"/>
    <n v="137.25831030000001"/>
    <n v="8.9879999999999995"/>
  </r>
  <r>
    <x v="28"/>
    <x v="107"/>
    <n v="488782.63"/>
    <x v="0"/>
    <n v="39"/>
    <n v="3.7509999999999999"/>
    <n v="137.34110340000001"/>
    <n v="8.9879999999999995"/>
  </r>
  <r>
    <x v="28"/>
    <x v="108"/>
    <n v="500801.72"/>
    <x v="0"/>
    <n v="37.47"/>
    <n v="3.827"/>
    <n v="137.42389660000001"/>
    <n v="8.9879999999999995"/>
  </r>
  <r>
    <x v="28"/>
    <x v="109"/>
    <n v="504750.35"/>
    <x v="0"/>
    <n v="41.72"/>
    <n v="3.8759999999999999"/>
    <n v="137.50668970000001"/>
    <n v="8.9879999999999995"/>
  </r>
  <r>
    <x v="28"/>
    <x v="110"/>
    <n v="489293.72"/>
    <x v="0"/>
    <n v="46.06"/>
    <n v="3.867"/>
    <n v="137.58438709999999"/>
    <n v="8.9879999999999995"/>
  </r>
  <r>
    <x v="28"/>
    <x v="111"/>
    <n v="517408.48"/>
    <x v="0"/>
    <n v="54.68"/>
    <n v="3.8889999999999998"/>
    <n v="137.65529029999999"/>
    <n v="8.9879999999999995"/>
  </r>
  <r>
    <x v="28"/>
    <x v="112"/>
    <n v="504566.28"/>
    <x v="0"/>
    <n v="46.4"/>
    <n v="3.9209999999999998"/>
    <n v="137.72619349999999"/>
    <n v="8.9879999999999995"/>
  </r>
  <r>
    <x v="28"/>
    <x v="113"/>
    <n v="633826.55000000005"/>
    <x v="0"/>
    <n v="46.38"/>
    <n v="3.9569999999999999"/>
    <n v="137.79709679999999"/>
    <n v="9.14"/>
  </r>
  <r>
    <x v="28"/>
    <x v="114"/>
    <n v="520493.83"/>
    <x v="0"/>
    <n v="49.89"/>
    <n v="4.0250000000000004"/>
    <n v="137.86799999999999"/>
    <n v="9.14"/>
  </r>
  <r>
    <x v="28"/>
    <x v="115"/>
    <n v="525200.59"/>
    <x v="0"/>
    <n v="58.81"/>
    <n v="4.0460000000000003"/>
    <n v="137.92306669999999"/>
    <n v="9.14"/>
  </r>
  <r>
    <x v="28"/>
    <x v="116"/>
    <n v="497250.22"/>
    <x v="0"/>
    <n v="51.42"/>
    <n v="4.0229999999999997"/>
    <n v="137.9781333"/>
    <n v="9.14"/>
  </r>
  <r>
    <x v="28"/>
    <x v="117"/>
    <n v="504963.84000000003"/>
    <x v="0"/>
    <n v="50.75"/>
    <n v="3.9910000000000001"/>
    <n v="138.03319999999999"/>
    <n v="9.14"/>
  </r>
  <r>
    <x v="28"/>
    <x v="118"/>
    <n v="529707.87"/>
    <x v="0"/>
    <n v="56.72"/>
    <n v="3.9470000000000001"/>
    <n v="138.08826669999999"/>
    <n v="9.14"/>
  </r>
  <r>
    <x v="28"/>
    <x v="119"/>
    <n v="543706.04"/>
    <x v="0"/>
    <n v="61.9"/>
    <n v="3.899"/>
    <n v="138.1065806"/>
    <n v="9.14"/>
  </r>
  <r>
    <x v="28"/>
    <x v="120"/>
    <n v="549665.67000000004"/>
    <x v="0"/>
    <n v="62.39"/>
    <n v="3.85"/>
    <n v="138.11019350000001"/>
    <n v="9.14"/>
  </r>
  <r>
    <x v="28"/>
    <x v="121"/>
    <n v="576252.35"/>
    <x v="0"/>
    <n v="70.010000000000005"/>
    <n v="3.798"/>
    <n v="138.11380650000001"/>
    <n v="9.14"/>
  </r>
  <r>
    <x v="28"/>
    <x v="122"/>
    <n v="554093.15"/>
    <x v="0"/>
    <n v="61.71"/>
    <n v="3.746"/>
    <n v="138.11741939999999"/>
    <n v="9.14"/>
  </r>
  <r>
    <x v="28"/>
    <x v="123"/>
    <n v="552338.76"/>
    <x v="0"/>
    <n v="66.56"/>
    <n v="3.6829999999999998"/>
    <n v="138.12953329999999"/>
    <n v="9.14"/>
  </r>
  <r>
    <x v="28"/>
    <x v="124"/>
    <n v="581854.5"/>
    <x v="0"/>
    <n v="70.61"/>
    <n v="3.629"/>
    <n v="138.16290000000001"/>
    <n v="9.14"/>
  </r>
  <r>
    <x v="28"/>
    <x v="125"/>
    <n v="555954.13"/>
    <x v="0"/>
    <n v="70.989999999999995"/>
    <n v="3.577"/>
    <n v="138.1962667"/>
    <n v="9.14"/>
  </r>
  <r>
    <x v="28"/>
    <x v="126"/>
    <n v="578832.41"/>
    <x v="0"/>
    <n v="77.41"/>
    <n v="3.5379999999999998"/>
    <n v="138.22963329999999"/>
    <n v="9.4190000000000005"/>
  </r>
  <r>
    <x v="28"/>
    <x v="127"/>
    <n v="514709.76000000001"/>
    <x v="0"/>
    <n v="75.81"/>
    <n v="3.5609999999999999"/>
    <n v="138.26300000000001"/>
    <n v="9.4190000000000005"/>
  </r>
  <r>
    <x v="28"/>
    <x v="128"/>
    <n v="506705.36"/>
    <x v="0"/>
    <n v="76.569999999999993"/>
    <n v="3.61"/>
    <n v="138.2331935"/>
    <n v="9.4190000000000005"/>
  </r>
  <r>
    <x v="28"/>
    <x v="129"/>
    <n v="475158.24"/>
    <x v="0"/>
    <n v="73.52"/>
    <n v="3.7010000000000001"/>
    <n v="138.20338709999999"/>
    <n v="9.4190000000000005"/>
  </r>
  <r>
    <x v="28"/>
    <x v="130"/>
    <n v="504754.74"/>
    <x v="0"/>
    <n v="72.989999999999995"/>
    <n v="3.698"/>
    <n v="138.17358060000001"/>
    <n v="9.4190000000000005"/>
  </r>
  <r>
    <x v="28"/>
    <x v="131"/>
    <n v="518628.42"/>
    <x v="0"/>
    <n v="76.739999999999995"/>
    <n v="3.7719999999999998"/>
    <n v="138.1437742"/>
    <n v="9.4190000000000005"/>
  </r>
  <r>
    <x v="28"/>
    <x v="132"/>
    <n v="416881.66"/>
    <x v="0"/>
    <n v="74.92"/>
    <n v="3.84"/>
    <n v="138.18570969999999"/>
    <n v="9.4190000000000005"/>
  </r>
  <r>
    <x v="28"/>
    <x v="133"/>
    <n v="615026.15"/>
    <x v="0"/>
    <n v="70.42"/>
    <n v="3.8740000000000001"/>
    <n v="138.2814516"/>
    <n v="9.4190000000000005"/>
  </r>
  <r>
    <x v="28"/>
    <x v="134"/>
    <n v="545844.91"/>
    <x v="0"/>
    <n v="71.930000000000007"/>
    <n v="3.8839999999999999"/>
    <n v="138.3771935"/>
    <n v="9.4190000000000005"/>
  </r>
  <r>
    <x v="28"/>
    <x v="135"/>
    <n v="540811.85"/>
    <x v="1"/>
    <n v="73.3"/>
    <n v="3.9209999999999998"/>
    <n v="138.47293550000001"/>
    <n v="9.4190000000000005"/>
  </r>
  <r>
    <x v="28"/>
    <x v="136"/>
    <n v="475127.18"/>
    <x v="0"/>
    <n v="66.42"/>
    <n v="3.988"/>
    <n v="138.56729999999999"/>
    <n v="9.4190000000000005"/>
  </r>
  <r>
    <x v="28"/>
    <x v="137"/>
    <n v="489079.23"/>
    <x v="0"/>
    <n v="63.38"/>
    <n v="4.056"/>
    <n v="138.6534"/>
    <n v="9.4190000000000005"/>
  </r>
  <r>
    <x v="28"/>
    <x v="138"/>
    <n v="489674.23"/>
    <x v="0"/>
    <n v="62.17"/>
    <n v="4.0179999999999998"/>
    <n v="138.73949999999999"/>
    <n v="9.4190000000000005"/>
  </r>
  <r>
    <x v="28"/>
    <x v="139"/>
    <n v="520632.8"/>
    <x v="0"/>
    <n v="62.09"/>
    <n v="4.0270000000000001"/>
    <n v="138.82560000000001"/>
    <n v="9.1509999999999998"/>
  </r>
  <r>
    <x v="28"/>
    <x v="140"/>
    <n v="513737"/>
    <x v="0"/>
    <n v="54.18"/>
    <n v="4.0289999999999999"/>
    <n v="138.9117"/>
    <n v="9.1509999999999998"/>
  </r>
  <r>
    <x v="28"/>
    <x v="141"/>
    <n v="516909.24"/>
    <x v="0"/>
    <n v="55.28"/>
    <n v="4"/>
    <n v="138.83361289999999"/>
    <n v="9.1509999999999998"/>
  </r>
  <r>
    <x v="28"/>
    <x v="142"/>
    <n v="534970.68000000005"/>
    <x v="0"/>
    <n v="57.58"/>
    <n v="3.9169999999999998"/>
    <n v="138.72816130000001"/>
    <n v="9.1509999999999998"/>
  </r>
  <r>
    <x v="29"/>
    <x v="0"/>
    <n v="465108.52"/>
    <x v="0"/>
    <n v="39.049999999999997"/>
    <n v="2.5720000000000001"/>
    <n v="210.7526053"/>
    <n v="8.3239999999999998"/>
  </r>
  <r>
    <x v="29"/>
    <x v="1"/>
    <n v="497374.57"/>
    <x v="1"/>
    <n v="37.770000000000003"/>
    <n v="2.548"/>
    <n v="210.89799350000001"/>
    <n v="8.3239999999999998"/>
  </r>
  <r>
    <x v="29"/>
    <x v="2"/>
    <n v="463513.26"/>
    <x v="0"/>
    <n v="39.75"/>
    <n v="2.5139999999999998"/>
    <n v="210.94516049999999"/>
    <n v="8.3239999999999998"/>
  </r>
  <r>
    <x v="29"/>
    <x v="3"/>
    <n v="472330.71"/>
    <x v="0"/>
    <n v="45.31"/>
    <n v="2.5609999999999999"/>
    <n v="210.9759573"/>
    <n v="8.3239999999999998"/>
  </r>
  <r>
    <x v="29"/>
    <x v="4"/>
    <n v="472591.07"/>
    <x v="0"/>
    <n v="48.61"/>
    <n v="2.625"/>
    <n v="211.00675419999999"/>
    <n v="8.3239999999999998"/>
  </r>
  <r>
    <x v="29"/>
    <x v="5"/>
    <n v="468189.93"/>
    <x v="0"/>
    <n v="57.1"/>
    <n v="2.6669999999999998"/>
    <n v="211.03755100000001"/>
    <n v="8.3239999999999998"/>
  </r>
  <r>
    <x v="29"/>
    <x v="6"/>
    <n v="445736.36"/>
    <x v="0"/>
    <n v="54.68"/>
    <n v="2.72"/>
    <n v="210.8733316"/>
    <n v="8.3239999999999998"/>
  </r>
  <r>
    <x v="29"/>
    <x v="7"/>
    <n v="442457.35"/>
    <x v="0"/>
    <n v="51.66"/>
    <n v="2.7320000000000002"/>
    <n v="210.67660950000001"/>
    <n v="8.3239999999999998"/>
  </r>
  <r>
    <x v="29"/>
    <x v="8"/>
    <n v="457884.06"/>
    <x v="0"/>
    <n v="64.12"/>
    <n v="2.7189999999999999"/>
    <n v="210.4798874"/>
    <n v="8.1999999999999993"/>
  </r>
  <r>
    <x v="29"/>
    <x v="9"/>
    <n v="454800.96"/>
    <x v="0"/>
    <n v="65.739999999999995"/>
    <n v="2.77"/>
    <n v="210.28316530000001"/>
    <n v="8.1999999999999993"/>
  </r>
  <r>
    <x v="29"/>
    <x v="10"/>
    <n v="471054.16"/>
    <x v="0"/>
    <n v="67.87"/>
    <n v="2.8079999999999998"/>
    <n v="210.1495463"/>
    <n v="8.1999999999999993"/>
  </r>
  <r>
    <x v="29"/>
    <x v="11"/>
    <n v="462454.39"/>
    <x v="0"/>
    <n v="64.209999999999994"/>
    <n v="2.7949999999999999"/>
    <n v="210.10006480000001"/>
    <n v="8.1999999999999993"/>
  </r>
  <r>
    <x v="29"/>
    <x v="12"/>
    <n v="456140.34"/>
    <x v="0"/>
    <n v="66.930000000000007"/>
    <n v="2.78"/>
    <n v="210.0505833"/>
    <n v="8.1999999999999993"/>
  </r>
  <r>
    <x v="29"/>
    <x v="13"/>
    <n v="457883.94"/>
    <x v="0"/>
    <n v="70.87"/>
    <n v="2.835"/>
    <n v="210.00110179999999"/>
    <n v="8.1999999999999993"/>
  </r>
  <r>
    <x v="29"/>
    <x v="14"/>
    <n v="461868.09"/>
    <x v="0"/>
    <n v="73.08"/>
    <n v="2.8540000000000001"/>
    <n v="209.9984585"/>
    <n v="8.1999999999999993"/>
  </r>
  <r>
    <x v="29"/>
    <x v="15"/>
    <n v="455751.84"/>
    <x v="0"/>
    <n v="74.239999999999995"/>
    <n v="2.8260000000000001"/>
    <n v="210.27684429999999"/>
    <n v="8.1999999999999993"/>
  </r>
  <r>
    <x v="29"/>
    <x v="16"/>
    <n v="462474.16"/>
    <x v="0"/>
    <n v="80.94"/>
    <n v="2.7589999999999999"/>
    <n v="210.55523009999999"/>
    <n v="8.1999999999999993"/>
  </r>
  <r>
    <x v="29"/>
    <x v="17"/>
    <n v="458343.7"/>
    <x v="0"/>
    <n v="82.68"/>
    <n v="2.7050000000000001"/>
    <n v="210.83361600000001"/>
    <n v="8.1999999999999993"/>
  </r>
  <r>
    <x v="29"/>
    <x v="18"/>
    <n v="445530.16"/>
    <x v="0"/>
    <n v="83.51"/>
    <n v="2.6680000000000001"/>
    <n v="211.1120018"/>
    <n v="8.1999999999999993"/>
  </r>
  <r>
    <x v="29"/>
    <x v="19"/>
    <n v="447727.52"/>
    <x v="0"/>
    <n v="86.18"/>
    <n v="2.637"/>
    <n v="211.10965429999999"/>
    <n v="8.1999999999999993"/>
  </r>
  <r>
    <x v="29"/>
    <x v="20"/>
    <n v="453210.24"/>
    <x v="0"/>
    <n v="87.01"/>
    <n v="2.653"/>
    <n v="210.9950134"/>
    <n v="8.1999999999999993"/>
  </r>
  <r>
    <x v="29"/>
    <x v="21"/>
    <n v="450337.47"/>
    <x v="0"/>
    <n v="82.29"/>
    <n v="2.669"/>
    <n v="210.88037259999999"/>
    <n v="8.0990000000000002"/>
  </r>
  <r>
    <x v="29"/>
    <x v="22"/>
    <n v="436293.4"/>
    <x v="0"/>
    <n v="81.67"/>
    <n v="2.6419999999999999"/>
    <n v="210.7657317"/>
    <n v="8.0990000000000002"/>
  </r>
  <r>
    <x v="29"/>
    <x v="23"/>
    <n v="438068.71"/>
    <x v="0"/>
    <n v="85.61"/>
    <n v="2.6230000000000002"/>
    <n v="210.75779539999999"/>
    <n v="8.0990000000000002"/>
  </r>
  <r>
    <x v="29"/>
    <x v="24"/>
    <n v="440491.33"/>
    <x v="0"/>
    <n v="87.17"/>
    <n v="2.6080000000000001"/>
    <n v="210.89213190000001"/>
    <n v="8.0990000000000002"/>
  </r>
  <r>
    <x v="29"/>
    <x v="25"/>
    <n v="437893.76"/>
    <x v="0"/>
    <n v="83.59"/>
    <n v="2.64"/>
    <n v="211.0264684"/>
    <n v="8.0990000000000002"/>
  </r>
  <r>
    <x v="29"/>
    <x v="26"/>
    <n v="441407.06"/>
    <x v="0"/>
    <n v="90.3"/>
    <n v="2.6269999999999998"/>
    <n v="211.16080489999999"/>
    <n v="8.0990000000000002"/>
  </r>
  <r>
    <x v="29"/>
    <x v="27"/>
    <n v="444160.07"/>
    <x v="0"/>
    <n v="89.65"/>
    <n v="2.6920000000000002"/>
    <n v="211.29514130000001"/>
    <n v="8.0990000000000002"/>
  </r>
  <r>
    <x v="29"/>
    <x v="28"/>
    <n v="447139.8"/>
    <x v="0"/>
    <n v="89.58"/>
    <n v="2.6640000000000001"/>
    <n v="211.25965859999999"/>
    <n v="8.0990000000000002"/>
  </r>
  <r>
    <x v="29"/>
    <x v="29"/>
    <n v="443810.78"/>
    <x v="0"/>
    <n v="86.2"/>
    <n v="2.6190000000000002"/>
    <n v="211.22417590000001"/>
    <n v="8.0990000000000002"/>
  </r>
  <r>
    <x v="29"/>
    <x v="30"/>
    <n v="461548.98"/>
    <x v="0"/>
    <n v="82.57"/>
    <n v="2.577"/>
    <n v="211.18869309999999"/>
    <n v="8.0990000000000002"/>
  </r>
  <r>
    <x v="29"/>
    <x v="31"/>
    <n v="455162.92"/>
    <x v="1"/>
    <n v="79.3"/>
    <n v="2.5649999999999999"/>
    <n v="211.15321040000001"/>
    <n v="8.0990000000000002"/>
  </r>
  <r>
    <x v="29"/>
    <x v="32"/>
    <n v="462058.19"/>
    <x v="0"/>
    <n v="83.03"/>
    <n v="2.5819999999999999"/>
    <n v="211.18064150000001"/>
    <n v="8.0990000000000002"/>
  </r>
  <r>
    <x v="29"/>
    <x v="33"/>
    <n v="448392.17"/>
    <x v="0"/>
    <n v="80.790000000000006"/>
    <n v="2.6240000000000001"/>
    <n v="211.25525780000001"/>
    <n v="8.0990000000000002"/>
  </r>
  <r>
    <x v="29"/>
    <x v="34"/>
    <n v="445475.3"/>
    <x v="0"/>
    <n v="70.28"/>
    <n v="2.6030000000000002"/>
    <n v="211.32987420000001"/>
    <n v="8.1630000000000003"/>
  </r>
  <r>
    <x v="29"/>
    <x v="35"/>
    <n v="462080.47"/>
    <x v="0"/>
    <n v="65.760000000000005"/>
    <n v="2.633"/>
    <n v="211.4044906"/>
    <n v="8.1630000000000003"/>
  </r>
  <r>
    <x v="29"/>
    <x v="36"/>
    <n v="453943.89"/>
    <x v="0"/>
    <n v="68.61"/>
    <n v="2.72"/>
    <n v="211.47132859999999"/>
    <n v="8.1630000000000003"/>
  </r>
  <r>
    <x v="29"/>
    <x v="37"/>
    <n v="459631.74"/>
    <x v="0"/>
    <n v="70.72"/>
    <n v="2.7250000000000001"/>
    <n v="211.51872080000001"/>
    <n v="8.1630000000000003"/>
  </r>
  <r>
    <x v="29"/>
    <x v="38"/>
    <n v="438334.39"/>
    <x v="0"/>
    <n v="67.510000000000005"/>
    <n v="2.7160000000000002"/>
    <n v="211.5661131"/>
    <n v="8.1630000000000003"/>
  </r>
  <r>
    <x v="29"/>
    <x v="39"/>
    <n v="484661.87"/>
    <x v="0"/>
    <n v="58.71"/>
    <n v="2.6890000000000001"/>
    <n v="211.61350530000001"/>
    <n v="8.1630000000000003"/>
  </r>
  <r>
    <x v="29"/>
    <x v="40"/>
    <n v="431266.64"/>
    <x v="0"/>
    <n v="60.95"/>
    <n v="2.7280000000000002"/>
    <n v="211.6608975"/>
    <n v="8.1630000000000003"/>
  </r>
  <r>
    <x v="29"/>
    <x v="41"/>
    <n v="423707.69"/>
    <x v="0"/>
    <n v="51.71"/>
    <n v="2.7709999999999999"/>
    <n v="211.54703040000001"/>
    <n v="8.1630000000000003"/>
  </r>
  <r>
    <x v="29"/>
    <x v="42"/>
    <n v="462732.36"/>
    <x v="1"/>
    <n v="62.96"/>
    <n v="2.7349999999999999"/>
    <n v="211.40628670000001"/>
    <n v="8.1630000000000003"/>
  </r>
  <r>
    <x v="29"/>
    <x v="43"/>
    <n v="407112.22"/>
    <x v="0"/>
    <n v="50.43"/>
    <n v="2.7080000000000002"/>
    <n v="211.26554300000001"/>
    <n v="8.1630000000000003"/>
  </r>
  <r>
    <x v="29"/>
    <x v="44"/>
    <n v="428631.91"/>
    <x v="0"/>
    <n v="46.35"/>
    <n v="2.843"/>
    <n v="211.12479930000001"/>
    <n v="8.1630000000000003"/>
  </r>
  <r>
    <x v="29"/>
    <x v="45"/>
    <n v="445332.28"/>
    <x v="0"/>
    <n v="48.63"/>
    <n v="2.8690000000000002"/>
    <n v="211.06454579999999"/>
    <n v="8.1630000000000003"/>
  </r>
  <r>
    <x v="29"/>
    <x v="46"/>
    <n v="519354.88"/>
    <x v="0"/>
    <n v="51.29"/>
    <n v="2.8860000000000001"/>
    <n v="211.06465990000001"/>
    <n v="8.1630000000000003"/>
  </r>
  <r>
    <x v="29"/>
    <x v="47"/>
    <n v="397631.02"/>
    <x v="1"/>
    <n v="47.19"/>
    <n v="2.9430000000000001"/>
    <n v="211.064774"/>
    <n v="8.1630000000000003"/>
  </r>
  <r>
    <x v="29"/>
    <x v="48"/>
    <n v="451077.21"/>
    <x v="0"/>
    <n v="44.24"/>
    <n v="2.976"/>
    <n v="211.06488809999999"/>
    <n v="8.0280000000000005"/>
  </r>
  <r>
    <x v="29"/>
    <x v="49"/>
    <n v="465408.72"/>
    <x v="0"/>
    <n v="34.14"/>
    <n v="2.9830000000000001"/>
    <n v="211.11767130000001"/>
    <n v="8.0280000000000005"/>
  </r>
  <r>
    <x v="29"/>
    <x v="50"/>
    <n v="439132.62"/>
    <x v="0"/>
    <n v="42.72"/>
    <n v="3.016"/>
    <n v="211.48646909999999"/>
    <n v="8.0280000000000005"/>
  </r>
  <r>
    <x v="29"/>
    <x v="51"/>
    <n v="425989.04"/>
    <x v="0"/>
    <n v="44.04"/>
    <n v="3.01"/>
    <n v="211.85526680000001"/>
    <n v="8.0280000000000005"/>
  </r>
  <r>
    <x v="29"/>
    <x v="52"/>
    <n v="490970.95"/>
    <x v="0"/>
    <n v="36.33"/>
    <n v="2.9889999999999999"/>
    <n v="212.22406459999999"/>
    <n v="8.0280000000000005"/>
  </r>
  <r>
    <x v="29"/>
    <x v="53"/>
    <n v="470921.24"/>
    <x v="1"/>
    <n v="34.61"/>
    <n v="3.0219999999999998"/>
    <n v="212.5928624"/>
    <n v="8.0280000000000005"/>
  </r>
  <r>
    <x v="29"/>
    <x v="54"/>
    <n v="417070.51"/>
    <x v="0"/>
    <n v="59.87"/>
    <n v="3.0449999999999999"/>
    <n v="212.9033115"/>
    <n v="8.0280000000000005"/>
  </r>
  <r>
    <x v="29"/>
    <x v="55"/>
    <n v="432687.97"/>
    <x v="0"/>
    <n v="61.27"/>
    <n v="3.0649999999999999"/>
    <n v="213.19042099999999"/>
    <n v="8.0280000000000005"/>
  </r>
  <r>
    <x v="29"/>
    <x v="56"/>
    <n v="443334.71"/>
    <x v="0"/>
    <n v="59.52"/>
    <n v="3.2879999999999998"/>
    <n v="213.4775305"/>
    <n v="8.0280000000000005"/>
  </r>
  <r>
    <x v="29"/>
    <x v="57"/>
    <n v="438529.81"/>
    <x v="0"/>
    <n v="54.69"/>
    <n v="3.4590000000000001"/>
    <n v="213.76464010000001"/>
    <n v="8.0280000000000005"/>
  </r>
  <r>
    <x v="29"/>
    <x v="58"/>
    <n v="425470.84"/>
    <x v="0"/>
    <n v="63.26"/>
    <n v="3.488"/>
    <n v="214.01562379999999"/>
    <n v="8.0280000000000005"/>
  </r>
  <r>
    <x v="29"/>
    <x v="59"/>
    <n v="431754.01"/>
    <x v="0"/>
    <n v="70.33"/>
    <n v="3.4729999999999999"/>
    <n v="214.25215729999999"/>
    <n v="8.0280000000000005"/>
  </r>
  <r>
    <x v="29"/>
    <x v="60"/>
    <n v="437926.79"/>
    <x v="0"/>
    <n v="56.36"/>
    <n v="3.524"/>
    <n v="214.4886908"/>
    <n v="7.931"/>
  </r>
  <r>
    <x v="29"/>
    <x v="61"/>
    <n v="443889.5"/>
    <x v="0"/>
    <n v="68.62"/>
    <n v="3.6219999999999999"/>
    <n v="214.72522420000001"/>
    <n v="7.931"/>
  </r>
  <r>
    <x v="29"/>
    <x v="62"/>
    <n v="426666.92"/>
    <x v="0"/>
    <n v="71.010000000000005"/>
    <n v="3.7429999999999999"/>
    <n v="214.94206310000001"/>
    <n v="7.931"/>
  </r>
  <r>
    <x v="29"/>
    <x v="63"/>
    <n v="445358.73"/>
    <x v="0"/>
    <n v="70.790000000000006"/>
    <n v="3.8069999999999999"/>
    <n v="215.10966569999999"/>
    <n v="7.931"/>
  </r>
  <r>
    <x v="29"/>
    <x v="64"/>
    <n v="423687.2"/>
    <x v="0"/>
    <n v="70.19"/>
    <n v="3.81"/>
    <n v="215.2772683"/>
    <n v="7.931"/>
  </r>
  <r>
    <x v="29"/>
    <x v="65"/>
    <n v="438789.52"/>
    <x v="0"/>
    <n v="61.87"/>
    <n v="3.9060000000000001"/>
    <n v="215.44487090000001"/>
    <n v="7.931"/>
  </r>
  <r>
    <x v="29"/>
    <x v="66"/>
    <n v="424614.59"/>
    <x v="0"/>
    <n v="75.040000000000006"/>
    <n v="3.899"/>
    <n v="215.61247349999999"/>
    <n v="7.931"/>
  </r>
  <r>
    <x v="29"/>
    <x v="67"/>
    <n v="435102.2"/>
    <x v="0"/>
    <n v="68.36"/>
    <n v="3.907"/>
    <n v="215.38347780000001"/>
    <n v="7.931"/>
  </r>
  <r>
    <x v="29"/>
    <x v="68"/>
    <n v="429305.82"/>
    <x v="0"/>
    <n v="76.86"/>
    <n v="3.786"/>
    <n v="215.15448219999999"/>
    <n v="7.931"/>
  </r>
  <r>
    <x v="29"/>
    <x v="69"/>
    <n v="432808.48"/>
    <x v="0"/>
    <n v="83.82"/>
    <n v="3.6989999999999998"/>
    <n v="214.92548650000001"/>
    <n v="7.931"/>
  </r>
  <r>
    <x v="29"/>
    <x v="70"/>
    <n v="424697.05"/>
    <x v="0"/>
    <n v="84.71"/>
    <n v="3.6480000000000001"/>
    <n v="214.69649079999999"/>
    <n v="7.931"/>
  </r>
  <r>
    <x v="29"/>
    <x v="71"/>
    <n v="435481.03"/>
    <x v="0"/>
    <n v="87.54"/>
    <n v="3.637"/>
    <n v="214.65135380000001"/>
    <n v="7.931"/>
  </r>
  <r>
    <x v="29"/>
    <x v="72"/>
    <n v="422715.74"/>
    <x v="0"/>
    <n v="85.72"/>
    <n v="3.5939999999999999"/>
    <n v="214.74411079999999"/>
    <n v="7.931"/>
  </r>
  <r>
    <x v="29"/>
    <x v="73"/>
    <n v="428782.38"/>
    <x v="0"/>
    <n v="87.57"/>
    <n v="3.524"/>
    <n v="214.83686779999999"/>
    <n v="7.8520000000000003"/>
  </r>
  <r>
    <x v="29"/>
    <x v="74"/>
    <n v="419764.37"/>
    <x v="0"/>
    <n v="89.16"/>
    <n v="3.48"/>
    <n v="214.92962489999999"/>
    <n v="7.8520000000000003"/>
  </r>
  <r>
    <x v="29"/>
    <x v="75"/>
    <n v="420515.63"/>
    <x v="0"/>
    <n v="91.05"/>
    <n v="3.5750000000000002"/>
    <n v="215.01344259999999"/>
    <n v="7.8520000000000003"/>
  </r>
  <r>
    <x v="29"/>
    <x v="76"/>
    <n v="423441.76"/>
    <x v="0"/>
    <n v="90.27"/>
    <n v="3.6509999999999998"/>
    <n v="215.0749122"/>
    <n v="7.8520000000000003"/>
  </r>
  <r>
    <x v="29"/>
    <x v="77"/>
    <n v="414245.96"/>
    <x v="0"/>
    <n v="91.56"/>
    <n v="3.6819999999999999"/>
    <n v="215.1363819"/>
    <n v="7.8520000000000003"/>
  </r>
  <r>
    <x v="29"/>
    <x v="78"/>
    <n v="431798.64"/>
    <x v="0"/>
    <n v="94.22"/>
    <n v="3.6840000000000002"/>
    <n v="215.19785150000001"/>
    <n v="7.8520000000000003"/>
  </r>
  <r>
    <x v="29"/>
    <x v="79"/>
    <n v="412224.67"/>
    <x v="0"/>
    <n v="92.32"/>
    <n v="3.6379999999999999"/>
    <n v="215.25932109999999"/>
    <n v="7.8520000000000003"/>
  </r>
  <r>
    <x v="29"/>
    <x v="80"/>
    <n v="414450.61"/>
    <x v="0"/>
    <n v="90.11"/>
    <n v="3.5539999999999998"/>
    <n v="215.3229307"/>
    <n v="7.8520000000000003"/>
  </r>
  <r>
    <x v="29"/>
    <x v="81"/>
    <n v="387944.83"/>
    <x v="0"/>
    <n v="92.07"/>
    <n v="3.5230000000000001"/>
    <n v="215.386897"/>
    <n v="7.8520000000000003"/>
  </r>
  <r>
    <x v="29"/>
    <x v="82"/>
    <n v="369722.32"/>
    <x v="0"/>
    <n v="91.94"/>
    <n v="3.5329999999999999"/>
    <n v="215.45086319999999"/>
    <n v="7.8520000000000003"/>
  </r>
  <r>
    <x v="29"/>
    <x v="83"/>
    <n v="370897.82"/>
    <x v="1"/>
    <n v="78.87"/>
    <n v="3.5459999999999998"/>
    <n v="215.51482949999999"/>
    <n v="7.8520000000000003"/>
  </r>
  <r>
    <x v="29"/>
    <x v="84"/>
    <n v="382914.66"/>
    <x v="0"/>
    <n v="80.62"/>
    <n v="3.5259999999999998"/>
    <n v="215.6944378"/>
    <n v="7.8520000000000003"/>
  </r>
  <r>
    <x v="29"/>
    <x v="85"/>
    <n v="391837.56"/>
    <x v="0"/>
    <n v="75.680000000000007"/>
    <n v="3.4670000000000001"/>
    <n v="216.02823559999999"/>
    <n v="7.8520000000000003"/>
  </r>
  <r>
    <x v="29"/>
    <x v="86"/>
    <n v="387001.13"/>
    <x v="0"/>
    <n v="78.91"/>
    <n v="3.355"/>
    <n v="216.36203330000001"/>
    <n v="7.8520000000000003"/>
  </r>
  <r>
    <x v="29"/>
    <x v="87"/>
    <n v="417528.26"/>
    <x v="0"/>
    <n v="71.64"/>
    <n v="3.2850000000000001"/>
    <n v="216.69583109999999"/>
    <n v="7.4409999999999998"/>
  </r>
  <r>
    <x v="29"/>
    <x v="88"/>
    <n v="410711.99"/>
    <x v="0"/>
    <n v="69.790000000000006"/>
    <n v="3.274"/>
    <n v="217.0048261"/>
    <n v="7.4409999999999998"/>
  </r>
  <r>
    <x v="29"/>
    <x v="89"/>
    <n v="428958.53"/>
    <x v="0"/>
    <n v="65.16"/>
    <n v="3.3530000000000002"/>
    <n v="217.1650042"/>
    <n v="7.4409999999999998"/>
  </r>
  <r>
    <x v="29"/>
    <x v="90"/>
    <n v="426151.88"/>
    <x v="0"/>
    <n v="65.459999999999994"/>
    <n v="3.3719999999999999"/>
    <n v="217.32518239999999"/>
    <n v="7.4409999999999998"/>
  </r>
  <r>
    <x v="29"/>
    <x v="91"/>
    <n v="432359.04"/>
    <x v="0"/>
    <n v="56.01"/>
    <n v="3.3319999999999999"/>
    <n v="217.48536050000001"/>
    <n v="7.4409999999999998"/>
  </r>
  <r>
    <x v="29"/>
    <x v="92"/>
    <n v="409686.63"/>
    <x v="0"/>
    <n v="59.8"/>
    <n v="3.2970000000000002"/>
    <n v="217.6455387"/>
    <n v="7.4409999999999998"/>
  </r>
  <r>
    <x v="29"/>
    <x v="93"/>
    <n v="436462.63"/>
    <x v="0"/>
    <n v="61.9"/>
    <n v="3.3079999999999998"/>
    <n v="217.8670218"/>
    <n v="7.4409999999999998"/>
  </r>
  <r>
    <x v="29"/>
    <x v="94"/>
    <n v="452163.93"/>
    <x v="1"/>
    <n v="56.43"/>
    <n v="3.2360000000000002"/>
    <n v="218.11302689999999"/>
    <n v="7.4409999999999998"/>
  </r>
  <r>
    <x v="29"/>
    <x v="95"/>
    <n v="412385.75"/>
    <x v="0"/>
    <n v="48.72"/>
    <n v="3.1720000000000002"/>
    <n v="218.35903189999999"/>
    <n v="7.4409999999999998"/>
  </r>
  <r>
    <x v="29"/>
    <x v="96"/>
    <n v="436741.02"/>
    <x v="0"/>
    <n v="41.44"/>
    <n v="3.1579999999999999"/>
    <n v="218.60503700000001"/>
    <n v="7.4409999999999998"/>
  </r>
  <r>
    <x v="29"/>
    <x v="97"/>
    <n v="441265.08"/>
    <x v="0"/>
    <n v="50.56"/>
    <n v="3.1589999999999998"/>
    <n v="218.8217928"/>
    <n v="7.4409999999999998"/>
  </r>
  <r>
    <x v="29"/>
    <x v="98"/>
    <n v="492022.68"/>
    <x v="0"/>
    <n v="46.54"/>
    <n v="3.1120000000000001"/>
    <n v="218.9995495"/>
    <n v="7.4409999999999998"/>
  </r>
  <r>
    <x v="29"/>
    <x v="99"/>
    <n v="376777.45"/>
    <x v="1"/>
    <n v="45.16"/>
    <n v="3.129"/>
    <n v="219.1773063"/>
    <n v="7.4409999999999998"/>
  </r>
  <r>
    <x v="29"/>
    <x v="100"/>
    <n v="457030.86"/>
    <x v="0"/>
    <n v="48.1"/>
    <n v="3.157"/>
    <n v="219.355063"/>
    <n v="7.0570000000000004"/>
  </r>
  <r>
    <x v="29"/>
    <x v="101"/>
    <n v="447023.91"/>
    <x v="0"/>
    <n v="45"/>
    <n v="3.2610000000000001"/>
    <n v="219.5328198"/>
    <n v="7.0570000000000004"/>
  </r>
  <r>
    <x v="29"/>
    <x v="102"/>
    <n v="438760.62"/>
    <x v="0"/>
    <n v="52.21"/>
    <n v="3.2679999999999998"/>
    <n v="219.6258417"/>
    <n v="7.0570000000000004"/>
  </r>
  <r>
    <x v="29"/>
    <x v="103"/>
    <n v="433037.66"/>
    <x v="0"/>
    <n v="50.79"/>
    <n v="3.29"/>
    <n v="219.71886359999999"/>
    <n v="7.0570000000000004"/>
  </r>
  <r>
    <x v="29"/>
    <x v="104"/>
    <n v="434080.74"/>
    <x v="0"/>
    <n v="55.83"/>
    <n v="3.36"/>
    <n v="219.81188539999999"/>
    <n v="7.0570000000000004"/>
  </r>
  <r>
    <x v="29"/>
    <x v="105"/>
    <n v="451365.99"/>
    <x v="1"/>
    <n v="46.52"/>
    <n v="3.4089999999999998"/>
    <n v="219.90490729999999"/>
    <n v="7.0570000000000004"/>
  </r>
  <r>
    <x v="29"/>
    <x v="106"/>
    <n v="435109.11"/>
    <x v="0"/>
    <n v="45.03"/>
    <n v="3.51"/>
    <n v="220.06519929999999"/>
    <n v="7.0570000000000004"/>
  </r>
  <r>
    <x v="29"/>
    <x v="107"/>
    <n v="425215.71"/>
    <x v="0"/>
    <n v="54.81"/>
    <n v="3.5550000000000002"/>
    <n v="220.27594400000001"/>
    <n v="7.0570000000000004"/>
  </r>
  <r>
    <x v="29"/>
    <x v="108"/>
    <n v="438640.61"/>
    <x v="0"/>
    <n v="59.3"/>
    <n v="3.63"/>
    <n v="220.48668860000001"/>
    <n v="7.0570000000000004"/>
  </r>
  <r>
    <x v="29"/>
    <x v="109"/>
    <n v="446617.89"/>
    <x v="0"/>
    <n v="57.16"/>
    <n v="3.669"/>
    <n v="220.69743320000001"/>
    <n v="7.0570000000000004"/>
  </r>
  <r>
    <x v="29"/>
    <x v="110"/>
    <n v="413617.45"/>
    <x v="0"/>
    <n v="63.39"/>
    <n v="3.734"/>
    <n v="220.84984679999999"/>
    <n v="7.0570000000000004"/>
  </r>
  <r>
    <x v="29"/>
    <x v="111"/>
    <n v="430222.97"/>
    <x v="0"/>
    <n v="62.96"/>
    <n v="3.7869999999999999"/>
    <n v="220.92448580000001"/>
    <n v="7.0570000000000004"/>
  </r>
  <r>
    <x v="29"/>
    <x v="112"/>
    <n v="449603.91"/>
    <x v="0"/>
    <n v="67.87"/>
    <n v="3.8450000000000002"/>
    <n v="220.9991248"/>
    <n v="7.0570000000000004"/>
  </r>
  <r>
    <x v="29"/>
    <x v="113"/>
    <n v="461511.92"/>
    <x v="0"/>
    <n v="69.02"/>
    <n v="3.891"/>
    <n v="221.07376379999999"/>
    <n v="6.891"/>
  </r>
  <r>
    <x v="29"/>
    <x v="114"/>
    <n v="428784.7"/>
    <x v="0"/>
    <n v="69.03"/>
    <n v="3.891"/>
    <n v="221.14840280000001"/>
    <n v="6.891"/>
  </r>
  <r>
    <x v="29"/>
    <x v="115"/>
    <n v="462909.41"/>
    <x v="0"/>
    <n v="66.97"/>
    <n v="3.8769999999999998"/>
    <n v="221.20210739999999"/>
    <n v="6.891"/>
  </r>
  <r>
    <x v="29"/>
    <x v="116"/>
    <n v="433744.83"/>
    <x v="0"/>
    <n v="69.209999999999994"/>
    <n v="3.8140000000000001"/>
    <n v="221.25581199999999"/>
    <n v="6.891"/>
  </r>
  <r>
    <x v="29"/>
    <x v="117"/>
    <n v="454477.54"/>
    <x v="0"/>
    <n v="77.53"/>
    <n v="3.7490000000000001"/>
    <n v="221.30951659999999"/>
    <n v="6.891"/>
  </r>
  <r>
    <x v="29"/>
    <x v="118"/>
    <n v="436070.45"/>
    <x v="0"/>
    <n v="74.14"/>
    <n v="3.6880000000000002"/>
    <n v="221.3632212"/>
    <n v="6.891"/>
  </r>
  <r>
    <x v="29"/>
    <x v="119"/>
    <n v="460945.14"/>
    <x v="0"/>
    <n v="72.42"/>
    <n v="3.63"/>
    <n v="221.38033100000001"/>
    <n v="6.891"/>
  </r>
  <r>
    <x v="29"/>
    <x v="120"/>
    <n v="449355.91"/>
    <x v="0"/>
    <n v="79.489999999999995"/>
    <n v="3.5609999999999999"/>
    <n v="221.3828029"/>
    <n v="6.891"/>
  </r>
  <r>
    <x v="29"/>
    <x v="121"/>
    <n v="427021.18"/>
    <x v="0"/>
    <n v="79.239999999999995"/>
    <n v="3.5009999999999999"/>
    <n v="221.38527479999999"/>
    <n v="6.891"/>
  </r>
  <r>
    <x v="29"/>
    <x v="122"/>
    <n v="437222.94"/>
    <x v="0"/>
    <n v="79.47"/>
    <n v="3.452"/>
    <n v="221.38774670000001"/>
    <n v="6.891"/>
  </r>
  <r>
    <x v="29"/>
    <x v="123"/>
    <n v="438523.24"/>
    <x v="0"/>
    <n v="81.510000000000005"/>
    <n v="3.3929999999999998"/>
    <n v="221.4009901"/>
    <n v="6.891"/>
  </r>
  <r>
    <x v="29"/>
    <x v="124"/>
    <n v="428554.63"/>
    <x v="0"/>
    <n v="81.78"/>
    <n v="3.3460000000000001"/>
    <n v="221.44116220000001"/>
    <n v="6.891"/>
  </r>
  <r>
    <x v="29"/>
    <x v="125"/>
    <n v="423192.4"/>
    <x v="0"/>
    <n v="88.05"/>
    <n v="3.286"/>
    <n v="221.48133429999999"/>
    <n v="6.891"/>
  </r>
  <r>
    <x v="29"/>
    <x v="126"/>
    <n v="440553.42"/>
    <x v="0"/>
    <n v="85.26"/>
    <n v="3.2269999999999999"/>
    <n v="221.52150639999999"/>
    <n v="6.5650000000000004"/>
  </r>
  <r>
    <x v="29"/>
    <x v="127"/>
    <n v="417640.34"/>
    <x v="0"/>
    <n v="82.51"/>
    <n v="3.2559999999999998"/>
    <n v="221.56167840000001"/>
    <n v="6.5650000000000004"/>
  </r>
  <r>
    <x v="29"/>
    <x v="128"/>
    <n v="427491.04"/>
    <x v="0"/>
    <n v="84.25"/>
    <n v="3.3109999999999999"/>
    <n v="221.57011230000001"/>
    <n v="6.5650000000000004"/>
  </r>
  <r>
    <x v="29"/>
    <x v="129"/>
    <n v="424581.17"/>
    <x v="0"/>
    <n v="88.09"/>
    <n v="3.407"/>
    <n v="221.57854610000001"/>
    <n v="6.5650000000000004"/>
  </r>
  <r>
    <x v="29"/>
    <x v="130"/>
    <n v="425136.55"/>
    <x v="0"/>
    <n v="91.57"/>
    <n v="3.4169999999999998"/>
    <n v="221.58697989999999"/>
    <n v="6.5650000000000004"/>
  </r>
  <r>
    <x v="29"/>
    <x v="131"/>
    <n v="430878.28"/>
    <x v="0"/>
    <n v="89.57"/>
    <n v="3.4940000000000002"/>
    <n v="221.59541379999999"/>
    <n v="6.5650000000000004"/>
  </r>
  <r>
    <x v="29"/>
    <x v="132"/>
    <n v="423351.15"/>
    <x v="0"/>
    <n v="85.55"/>
    <n v="3.5710000000000002"/>
    <n v="221.67514589999999"/>
    <n v="6.5650000000000004"/>
  </r>
  <r>
    <x v="29"/>
    <x v="133"/>
    <n v="425296.65"/>
    <x v="0"/>
    <n v="77.72"/>
    <n v="3.62"/>
    <n v="221.8083518"/>
    <n v="6.5650000000000004"/>
  </r>
  <r>
    <x v="29"/>
    <x v="134"/>
    <n v="439132.5"/>
    <x v="0"/>
    <n v="83.58"/>
    <n v="3.6379999999999999"/>
    <n v="221.94155760000001"/>
    <n v="6.5650000000000004"/>
  </r>
  <r>
    <x v="29"/>
    <x v="135"/>
    <n v="433565.77"/>
    <x v="1"/>
    <n v="88.4"/>
    <n v="3.73"/>
    <n v="222.07476349999999"/>
    <n v="6.5650000000000004"/>
  </r>
  <r>
    <x v="29"/>
    <x v="136"/>
    <n v="437773.31"/>
    <x v="0"/>
    <n v="76.099999999999994"/>
    <n v="3.7170000000000001"/>
    <n v="222.21743950000001"/>
    <n v="6.5650000000000004"/>
  </r>
  <r>
    <x v="29"/>
    <x v="137"/>
    <n v="443891.64"/>
    <x v="0"/>
    <n v="71.540000000000006"/>
    <n v="3.7210000000000001"/>
    <n v="222.41693620000001"/>
    <n v="6.5650000000000004"/>
  </r>
  <r>
    <x v="29"/>
    <x v="138"/>
    <n v="425410.04"/>
    <x v="0"/>
    <n v="80.38"/>
    <n v="3.6659999999999999"/>
    <n v="222.61643290000001"/>
    <n v="6.5650000000000004"/>
  </r>
  <r>
    <x v="29"/>
    <x v="139"/>
    <n v="446751.45"/>
    <x v="0"/>
    <n v="70.28"/>
    <n v="3.617"/>
    <n v="222.8159296"/>
    <n v="6.17"/>
  </r>
  <r>
    <x v="29"/>
    <x v="140"/>
    <n v="434593.26"/>
    <x v="0"/>
    <n v="61.53"/>
    <n v="3.601"/>
    <n v="223.0154263"/>
    <n v="6.17"/>
  </r>
  <r>
    <x v="29"/>
    <x v="141"/>
    <n v="437537.29"/>
    <x v="0"/>
    <n v="68.52"/>
    <n v="3.5939999999999999"/>
    <n v="223.05980769999999"/>
    <n v="6.17"/>
  </r>
  <r>
    <x v="29"/>
    <x v="142"/>
    <n v="439424.5"/>
    <x v="0"/>
    <n v="70.5"/>
    <n v="3.5059999999999998"/>
    <n v="223.0783366"/>
    <n v="6.17"/>
  </r>
  <r>
    <x v="30"/>
    <x v="0"/>
    <n v="1469252.05"/>
    <x v="0"/>
    <n v="39.049999999999997"/>
    <n v="2.5720000000000001"/>
    <n v="210.7526053"/>
    <n v="8.3239999999999998"/>
  </r>
  <r>
    <x v="30"/>
    <x v="1"/>
    <n v="1543947.23"/>
    <x v="1"/>
    <n v="37.770000000000003"/>
    <n v="2.548"/>
    <n v="210.89799350000001"/>
    <n v="8.3239999999999998"/>
  </r>
  <r>
    <x v="30"/>
    <x v="2"/>
    <n v="1473386.75"/>
    <x v="0"/>
    <n v="39.75"/>
    <n v="2.5139999999999998"/>
    <n v="210.94516049999999"/>
    <n v="8.3239999999999998"/>
  </r>
  <r>
    <x v="30"/>
    <x v="3"/>
    <n v="1344354.41"/>
    <x v="0"/>
    <n v="45.31"/>
    <n v="2.5609999999999999"/>
    <n v="210.9759573"/>
    <n v="8.3239999999999998"/>
  </r>
  <r>
    <x v="30"/>
    <x v="4"/>
    <n v="1384870.51"/>
    <x v="0"/>
    <n v="48.61"/>
    <n v="2.625"/>
    <n v="211.00675419999999"/>
    <n v="8.3239999999999998"/>
  </r>
  <r>
    <x v="30"/>
    <x v="5"/>
    <n v="1366193.35"/>
    <x v="0"/>
    <n v="57.1"/>
    <n v="2.6669999999999998"/>
    <n v="211.03755100000001"/>
    <n v="8.3239999999999998"/>
  </r>
  <r>
    <x v="30"/>
    <x v="6"/>
    <n v="1332261.01"/>
    <x v="0"/>
    <n v="54.68"/>
    <n v="2.72"/>
    <n v="210.8733316"/>
    <n v="8.3239999999999998"/>
  </r>
  <r>
    <x v="30"/>
    <x v="7"/>
    <n v="1229635.7"/>
    <x v="0"/>
    <n v="51.66"/>
    <n v="2.7320000000000002"/>
    <n v="210.67660950000001"/>
    <n v="8.3239999999999998"/>
  </r>
  <r>
    <x v="30"/>
    <x v="8"/>
    <n v="1357600.68"/>
    <x v="0"/>
    <n v="64.12"/>
    <n v="2.7189999999999999"/>
    <n v="210.4798874"/>
    <n v="8.1999999999999993"/>
  </r>
  <r>
    <x v="30"/>
    <x v="9"/>
    <n v="1395710.09"/>
    <x v="0"/>
    <n v="65.739999999999995"/>
    <n v="2.77"/>
    <n v="210.28316530000001"/>
    <n v="8.1999999999999993"/>
  </r>
  <r>
    <x v="30"/>
    <x v="10"/>
    <n v="1367448.28"/>
    <x v="0"/>
    <n v="67.87"/>
    <n v="2.8079999999999998"/>
    <n v="210.1495463"/>
    <n v="8.1999999999999993"/>
  </r>
  <r>
    <x v="30"/>
    <x v="11"/>
    <n v="1280465.8"/>
    <x v="0"/>
    <n v="64.209999999999994"/>
    <n v="2.7949999999999999"/>
    <n v="210.10006480000001"/>
    <n v="8.1999999999999993"/>
  </r>
  <r>
    <x v="30"/>
    <x v="12"/>
    <n v="1243200.24"/>
    <x v="0"/>
    <n v="66.930000000000007"/>
    <n v="2.78"/>
    <n v="210.0505833"/>
    <n v="8.1999999999999993"/>
  </r>
  <r>
    <x v="30"/>
    <x v="13"/>
    <n v="1381796.8"/>
    <x v="0"/>
    <n v="70.87"/>
    <n v="2.835"/>
    <n v="210.00110179999999"/>
    <n v="8.1999999999999993"/>
  </r>
  <r>
    <x v="30"/>
    <x v="14"/>
    <n v="1287288.5900000001"/>
    <x v="0"/>
    <n v="73.08"/>
    <n v="2.8540000000000001"/>
    <n v="209.9984585"/>
    <n v="8.1999999999999993"/>
  </r>
  <r>
    <x v="30"/>
    <x v="15"/>
    <n v="1337405.6000000001"/>
    <x v="0"/>
    <n v="74.239999999999995"/>
    <n v="2.8260000000000001"/>
    <n v="210.27684429999999"/>
    <n v="8.1999999999999993"/>
  </r>
  <r>
    <x v="30"/>
    <x v="16"/>
    <n v="1309437.17"/>
    <x v="0"/>
    <n v="80.94"/>
    <n v="2.7589999999999999"/>
    <n v="210.55523009999999"/>
    <n v="8.1999999999999993"/>
  </r>
  <r>
    <x v="30"/>
    <x v="17"/>
    <n v="1427624.5"/>
    <x v="0"/>
    <n v="82.68"/>
    <n v="2.7050000000000001"/>
    <n v="210.83361600000001"/>
    <n v="8.1999999999999993"/>
  </r>
  <r>
    <x v="30"/>
    <x v="18"/>
    <n v="1377092.33"/>
    <x v="0"/>
    <n v="83.51"/>
    <n v="2.6680000000000001"/>
    <n v="211.1120018"/>
    <n v="8.1999999999999993"/>
  </r>
  <r>
    <x v="30"/>
    <x v="19"/>
    <n v="1368090.08"/>
    <x v="0"/>
    <n v="86.18"/>
    <n v="2.637"/>
    <n v="211.10965429999999"/>
    <n v="8.1999999999999993"/>
  </r>
  <r>
    <x v="30"/>
    <x v="20"/>
    <n v="1303523.73"/>
    <x v="0"/>
    <n v="87.01"/>
    <n v="2.653"/>
    <n v="210.9950134"/>
    <n v="8.1999999999999993"/>
  </r>
  <r>
    <x v="30"/>
    <x v="21"/>
    <n v="1311704.92"/>
    <x v="0"/>
    <n v="82.29"/>
    <n v="2.669"/>
    <n v="210.88037259999999"/>
    <n v="8.0990000000000002"/>
  </r>
  <r>
    <x v="30"/>
    <x v="22"/>
    <n v="1315118.3999999999"/>
    <x v="0"/>
    <n v="81.67"/>
    <n v="2.6419999999999999"/>
    <n v="210.7657317"/>
    <n v="8.0990000000000002"/>
  </r>
  <r>
    <x v="30"/>
    <x v="23"/>
    <n v="1335433.72"/>
    <x v="0"/>
    <n v="85.61"/>
    <n v="2.6230000000000002"/>
    <n v="210.75779539999999"/>
    <n v="8.0990000000000002"/>
  </r>
  <r>
    <x v="30"/>
    <x v="24"/>
    <n v="1276031.8400000001"/>
    <x v="0"/>
    <n v="87.17"/>
    <n v="2.6080000000000001"/>
    <n v="210.89213190000001"/>
    <n v="8.0990000000000002"/>
  </r>
  <r>
    <x v="30"/>
    <x v="25"/>
    <n v="1231993.1399999999"/>
    <x v="0"/>
    <n v="83.59"/>
    <n v="2.64"/>
    <n v="211.0264684"/>
    <n v="8.0990000000000002"/>
  </r>
  <r>
    <x v="30"/>
    <x v="26"/>
    <n v="1352401.08"/>
    <x v="0"/>
    <n v="90.3"/>
    <n v="2.6269999999999998"/>
    <n v="211.16080489999999"/>
    <n v="8.0990000000000002"/>
  </r>
  <r>
    <x v="30"/>
    <x v="27"/>
    <n v="1327719.3400000001"/>
    <x v="0"/>
    <n v="89.65"/>
    <n v="2.6920000000000002"/>
    <n v="211.29514130000001"/>
    <n v="8.0990000000000002"/>
  </r>
  <r>
    <x v="30"/>
    <x v="28"/>
    <n v="1376571.21"/>
    <x v="0"/>
    <n v="89.58"/>
    <n v="2.6640000000000001"/>
    <n v="211.25965859999999"/>
    <n v="8.0990000000000002"/>
  </r>
  <r>
    <x v="30"/>
    <x v="29"/>
    <n v="1326621.98"/>
    <x v="0"/>
    <n v="86.2"/>
    <n v="2.6190000000000002"/>
    <n v="211.22417590000001"/>
    <n v="8.0990000000000002"/>
  </r>
  <r>
    <x v="30"/>
    <x v="30"/>
    <n v="1302047.48"/>
    <x v="0"/>
    <n v="82.57"/>
    <n v="2.577"/>
    <n v="211.18869309999999"/>
    <n v="8.0990000000000002"/>
  </r>
  <r>
    <x v="30"/>
    <x v="31"/>
    <n v="1308179.02"/>
    <x v="1"/>
    <n v="79.3"/>
    <n v="2.5649999999999999"/>
    <n v="211.15321040000001"/>
    <n v="8.0990000000000002"/>
  </r>
  <r>
    <x v="30"/>
    <x v="32"/>
    <n v="1294105.01"/>
    <x v="0"/>
    <n v="83.03"/>
    <n v="2.5819999999999999"/>
    <n v="211.18064150000001"/>
    <n v="8.0990000000000002"/>
  </r>
  <r>
    <x v="30"/>
    <x v="33"/>
    <n v="1230250.25"/>
    <x v="0"/>
    <n v="80.790000000000006"/>
    <n v="2.6240000000000001"/>
    <n v="211.25525780000001"/>
    <n v="8.0990000000000002"/>
  </r>
  <r>
    <x v="30"/>
    <x v="34"/>
    <n v="1213981.6399999999"/>
    <x v="0"/>
    <n v="70.28"/>
    <n v="2.6030000000000002"/>
    <n v="211.32987420000001"/>
    <n v="8.1630000000000003"/>
  </r>
  <r>
    <x v="30"/>
    <x v="35"/>
    <n v="1300131.68"/>
    <x v="0"/>
    <n v="65.760000000000005"/>
    <n v="2.633"/>
    <n v="211.4044906"/>
    <n v="8.1630000000000003"/>
  </r>
  <r>
    <x v="30"/>
    <x v="36"/>
    <n v="1265852.43"/>
    <x v="0"/>
    <n v="68.61"/>
    <n v="2.72"/>
    <n v="211.47132859999999"/>
    <n v="8.1630000000000003"/>
  </r>
  <r>
    <x v="30"/>
    <x v="37"/>
    <n v="1262289.29"/>
    <x v="0"/>
    <n v="70.72"/>
    <n v="2.7250000000000001"/>
    <n v="211.51872080000001"/>
    <n v="8.1630000000000003"/>
  </r>
  <r>
    <x v="30"/>
    <x v="38"/>
    <n v="1257921.28"/>
    <x v="0"/>
    <n v="67.510000000000005"/>
    <n v="2.7160000000000002"/>
    <n v="211.5661131"/>
    <n v="8.1630000000000003"/>
  </r>
  <r>
    <x v="30"/>
    <x v="39"/>
    <n v="1324455.72"/>
    <x v="0"/>
    <n v="58.71"/>
    <n v="2.6890000000000001"/>
    <n v="211.61350530000001"/>
    <n v="8.1630000000000003"/>
  </r>
  <r>
    <x v="30"/>
    <x v="40"/>
    <n v="1352780.76"/>
    <x v="0"/>
    <n v="60.95"/>
    <n v="2.7280000000000002"/>
    <n v="211.6608975"/>
    <n v="8.1630000000000003"/>
  </r>
  <r>
    <x v="30"/>
    <x v="41"/>
    <n v="1359158.57"/>
    <x v="0"/>
    <n v="51.71"/>
    <n v="2.7709999999999999"/>
    <n v="211.54703040000001"/>
    <n v="8.1630000000000003"/>
  </r>
  <r>
    <x v="30"/>
    <x v="42"/>
    <n v="1858856.06"/>
    <x v="1"/>
    <n v="62.96"/>
    <n v="2.7349999999999999"/>
    <n v="211.40628670000001"/>
    <n v="8.1630000000000003"/>
  </r>
  <r>
    <x v="30"/>
    <x v="43"/>
    <n v="1338716.3700000001"/>
    <x v="0"/>
    <n v="50.43"/>
    <n v="2.7080000000000002"/>
    <n v="211.26554300000001"/>
    <n v="8.1630000000000003"/>
  </r>
  <r>
    <x v="30"/>
    <x v="44"/>
    <n v="1475685.1"/>
    <x v="0"/>
    <n v="46.35"/>
    <n v="2.843"/>
    <n v="211.12479930000001"/>
    <n v="8.1630000000000003"/>
  </r>
  <r>
    <x v="30"/>
    <x v="45"/>
    <n v="1714667"/>
    <x v="0"/>
    <n v="48.63"/>
    <n v="2.8690000000000002"/>
    <n v="211.06454579999999"/>
    <n v="8.1630000000000003"/>
  </r>
  <r>
    <x v="30"/>
    <x v="46"/>
    <n v="2068942.97"/>
    <x v="0"/>
    <n v="51.29"/>
    <n v="2.8860000000000001"/>
    <n v="211.06465990000001"/>
    <n v="8.1630000000000003"/>
  </r>
  <r>
    <x v="30"/>
    <x v="47"/>
    <n v="1198071.6000000001"/>
    <x v="1"/>
    <n v="47.19"/>
    <n v="2.9430000000000001"/>
    <n v="211.064774"/>
    <n v="8.1630000000000003"/>
  </r>
  <r>
    <x v="30"/>
    <x v="48"/>
    <n v="1311986.8700000001"/>
    <x v="0"/>
    <n v="44.24"/>
    <n v="2.976"/>
    <n v="211.06488809999999"/>
    <n v="8.0280000000000005"/>
  </r>
  <r>
    <x v="30"/>
    <x v="49"/>
    <n v="1350730.31"/>
    <x v="0"/>
    <n v="34.14"/>
    <n v="2.9830000000000001"/>
    <n v="211.11767130000001"/>
    <n v="8.0280000000000005"/>
  </r>
  <r>
    <x v="30"/>
    <x v="50"/>
    <n v="1344167.13"/>
    <x v="0"/>
    <n v="42.72"/>
    <n v="3.016"/>
    <n v="211.48646909999999"/>
    <n v="8.0280000000000005"/>
  </r>
  <r>
    <x v="30"/>
    <x v="51"/>
    <n v="1254955.68"/>
    <x v="0"/>
    <n v="44.04"/>
    <n v="3.01"/>
    <n v="211.85526680000001"/>
    <n v="8.0280000000000005"/>
  </r>
  <r>
    <x v="30"/>
    <x v="52"/>
    <n v="1443206.46"/>
    <x v="0"/>
    <n v="36.33"/>
    <n v="2.9889999999999999"/>
    <n v="212.22406459999999"/>
    <n v="8.0280000000000005"/>
  </r>
  <r>
    <x v="30"/>
    <x v="53"/>
    <n v="1539230.32"/>
    <x v="1"/>
    <n v="34.61"/>
    <n v="3.0219999999999998"/>
    <n v="212.5928624"/>
    <n v="8.0280000000000005"/>
  </r>
  <r>
    <x v="30"/>
    <x v="54"/>
    <n v="1539063.91"/>
    <x v="0"/>
    <n v="59.87"/>
    <n v="3.0449999999999999"/>
    <n v="212.9033115"/>
    <n v="8.0280000000000005"/>
  </r>
  <r>
    <x v="30"/>
    <x v="55"/>
    <n v="1365678.22"/>
    <x v="0"/>
    <n v="61.27"/>
    <n v="3.0649999999999999"/>
    <n v="213.19042099999999"/>
    <n v="8.0280000000000005"/>
  </r>
  <r>
    <x v="30"/>
    <x v="56"/>
    <n v="1412721.18"/>
    <x v="0"/>
    <n v="59.52"/>
    <n v="3.2879999999999998"/>
    <n v="213.4775305"/>
    <n v="8.0280000000000005"/>
  </r>
  <r>
    <x v="30"/>
    <x v="57"/>
    <n v="1405572.93"/>
    <x v="0"/>
    <n v="54.69"/>
    <n v="3.4590000000000001"/>
    <n v="213.76464010000001"/>
    <n v="8.0280000000000005"/>
  </r>
  <r>
    <x v="30"/>
    <x v="58"/>
    <n v="1425559.02"/>
    <x v="0"/>
    <n v="63.26"/>
    <n v="3.488"/>
    <n v="214.01562379999999"/>
    <n v="8.0280000000000005"/>
  </r>
  <r>
    <x v="30"/>
    <x v="59"/>
    <n v="1357036.1"/>
    <x v="0"/>
    <n v="70.33"/>
    <n v="3.4729999999999999"/>
    <n v="214.25215729999999"/>
    <n v="8.0280000000000005"/>
  </r>
  <r>
    <x v="30"/>
    <x v="60"/>
    <n v="1344890.73"/>
    <x v="0"/>
    <n v="56.36"/>
    <n v="3.524"/>
    <n v="214.4886908"/>
    <n v="7.931"/>
  </r>
  <r>
    <x v="30"/>
    <x v="61"/>
    <n v="1416790.17"/>
    <x v="0"/>
    <n v="68.62"/>
    <n v="3.6219999999999999"/>
    <n v="214.72522420000001"/>
    <n v="7.931"/>
  </r>
  <r>
    <x v="30"/>
    <x v="62"/>
    <n v="1408464.08"/>
    <x v="0"/>
    <n v="71.010000000000005"/>
    <n v="3.7429999999999999"/>
    <n v="214.94206310000001"/>
    <n v="7.931"/>
  </r>
  <r>
    <x v="30"/>
    <x v="63"/>
    <n v="1461393.91"/>
    <x v="0"/>
    <n v="70.790000000000006"/>
    <n v="3.8069999999999999"/>
    <n v="215.10966569999999"/>
    <n v="7.931"/>
  </r>
  <r>
    <x v="30"/>
    <x v="64"/>
    <n v="1331137.96"/>
    <x v="0"/>
    <n v="70.19"/>
    <n v="3.81"/>
    <n v="215.2772683"/>
    <n v="7.931"/>
  </r>
  <r>
    <x v="30"/>
    <x v="65"/>
    <n v="1388755.61"/>
    <x v="0"/>
    <n v="61.87"/>
    <n v="3.9060000000000001"/>
    <n v="215.44487090000001"/>
    <n v="7.931"/>
  </r>
  <r>
    <x v="30"/>
    <x v="66"/>
    <n v="1408118.22"/>
    <x v="0"/>
    <n v="75.040000000000006"/>
    <n v="3.899"/>
    <n v="215.61247349999999"/>
    <n v="7.931"/>
  </r>
  <r>
    <x v="30"/>
    <x v="67"/>
    <n v="1387365.19"/>
    <x v="0"/>
    <n v="68.36"/>
    <n v="3.907"/>
    <n v="215.38347780000001"/>
    <n v="7.931"/>
  </r>
  <r>
    <x v="30"/>
    <x v="68"/>
    <n v="1342273.64"/>
    <x v="0"/>
    <n v="76.86"/>
    <n v="3.786"/>
    <n v="215.15448219999999"/>
    <n v="7.931"/>
  </r>
  <r>
    <x v="30"/>
    <x v="69"/>
    <n v="1430348.1"/>
    <x v="0"/>
    <n v="83.82"/>
    <n v="3.6989999999999998"/>
    <n v="214.92548650000001"/>
    <n v="7.931"/>
  </r>
  <r>
    <x v="30"/>
    <x v="70"/>
    <n v="1425299.37"/>
    <x v="0"/>
    <n v="84.71"/>
    <n v="3.6480000000000001"/>
    <n v="214.69649079999999"/>
    <n v="7.931"/>
  </r>
  <r>
    <x v="30"/>
    <x v="71"/>
    <n v="1491039.14"/>
    <x v="0"/>
    <n v="87.54"/>
    <n v="3.637"/>
    <n v="214.65135380000001"/>
    <n v="7.931"/>
  </r>
  <r>
    <x v="30"/>
    <x v="72"/>
    <n v="1375962.46"/>
    <x v="0"/>
    <n v="85.72"/>
    <n v="3.5939999999999999"/>
    <n v="214.74411079999999"/>
    <n v="7.931"/>
  </r>
  <r>
    <x v="30"/>
    <x v="73"/>
    <n v="1371889.27"/>
    <x v="0"/>
    <n v="87.57"/>
    <n v="3.524"/>
    <n v="214.83686779999999"/>
    <n v="7.8520000000000003"/>
  </r>
  <r>
    <x v="30"/>
    <x v="74"/>
    <n v="1423144.47"/>
    <x v="0"/>
    <n v="89.16"/>
    <n v="3.48"/>
    <n v="214.92962489999999"/>
    <n v="7.8520000000000003"/>
  </r>
  <r>
    <x v="30"/>
    <x v="75"/>
    <n v="1415473.91"/>
    <x v="0"/>
    <n v="91.05"/>
    <n v="3.5750000000000002"/>
    <n v="215.01344259999999"/>
    <n v="7.8520000000000003"/>
  </r>
  <r>
    <x v="30"/>
    <x v="76"/>
    <n v="1401944.8"/>
    <x v="0"/>
    <n v="90.27"/>
    <n v="3.6509999999999998"/>
    <n v="215.0749122"/>
    <n v="7.8520000000000003"/>
  </r>
  <r>
    <x v="30"/>
    <x v="77"/>
    <n v="1308122.1499999999"/>
    <x v="0"/>
    <n v="91.56"/>
    <n v="3.6819999999999999"/>
    <n v="215.1363819"/>
    <n v="7.8520000000000003"/>
  </r>
  <r>
    <x v="30"/>
    <x v="78"/>
    <n v="1428993.33"/>
    <x v="0"/>
    <n v="94.22"/>
    <n v="3.6840000000000002"/>
    <n v="215.19785150000001"/>
    <n v="7.8520000000000003"/>
  </r>
  <r>
    <x v="30"/>
    <x v="79"/>
    <n v="1443311.49"/>
    <x v="0"/>
    <n v="92.32"/>
    <n v="3.6379999999999999"/>
    <n v="215.25932109999999"/>
    <n v="7.8520000000000003"/>
  </r>
  <r>
    <x v="30"/>
    <x v="80"/>
    <n v="1487542.53"/>
    <x v="0"/>
    <n v="90.11"/>
    <n v="3.5539999999999998"/>
    <n v="215.3229307"/>
    <n v="7.8520000000000003"/>
  </r>
  <r>
    <x v="30"/>
    <x v="81"/>
    <n v="1417267.07"/>
    <x v="0"/>
    <n v="92.07"/>
    <n v="3.5230000000000001"/>
    <n v="215.386897"/>
    <n v="7.8520000000000003"/>
  </r>
  <r>
    <x v="30"/>
    <x v="82"/>
    <n v="1385769.03"/>
    <x v="0"/>
    <n v="91.94"/>
    <n v="3.5329999999999999"/>
    <n v="215.45086319999999"/>
    <n v="7.8520000000000003"/>
  </r>
  <r>
    <x v="30"/>
    <x v="83"/>
    <n v="1376670.27"/>
    <x v="1"/>
    <n v="78.87"/>
    <n v="3.5459999999999998"/>
    <n v="215.51482949999999"/>
    <n v="7.8520000000000003"/>
  </r>
  <r>
    <x v="30"/>
    <x v="84"/>
    <n v="1363460.86"/>
    <x v="0"/>
    <n v="80.62"/>
    <n v="3.5259999999999998"/>
    <n v="215.6944378"/>
    <n v="7.8520000000000003"/>
  </r>
  <r>
    <x v="30"/>
    <x v="85"/>
    <n v="1347607.74"/>
    <x v="0"/>
    <n v="75.680000000000007"/>
    <n v="3.4670000000000001"/>
    <n v="216.02823559999999"/>
    <n v="7.8520000000000003"/>
  </r>
  <r>
    <x v="30"/>
    <x v="86"/>
    <n v="1285534.74"/>
    <x v="0"/>
    <n v="78.91"/>
    <n v="3.355"/>
    <n v="216.36203330000001"/>
    <n v="7.8520000000000003"/>
  </r>
  <r>
    <x v="30"/>
    <x v="87"/>
    <n v="1427383.24"/>
    <x v="0"/>
    <n v="71.64"/>
    <n v="3.2850000000000001"/>
    <n v="216.69583109999999"/>
    <n v="7.4409999999999998"/>
  </r>
  <r>
    <x v="30"/>
    <x v="88"/>
    <n v="1378340.18"/>
    <x v="0"/>
    <n v="69.790000000000006"/>
    <n v="3.274"/>
    <n v="217.0048261"/>
    <n v="7.4409999999999998"/>
  </r>
  <r>
    <x v="30"/>
    <x v="89"/>
    <n v="1409310.4"/>
    <x v="0"/>
    <n v="65.16"/>
    <n v="3.3530000000000002"/>
    <n v="217.1650042"/>
    <n v="7.4409999999999998"/>
  </r>
  <r>
    <x v="30"/>
    <x v="90"/>
    <n v="1346862.72"/>
    <x v="0"/>
    <n v="65.459999999999994"/>
    <n v="3.3719999999999999"/>
    <n v="217.32518239999999"/>
    <n v="7.4409999999999998"/>
  </r>
  <r>
    <x v="30"/>
    <x v="91"/>
    <n v="1426405.46"/>
    <x v="0"/>
    <n v="56.01"/>
    <n v="3.3319999999999999"/>
    <n v="217.48536050000001"/>
    <n v="7.4409999999999998"/>
  </r>
  <r>
    <x v="30"/>
    <x v="92"/>
    <n v="1444783.64"/>
    <x v="0"/>
    <n v="59.8"/>
    <n v="3.2970000000000002"/>
    <n v="217.6455387"/>
    <n v="7.4409999999999998"/>
  </r>
  <r>
    <x v="30"/>
    <x v="93"/>
    <n v="1445174.79"/>
    <x v="0"/>
    <n v="61.9"/>
    <n v="3.3079999999999998"/>
    <n v="217.8670218"/>
    <n v="7.4409999999999998"/>
  </r>
  <r>
    <x v="30"/>
    <x v="94"/>
    <n v="1934099.65"/>
    <x v="1"/>
    <n v="56.43"/>
    <n v="3.2360000000000002"/>
    <n v="218.11302689999999"/>
    <n v="7.4409999999999998"/>
  </r>
  <r>
    <x v="30"/>
    <x v="95"/>
    <n v="1388809.43"/>
    <x v="0"/>
    <n v="48.72"/>
    <n v="3.1720000000000002"/>
    <n v="218.35903189999999"/>
    <n v="7.4409999999999998"/>
  </r>
  <r>
    <x v="30"/>
    <x v="96"/>
    <n v="1556798.94"/>
    <x v="0"/>
    <n v="41.44"/>
    <n v="3.1579999999999999"/>
    <n v="218.60503700000001"/>
    <n v="7.4409999999999998"/>
  </r>
  <r>
    <x v="30"/>
    <x v="97"/>
    <n v="1611196.61"/>
    <x v="0"/>
    <n v="50.56"/>
    <n v="3.1589999999999998"/>
    <n v="218.8217928"/>
    <n v="7.4409999999999998"/>
  </r>
  <r>
    <x v="30"/>
    <x v="98"/>
    <n v="2026176.14"/>
    <x v="0"/>
    <n v="46.54"/>
    <n v="3.1120000000000001"/>
    <n v="218.9995495"/>
    <n v="7.4409999999999998"/>
  </r>
  <r>
    <x v="30"/>
    <x v="99"/>
    <n v="1355405.95"/>
    <x v="1"/>
    <n v="45.16"/>
    <n v="3.129"/>
    <n v="219.1773063"/>
    <n v="7.4409999999999998"/>
  </r>
  <r>
    <x v="30"/>
    <x v="100"/>
    <n v="1401232.52"/>
    <x v="0"/>
    <n v="48.1"/>
    <n v="3.157"/>
    <n v="219.355063"/>
    <n v="7.0570000000000004"/>
  </r>
  <r>
    <x v="30"/>
    <x v="101"/>
    <n v="1377485.12"/>
    <x v="0"/>
    <n v="45"/>
    <n v="3.2610000000000001"/>
    <n v="219.5328198"/>
    <n v="7.0570000000000004"/>
  </r>
  <r>
    <x v="30"/>
    <x v="102"/>
    <n v="1372504.9"/>
    <x v="0"/>
    <n v="52.21"/>
    <n v="3.2679999999999998"/>
    <n v="219.6258417"/>
    <n v="7.0570000000000004"/>
  </r>
  <r>
    <x v="30"/>
    <x v="103"/>
    <n v="1259941.48"/>
    <x v="0"/>
    <n v="50.79"/>
    <n v="3.29"/>
    <n v="219.71886359999999"/>
    <n v="7.0570000000000004"/>
  </r>
  <r>
    <x v="30"/>
    <x v="104"/>
    <n v="1391479.91"/>
    <x v="0"/>
    <n v="55.83"/>
    <n v="3.36"/>
    <n v="219.81188539999999"/>
    <n v="7.0570000000000004"/>
  </r>
  <r>
    <x v="30"/>
    <x v="105"/>
    <n v="1527688.58"/>
    <x v="1"/>
    <n v="46.52"/>
    <n v="3.4089999999999998"/>
    <n v="219.90490729999999"/>
    <n v="7.0570000000000004"/>
  </r>
  <r>
    <x v="30"/>
    <x v="106"/>
    <n v="1570813.52"/>
    <x v="0"/>
    <n v="45.03"/>
    <n v="3.51"/>
    <n v="220.06519929999999"/>
    <n v="7.0570000000000004"/>
  </r>
  <r>
    <x v="30"/>
    <x v="107"/>
    <n v="1392543.37"/>
    <x v="0"/>
    <n v="54.81"/>
    <n v="3.5550000000000002"/>
    <n v="220.27594400000001"/>
    <n v="7.0570000000000004"/>
  </r>
  <r>
    <x v="30"/>
    <x v="108"/>
    <n v="1427881.22"/>
    <x v="0"/>
    <n v="59.3"/>
    <n v="3.63"/>
    <n v="220.48668860000001"/>
    <n v="7.0570000000000004"/>
  </r>
  <r>
    <x v="30"/>
    <x v="109"/>
    <n v="1439034.86"/>
    <x v="0"/>
    <n v="57.16"/>
    <n v="3.669"/>
    <n v="220.69743320000001"/>
    <n v="7.0570000000000004"/>
  </r>
  <r>
    <x v="30"/>
    <x v="110"/>
    <n v="1481728.13"/>
    <x v="0"/>
    <n v="63.39"/>
    <n v="3.734"/>
    <n v="220.84984679999999"/>
    <n v="7.0570000000000004"/>
  </r>
  <r>
    <x v="30"/>
    <x v="111"/>
    <n v="1365824.97"/>
    <x v="0"/>
    <n v="62.96"/>
    <n v="3.7869999999999999"/>
    <n v="220.92448580000001"/>
    <n v="7.0570000000000004"/>
  </r>
  <r>
    <x v="30"/>
    <x v="112"/>
    <n v="1318854.22"/>
    <x v="0"/>
    <n v="67.87"/>
    <n v="3.8450000000000002"/>
    <n v="220.9991248"/>
    <n v="7.0570000000000004"/>
  </r>
  <r>
    <x v="30"/>
    <x v="113"/>
    <n v="1496169.81"/>
    <x v="0"/>
    <n v="69.02"/>
    <n v="3.891"/>
    <n v="221.07376379999999"/>
    <n v="6.891"/>
  </r>
  <r>
    <x v="30"/>
    <x v="114"/>
    <n v="1407842.91"/>
    <x v="0"/>
    <n v="69.03"/>
    <n v="3.891"/>
    <n v="221.14840280000001"/>
    <n v="6.891"/>
  </r>
  <r>
    <x v="30"/>
    <x v="115"/>
    <n v="1407036.59"/>
    <x v="0"/>
    <n v="66.97"/>
    <n v="3.8769999999999998"/>
    <n v="221.20210739999999"/>
    <n v="6.891"/>
  </r>
  <r>
    <x v="30"/>
    <x v="116"/>
    <n v="1311352.25"/>
    <x v="0"/>
    <n v="69.209999999999994"/>
    <n v="3.8140000000000001"/>
    <n v="221.25581199999999"/>
    <n v="6.891"/>
  </r>
  <r>
    <x v="30"/>
    <x v="117"/>
    <n v="1391257.28"/>
    <x v="0"/>
    <n v="77.53"/>
    <n v="3.7490000000000001"/>
    <n v="221.30951659999999"/>
    <n v="6.891"/>
  </r>
  <r>
    <x v="30"/>
    <x v="118"/>
    <n v="1392938.06"/>
    <x v="0"/>
    <n v="74.14"/>
    <n v="3.6880000000000002"/>
    <n v="221.3632212"/>
    <n v="6.891"/>
  </r>
  <r>
    <x v="30"/>
    <x v="119"/>
    <n v="1441473.82"/>
    <x v="0"/>
    <n v="72.42"/>
    <n v="3.63"/>
    <n v="221.38033100000001"/>
    <n v="6.891"/>
  </r>
  <r>
    <x v="30"/>
    <x v="120"/>
    <n v="1397094.26"/>
    <x v="0"/>
    <n v="79.489999999999995"/>
    <n v="3.5609999999999999"/>
    <n v="221.3828029"/>
    <n v="6.891"/>
  </r>
  <r>
    <x v="30"/>
    <x v="121"/>
    <n v="1404516.29"/>
    <x v="0"/>
    <n v="79.239999999999995"/>
    <n v="3.5009999999999999"/>
    <n v="221.38527479999999"/>
    <n v="6.891"/>
  </r>
  <r>
    <x v="30"/>
    <x v="122"/>
    <n v="1443285.79"/>
    <x v="0"/>
    <n v="79.47"/>
    <n v="3.452"/>
    <n v="221.38774670000001"/>
    <n v="6.891"/>
  </r>
  <r>
    <x v="30"/>
    <x v="123"/>
    <n v="1431003.43"/>
    <x v="0"/>
    <n v="81.510000000000005"/>
    <n v="3.3929999999999998"/>
    <n v="221.4009901"/>
    <n v="6.891"/>
  </r>
  <r>
    <x v="30"/>
    <x v="124"/>
    <n v="1394065.76"/>
    <x v="0"/>
    <n v="81.78"/>
    <n v="3.3460000000000001"/>
    <n v="221.44116220000001"/>
    <n v="6.891"/>
  </r>
  <r>
    <x v="30"/>
    <x v="125"/>
    <n v="1349202.25"/>
    <x v="0"/>
    <n v="88.05"/>
    <n v="3.286"/>
    <n v="221.48133429999999"/>
    <n v="6.891"/>
  </r>
  <r>
    <x v="30"/>
    <x v="126"/>
    <n v="1458059.42"/>
    <x v="0"/>
    <n v="85.26"/>
    <n v="3.2269999999999999"/>
    <n v="221.52150639999999"/>
    <n v="6.5650000000000004"/>
  </r>
  <r>
    <x v="30"/>
    <x v="127"/>
    <n v="1374301.34"/>
    <x v="0"/>
    <n v="82.51"/>
    <n v="3.2559999999999998"/>
    <n v="221.56167840000001"/>
    <n v="6.5650000000000004"/>
  </r>
  <r>
    <x v="30"/>
    <x v="128"/>
    <n v="1392395.2"/>
    <x v="0"/>
    <n v="84.25"/>
    <n v="3.3109999999999999"/>
    <n v="221.57011230000001"/>
    <n v="6.5650000000000004"/>
  </r>
  <r>
    <x v="30"/>
    <x v="129"/>
    <n v="1303732.3600000001"/>
    <x v="0"/>
    <n v="88.09"/>
    <n v="3.407"/>
    <n v="221.57854610000001"/>
    <n v="6.5650000000000004"/>
  </r>
  <r>
    <x v="30"/>
    <x v="130"/>
    <n v="1390174.63"/>
    <x v="0"/>
    <n v="91.57"/>
    <n v="3.4169999999999998"/>
    <n v="221.58697989999999"/>
    <n v="6.5650000000000004"/>
  </r>
  <r>
    <x v="30"/>
    <x v="131"/>
    <n v="1386472.59"/>
    <x v="0"/>
    <n v="89.57"/>
    <n v="3.4940000000000002"/>
    <n v="221.59541379999999"/>
    <n v="6.5650000000000004"/>
  </r>
  <r>
    <x v="30"/>
    <x v="132"/>
    <n v="1410181.7"/>
    <x v="0"/>
    <n v="85.55"/>
    <n v="3.5710000000000002"/>
    <n v="221.67514589999999"/>
    <n v="6.5650000000000004"/>
  </r>
  <r>
    <x v="30"/>
    <x v="133"/>
    <n v="1379783.21"/>
    <x v="0"/>
    <n v="77.72"/>
    <n v="3.62"/>
    <n v="221.8083518"/>
    <n v="6.5650000000000004"/>
  </r>
  <r>
    <x v="30"/>
    <x v="134"/>
    <n v="1373651.49"/>
    <x v="0"/>
    <n v="83.58"/>
    <n v="3.6379999999999999"/>
    <n v="221.94155760000001"/>
    <n v="6.5650000000000004"/>
  </r>
  <r>
    <x v="30"/>
    <x v="135"/>
    <n v="1358111.62"/>
    <x v="1"/>
    <n v="88.4"/>
    <n v="3.73"/>
    <n v="222.07476349999999"/>
    <n v="6.5650000000000004"/>
  </r>
  <r>
    <x v="30"/>
    <x v="136"/>
    <n v="1327705.44"/>
    <x v="0"/>
    <n v="76.099999999999994"/>
    <n v="3.7170000000000001"/>
    <n v="222.21743950000001"/>
    <n v="6.5650000000000004"/>
  </r>
  <r>
    <x v="30"/>
    <x v="137"/>
    <n v="1373064.87"/>
    <x v="0"/>
    <n v="71.540000000000006"/>
    <n v="3.7210000000000001"/>
    <n v="222.41693620000001"/>
    <n v="6.5650000000000004"/>
  </r>
  <r>
    <x v="30"/>
    <x v="138"/>
    <n v="1279080.58"/>
    <x v="0"/>
    <n v="80.38"/>
    <n v="3.6659999999999999"/>
    <n v="222.61643290000001"/>
    <n v="6.5650000000000004"/>
  </r>
  <r>
    <x v="30"/>
    <x v="139"/>
    <n v="1363365.05"/>
    <x v="0"/>
    <n v="70.28"/>
    <n v="3.617"/>
    <n v="222.8159296"/>
    <n v="6.17"/>
  </r>
  <r>
    <x v="30"/>
    <x v="140"/>
    <n v="1401113.42"/>
    <x v="0"/>
    <n v="61.53"/>
    <n v="3.601"/>
    <n v="223.0154263"/>
    <n v="6.17"/>
  </r>
  <r>
    <x v="30"/>
    <x v="141"/>
    <n v="1378730.45"/>
    <x v="0"/>
    <n v="68.52"/>
    <n v="3.5939999999999999"/>
    <n v="223.05980769999999"/>
    <n v="6.17"/>
  </r>
  <r>
    <x v="30"/>
    <x v="142"/>
    <n v="1340232.55"/>
    <x v="0"/>
    <n v="70.5"/>
    <n v="3.5059999999999998"/>
    <n v="223.0783366"/>
    <n v="6.17"/>
  </r>
  <r>
    <x v="31"/>
    <x v="0"/>
    <n v="1087616.19"/>
    <x v="0"/>
    <n v="34.43"/>
    <n v="2.58"/>
    <n v="189.38169740000001"/>
    <n v="9.0139999999999993"/>
  </r>
  <r>
    <x v="31"/>
    <x v="1"/>
    <n v="1123566.1200000001"/>
    <x v="1"/>
    <n v="28.09"/>
    <n v="2.5720000000000001"/>
    <n v="189.46427249999999"/>
    <n v="9.0139999999999993"/>
  </r>
  <r>
    <x v="31"/>
    <x v="2"/>
    <n v="1082559.06"/>
    <x v="0"/>
    <n v="29.16"/>
    <n v="2.5499999999999998"/>
    <n v="189.53409980000001"/>
    <n v="9.0139999999999993"/>
  </r>
  <r>
    <x v="31"/>
    <x v="3"/>
    <n v="1053247.1000000001"/>
    <x v="0"/>
    <n v="26.64"/>
    <n v="2.5859999999999999"/>
    <n v="189.6018023"/>
    <n v="9.0139999999999993"/>
  </r>
  <r>
    <x v="31"/>
    <x v="4"/>
    <n v="1066566.74"/>
    <x v="0"/>
    <n v="37.72"/>
    <n v="2.62"/>
    <n v="189.66950489999999"/>
    <n v="9.0139999999999993"/>
  </r>
  <r>
    <x v="31"/>
    <x v="5"/>
    <n v="1093319.3700000001"/>
    <x v="0"/>
    <n v="39.880000000000003"/>
    <n v="2.6840000000000002"/>
    <n v="189.73720750000001"/>
    <n v="9.0139999999999993"/>
  </r>
  <r>
    <x v="31"/>
    <x v="6"/>
    <n v="1059781.78"/>
    <x v="0"/>
    <n v="42.43"/>
    <n v="2.6920000000000002"/>
    <n v="189.734262"/>
    <n v="9.0139999999999993"/>
  </r>
  <r>
    <x v="31"/>
    <x v="7"/>
    <n v="1076021.58"/>
    <x v="0"/>
    <n v="36.590000000000003"/>
    <n v="2.7170000000000001"/>
    <n v="189.71954170000001"/>
    <n v="9.0139999999999993"/>
  </r>
  <r>
    <x v="31"/>
    <x v="8"/>
    <n v="1131732.94"/>
    <x v="0"/>
    <n v="48.28"/>
    <n v="2.7250000000000001"/>
    <n v="189.70482150000001"/>
    <n v="8.9629999999999992"/>
  </r>
  <r>
    <x v="31"/>
    <x v="9"/>
    <n v="1095889.22"/>
    <x v="0"/>
    <n v="44.88"/>
    <n v="2.75"/>
    <n v="189.69010119999999"/>
    <n v="8.9629999999999992"/>
  </r>
  <r>
    <x v="31"/>
    <x v="10"/>
    <n v="1082763.27"/>
    <x v="0"/>
    <n v="53.49"/>
    <n v="2.7650000000000001"/>
    <n v="189.66288449999999"/>
    <n v="8.9629999999999992"/>
  </r>
  <r>
    <x v="31"/>
    <x v="11"/>
    <n v="1072474.8"/>
    <x v="0"/>
    <n v="50.06"/>
    <n v="2.7759999999999998"/>
    <n v="189.6190057"/>
    <n v="8.9629999999999992"/>
  </r>
  <r>
    <x v="31"/>
    <x v="12"/>
    <n v="1066792.6299999999"/>
    <x v="0"/>
    <n v="47.51"/>
    <n v="2.766"/>
    <n v="189.57512700000001"/>
    <n v="8.9629999999999992"/>
  </r>
  <r>
    <x v="31"/>
    <x v="13"/>
    <n v="1133657.58"/>
    <x v="0"/>
    <n v="48.94"/>
    <n v="2.7709999999999999"/>
    <n v="189.53124829999999"/>
    <n v="8.9629999999999992"/>
  </r>
  <r>
    <x v="31"/>
    <x v="14"/>
    <n v="1079314.52"/>
    <x v="0"/>
    <n v="46.42"/>
    <n v="2.7879999999999998"/>
    <n v="189.49041159999999"/>
    <n v="8.9629999999999992"/>
  </r>
  <r>
    <x v="31"/>
    <x v="15"/>
    <n v="1143819.3500000001"/>
    <x v="0"/>
    <n v="55.89"/>
    <n v="2.7759999999999998"/>
    <n v="189.467827"/>
    <n v="8.9629999999999992"/>
  </r>
  <r>
    <x v="31"/>
    <x v="16"/>
    <n v="1205662.8500000001"/>
    <x v="0"/>
    <n v="64.69"/>
    <n v="2.7370000000000001"/>
    <n v="189.44524250000001"/>
    <n v="8.9629999999999992"/>
  </r>
  <r>
    <x v="31"/>
    <x v="17"/>
    <n v="1149234.96"/>
    <x v="0"/>
    <n v="66.69"/>
    <n v="2.7"/>
    <n v="189.42265800000001"/>
    <n v="8.9629999999999992"/>
  </r>
  <r>
    <x v="31"/>
    <x v="18"/>
    <n v="1192074.0900000001"/>
    <x v="0"/>
    <n v="70.86"/>
    <n v="2.6840000000000002"/>
    <n v="189.4000734"/>
    <n v="8.9629999999999992"/>
  </r>
  <r>
    <x v="31"/>
    <x v="19"/>
    <n v="1150191.72"/>
    <x v="0"/>
    <n v="60.94"/>
    <n v="2.6739999999999999"/>
    <n v="189.41852589999999"/>
    <n v="8.9629999999999992"/>
  </r>
  <r>
    <x v="31"/>
    <x v="20"/>
    <n v="1124763.74"/>
    <x v="0"/>
    <n v="72.42"/>
    <n v="2.7149999999999999"/>
    <n v="189.4533931"/>
    <n v="8.9629999999999992"/>
  </r>
  <r>
    <x v="31"/>
    <x v="21"/>
    <n v="1187988.6399999999"/>
    <x v="0"/>
    <n v="74.739999999999995"/>
    <n v="2.7280000000000002"/>
    <n v="189.48826030000001"/>
    <n v="9.0169999999999995"/>
  </r>
  <r>
    <x v="31"/>
    <x v="22"/>
    <n v="1077253.67"/>
    <x v="0"/>
    <n v="67.55"/>
    <n v="2.7109999999999999"/>
    <n v="189.52312760000001"/>
    <n v="9.0169999999999995"/>
  </r>
  <r>
    <x v="31"/>
    <x v="23"/>
    <n v="1120172.24"/>
    <x v="0"/>
    <n v="76.2"/>
    <n v="2.6989999999999998"/>
    <n v="189.6125456"/>
    <n v="9.0169999999999995"/>
  </r>
  <r>
    <x v="31"/>
    <x v="24"/>
    <n v="1109574.1100000001"/>
    <x v="0"/>
    <n v="75.69"/>
    <n v="2.6909999999999998"/>
    <n v="189.774698"/>
    <n v="9.0169999999999995"/>
  </r>
  <r>
    <x v="31"/>
    <x v="25"/>
    <n v="1065350.56"/>
    <x v="0"/>
    <n v="75.62"/>
    <n v="2.69"/>
    <n v="189.9368504"/>
    <n v="9.0169999999999995"/>
  </r>
  <r>
    <x v="31"/>
    <x v="26"/>
    <n v="1144552.0900000001"/>
    <x v="0"/>
    <n v="72.95"/>
    <n v="2.69"/>
    <n v="190.09900279999999"/>
    <n v="9.0169999999999995"/>
  </r>
  <r>
    <x v="31"/>
    <x v="27"/>
    <n v="1157975.68"/>
    <x v="0"/>
    <n v="74.97"/>
    <n v="2.7229999999999999"/>
    <n v="190.26115519999999"/>
    <n v="9.0169999999999995"/>
  </r>
  <r>
    <x v="31"/>
    <x v="28"/>
    <n v="1189887.8600000001"/>
    <x v="0"/>
    <n v="71.459999999999994"/>
    <n v="2.7320000000000002"/>
    <n v="190.29482369999999"/>
    <n v="9.0169999999999995"/>
  </r>
  <r>
    <x v="31"/>
    <x v="29"/>
    <n v="1140501.03"/>
    <x v="0"/>
    <n v="74.95"/>
    <n v="2.7309999999999999"/>
    <n v="190.3284922"/>
    <n v="9.0169999999999995"/>
  </r>
  <r>
    <x v="31"/>
    <x v="30"/>
    <n v="1095932.51"/>
    <x v="0"/>
    <n v="70.2"/>
    <n v="2.7730000000000001"/>
    <n v="190.3621607"/>
    <n v="9.0169999999999995"/>
  </r>
  <r>
    <x v="31"/>
    <x v="31"/>
    <n v="1028635.39"/>
    <x v="1"/>
    <n v="68.44"/>
    <n v="2.78"/>
    <n v="190.3958293"/>
    <n v="9.0169999999999995"/>
  </r>
  <r>
    <x v="31"/>
    <x v="32"/>
    <n v="1043962.36"/>
    <x v="0"/>
    <n v="67.17"/>
    <n v="2.8"/>
    <n v="190.46882869999999"/>
    <n v="9.0169999999999995"/>
  </r>
  <r>
    <x v="31"/>
    <x v="33"/>
    <n v="1067432.1000000001"/>
    <x v="0"/>
    <n v="64.19"/>
    <n v="2.7930000000000001"/>
    <n v="190.5713264"/>
    <n v="9.0169999999999995"/>
  </r>
  <r>
    <x v="31"/>
    <x v="34"/>
    <n v="1061089.56"/>
    <x v="0"/>
    <n v="66.14"/>
    <n v="2.7589999999999999"/>
    <n v="190.67382409999999"/>
    <n v="9.1370000000000005"/>
  </r>
  <r>
    <x v="31"/>
    <x v="35"/>
    <n v="1085483.44"/>
    <x v="0"/>
    <n v="61.81"/>
    <n v="2.7450000000000001"/>
    <n v="190.77632180000001"/>
    <n v="9.1370000000000005"/>
  </r>
  <r>
    <x v="31"/>
    <x v="36"/>
    <n v="1096692.8799999999"/>
    <x v="0"/>
    <n v="52.96"/>
    <n v="2.762"/>
    <n v="190.8623087"/>
    <n v="9.1370000000000005"/>
  </r>
  <r>
    <x v="31"/>
    <x v="37"/>
    <n v="1102185"/>
    <x v="0"/>
    <n v="52.3"/>
    <n v="2.762"/>
    <n v="190.9070184"/>
    <n v="9.1370000000000005"/>
  </r>
  <r>
    <x v="31"/>
    <x v="38"/>
    <n v="1115138.51"/>
    <x v="0"/>
    <n v="45.45"/>
    <n v="2.7480000000000002"/>
    <n v="190.951728"/>
    <n v="9.1370000000000005"/>
  </r>
  <r>
    <x v="31"/>
    <x v="39"/>
    <n v="1063056.21"/>
    <x v="0"/>
    <n v="49.2"/>
    <n v="2.7290000000000001"/>
    <n v="190.9964377"/>
    <n v="9.1370000000000005"/>
  </r>
  <r>
    <x v="31"/>
    <x v="40"/>
    <n v="1141019.1100000001"/>
    <x v="0"/>
    <n v="42.3"/>
    <n v="2.7370000000000001"/>
    <n v="191.0411474"/>
    <n v="9.1370000000000005"/>
  </r>
  <r>
    <x v="31"/>
    <x v="41"/>
    <n v="1150729.8899999999"/>
    <x v="0"/>
    <n v="36.24"/>
    <n v="2.758"/>
    <n v="191.03121719999999"/>
    <n v="9.1370000000000005"/>
  </r>
  <r>
    <x v="31"/>
    <x v="42"/>
    <n v="1634635.86"/>
    <x v="1"/>
    <n v="29.97"/>
    <n v="2.742"/>
    <n v="191.0121805"/>
    <n v="9.1370000000000005"/>
  </r>
  <r>
    <x v="31"/>
    <x v="43"/>
    <n v="1200892.56"/>
    <x v="0"/>
    <n v="35.18"/>
    <n v="2.7120000000000002"/>
    <n v="190.99314369999999"/>
    <n v="9.1370000000000005"/>
  </r>
  <r>
    <x v="31"/>
    <x v="44"/>
    <n v="1377322.73"/>
    <x v="0"/>
    <n v="36.619999999999997"/>
    <n v="2.7280000000000002"/>
    <n v="190.97410690000001"/>
    <n v="9.1370000000000005"/>
  </r>
  <r>
    <x v="31"/>
    <x v="45"/>
    <n v="1557776.1"/>
    <x v="0"/>
    <n v="36.07"/>
    <n v="2.778"/>
    <n v="191.0303376"/>
    <n v="9.1370000000000005"/>
  </r>
  <r>
    <x v="31"/>
    <x v="46"/>
    <n v="1949183.14"/>
    <x v="0"/>
    <n v="30.72"/>
    <n v="2.7810000000000001"/>
    <n v="191.14301889999999"/>
    <n v="9.1370000000000005"/>
  </r>
  <r>
    <x v="31"/>
    <x v="47"/>
    <n v="955463.84"/>
    <x v="1"/>
    <n v="27.7"/>
    <n v="2.8290000000000002"/>
    <n v="191.25570020000001"/>
    <n v="9.1370000000000005"/>
  </r>
  <r>
    <x v="31"/>
    <x v="48"/>
    <n v="1046416.17"/>
    <x v="0"/>
    <n v="23.78"/>
    <n v="2.8820000000000001"/>
    <n v="191.3683815"/>
    <n v="8.8179999999999996"/>
  </r>
  <r>
    <x v="31"/>
    <x v="49"/>
    <n v="1028206.51"/>
    <x v="0"/>
    <n v="21.69"/>
    <n v="2.911"/>
    <n v="191.47849389999999"/>
    <n v="8.8179999999999996"/>
  </r>
  <r>
    <x v="31"/>
    <x v="50"/>
    <n v="1078348.9099999999"/>
    <x v="0"/>
    <n v="34.54"/>
    <n v="2.9729999999999999"/>
    <n v="191.57319240000001"/>
    <n v="8.8179999999999996"/>
  </r>
  <r>
    <x v="31"/>
    <x v="51"/>
    <n v="1006814.85"/>
    <x v="0"/>
    <n v="34.86"/>
    <n v="3.008"/>
    <n v="191.667891"/>
    <n v="8.8179999999999996"/>
  </r>
  <r>
    <x v="31"/>
    <x v="52"/>
    <n v="1070457.8"/>
    <x v="0"/>
    <n v="15.47"/>
    <n v="3.0110000000000001"/>
    <n v="191.76258949999999"/>
    <n v="8.8179999999999996"/>
  </r>
  <r>
    <x v="31"/>
    <x v="53"/>
    <n v="1124357.2"/>
    <x v="1"/>
    <n v="18.510000000000002"/>
    <n v="3.0369999999999999"/>
    <n v="191.85728810000001"/>
    <n v="8.8179999999999996"/>
  </r>
  <r>
    <x v="31"/>
    <x v="54"/>
    <n v="1183528.58"/>
    <x v="0"/>
    <n v="42.09"/>
    <n v="3.0510000000000002"/>
    <n v="191.9178331"/>
    <n v="8.8179999999999996"/>
  </r>
  <r>
    <x v="31"/>
    <x v="55"/>
    <n v="1054754.67"/>
    <x v="0"/>
    <n v="33"/>
    <n v="3.101"/>
    <n v="191.9647167"/>
    <n v="8.8179999999999996"/>
  </r>
  <r>
    <x v="31"/>
    <x v="56"/>
    <n v="1106847.6200000001"/>
    <x v="0"/>
    <n v="39.17"/>
    <n v="3.2320000000000002"/>
    <n v="192.01160039999999"/>
    <n v="8.8179999999999996"/>
  </r>
  <r>
    <x v="31"/>
    <x v="57"/>
    <n v="1101458.21"/>
    <x v="0"/>
    <n v="36.51"/>
    <n v="3.3719999999999999"/>
    <n v="192.05848399999999"/>
    <n v="8.8179999999999996"/>
  </r>
  <r>
    <x v="31"/>
    <x v="58"/>
    <n v="1100765.5"/>
    <x v="0"/>
    <n v="45.25"/>
    <n v="3.4060000000000001"/>
    <n v="192.12379809999999"/>
    <n v="8.8179999999999996"/>
  </r>
  <r>
    <x v="31"/>
    <x v="59"/>
    <n v="1068719.22"/>
    <x v="0"/>
    <n v="46.7"/>
    <n v="3.4140000000000001"/>
    <n v="192.1964844"/>
    <n v="8.8179999999999996"/>
  </r>
  <r>
    <x v="31"/>
    <x v="60"/>
    <n v="1051121.02"/>
    <x v="0"/>
    <n v="44.83"/>
    <n v="3.4609999999999999"/>
    <n v="192.26917069999999"/>
    <n v="8.5950000000000006"/>
  </r>
  <r>
    <x v="31"/>
    <x v="61"/>
    <n v="1102975.5900000001"/>
    <x v="0"/>
    <n v="48.81"/>
    <n v="3.532"/>
    <n v="192.3418571"/>
    <n v="8.5950000000000006"/>
  </r>
  <r>
    <x v="31"/>
    <x v="62"/>
    <n v="1120508.1399999999"/>
    <x v="0"/>
    <n v="45.97"/>
    <n v="3.6110000000000002"/>
    <n v="192.42259540000001"/>
    <n v="8.5950000000000006"/>
  </r>
  <r>
    <x v="31"/>
    <x v="63"/>
    <n v="1210602.9099999999"/>
    <x v="0"/>
    <n v="48.69"/>
    <n v="3.6360000000000001"/>
    <n v="192.5234638"/>
    <n v="8.5950000000000006"/>
  </r>
  <r>
    <x v="31"/>
    <x v="64"/>
    <n v="1107494.55"/>
    <x v="0"/>
    <n v="44.86"/>
    <n v="3.6629999999999998"/>
    <n v="192.6243322"/>
    <n v="8.5950000000000006"/>
  </r>
  <r>
    <x v="31"/>
    <x v="65"/>
    <n v="1181793.55"/>
    <x v="0"/>
    <n v="46.65"/>
    <n v="3.7349999999999999"/>
    <n v="192.72520059999999"/>
    <n v="8.5950000000000006"/>
  </r>
  <r>
    <x v="31"/>
    <x v="66"/>
    <n v="1138162.76"/>
    <x v="0"/>
    <n v="56.09"/>
    <n v="3.7669999999999999"/>
    <n v="192.82606899999999"/>
    <n v="8.5950000000000006"/>
  </r>
  <r>
    <x v="31"/>
    <x v="67"/>
    <n v="1145084.76"/>
    <x v="0"/>
    <n v="45.71"/>
    <n v="3.8279999999999998"/>
    <n v="192.83131700000001"/>
    <n v="8.5950000000000006"/>
  </r>
  <r>
    <x v="31"/>
    <x v="68"/>
    <n v="1175447.49"/>
    <x v="0"/>
    <n v="55.13"/>
    <n v="3.7949999999999999"/>
    <n v="192.8365651"/>
    <n v="8.5950000000000006"/>
  </r>
  <r>
    <x v="31"/>
    <x v="69"/>
    <n v="1167757"/>
    <x v="0"/>
    <n v="61.25"/>
    <n v="3.7629999999999999"/>
    <n v="192.8418131"/>
    <n v="8.5950000000000006"/>
  </r>
  <r>
    <x v="31"/>
    <x v="70"/>
    <n v="1239741.3400000001"/>
    <x v="0"/>
    <n v="65.489999999999995"/>
    <n v="3.7349999999999999"/>
    <n v="192.84706120000001"/>
    <n v="8.5950000000000006"/>
  </r>
  <r>
    <x v="31"/>
    <x v="71"/>
    <n v="1192031.3799999999"/>
    <x v="0"/>
    <n v="67.38"/>
    <n v="3.6970000000000001"/>
    <n v="192.90347589999999"/>
    <n v="8.5950000000000006"/>
  </r>
  <r>
    <x v="31"/>
    <x v="72"/>
    <n v="1163869.52"/>
    <x v="0"/>
    <n v="65.06"/>
    <n v="3.661"/>
    <n v="192.9982655"/>
    <n v="8.5950000000000006"/>
  </r>
  <r>
    <x v="31"/>
    <x v="73"/>
    <n v="1199845.29"/>
    <x v="0"/>
    <n v="72.86"/>
    <n v="3.597"/>
    <n v="193.09305520000001"/>
    <n v="8.6219999999999999"/>
  </r>
  <r>
    <x v="31"/>
    <x v="74"/>
    <n v="1110244.52"/>
    <x v="0"/>
    <n v="72.56"/>
    <n v="3.54"/>
    <n v="193.18784479999999"/>
    <n v="8.6219999999999999"/>
  </r>
  <r>
    <x v="31"/>
    <x v="75"/>
    <n v="1144254.26"/>
    <x v="0"/>
    <n v="70.55"/>
    <n v="3.532"/>
    <n v="193.3125484"/>
    <n v="8.6219999999999999"/>
  </r>
  <r>
    <x v="31"/>
    <x v="76"/>
    <n v="1185674.48"/>
    <x v="0"/>
    <n v="76"/>
    <n v="3.5449999999999999"/>
    <n v="193.51203670000001"/>
    <n v="8.6219999999999999"/>
  </r>
  <r>
    <x v="31"/>
    <x v="77"/>
    <n v="1169988.6200000001"/>
    <x v="0"/>
    <n v="75.91"/>
    <n v="3.5470000000000002"/>
    <n v="193.71152499999999"/>
    <n v="8.6219999999999999"/>
  </r>
  <r>
    <x v="31"/>
    <x v="78"/>
    <n v="1201694.1399999999"/>
    <x v="0"/>
    <n v="74.83"/>
    <n v="3.5539999999999998"/>
    <n v="193.91101330000001"/>
    <n v="8.6219999999999999"/>
  </r>
  <r>
    <x v="31"/>
    <x v="79"/>
    <n v="1206795.74"/>
    <x v="0"/>
    <n v="74.2"/>
    <n v="3.5419999999999998"/>
    <n v="194.11050169999999"/>
    <n v="8.6219999999999999"/>
  </r>
  <r>
    <x v="31"/>
    <x v="80"/>
    <n v="1221318.17"/>
    <x v="0"/>
    <n v="73.72"/>
    <n v="3.4990000000000001"/>
    <n v="194.25006339999999"/>
    <n v="8.6219999999999999"/>
  </r>
  <r>
    <x v="31"/>
    <x v="81"/>
    <n v="1183740.9099999999"/>
    <x v="0"/>
    <n v="75.64"/>
    <n v="3.4849999999999999"/>
    <n v="194.37963740000001"/>
    <n v="8.6219999999999999"/>
  </r>
  <r>
    <x v="31"/>
    <x v="82"/>
    <n v="1152117.5"/>
    <x v="0"/>
    <n v="74.599999999999994"/>
    <n v="3.5110000000000001"/>
    <n v="194.5092113"/>
    <n v="8.6219999999999999"/>
  </r>
  <r>
    <x v="31"/>
    <x v="83"/>
    <n v="1128237.3"/>
    <x v="1"/>
    <n v="61.24"/>
    <n v="3.5659999999999998"/>
    <n v="194.6387853"/>
    <n v="8.6219999999999999"/>
  </r>
  <r>
    <x v="31"/>
    <x v="84"/>
    <n v="1142499.25"/>
    <x v="0"/>
    <n v="60.88"/>
    <n v="3.5960000000000001"/>
    <n v="194.7419707"/>
    <n v="8.6219999999999999"/>
  </r>
  <r>
    <x v="31"/>
    <x v="85"/>
    <n v="1116140.29"/>
    <x v="0"/>
    <n v="58.66"/>
    <n v="3.581"/>
    <n v="194.8099713"/>
    <n v="8.6219999999999999"/>
  </r>
  <r>
    <x v="31"/>
    <x v="86"/>
    <n v="1088943.98"/>
    <x v="0"/>
    <n v="65.040000000000006"/>
    <n v="3.5379999999999998"/>
    <n v="194.87797180000001"/>
    <n v="8.6219999999999999"/>
  </r>
  <r>
    <x v="31"/>
    <x v="87"/>
    <n v="1149448.02"/>
    <x v="0"/>
    <n v="62.62"/>
    <n v="3.4980000000000002"/>
    <n v="194.94597239999999"/>
    <n v="8.5129999999999999"/>
  </r>
  <r>
    <x v="31"/>
    <x v="88"/>
    <n v="1175420.26"/>
    <x v="0"/>
    <n v="50.15"/>
    <n v="3.4910000000000001"/>
    <n v="195.0261012"/>
    <n v="8.5129999999999999"/>
  </r>
  <r>
    <x v="31"/>
    <x v="89"/>
    <n v="1151258.74"/>
    <x v="0"/>
    <n v="48.87"/>
    <n v="3.548"/>
    <n v="195.17899940000001"/>
    <n v="8.5129999999999999"/>
  </r>
  <r>
    <x v="31"/>
    <x v="90"/>
    <n v="1185391.96"/>
    <x v="0"/>
    <n v="42.76"/>
    <n v="3.55"/>
    <n v="195.33189770000001"/>
    <n v="8.5129999999999999"/>
  </r>
  <r>
    <x v="31"/>
    <x v="91"/>
    <n v="1204628.28"/>
    <x v="0"/>
    <n v="37.950000000000003"/>
    <n v="3.5270000000000001"/>
    <n v="195.48479589999999"/>
    <n v="8.5129999999999999"/>
  </r>
  <r>
    <x v="31"/>
    <x v="92"/>
    <n v="1182733"/>
    <x v="0"/>
    <n v="38.1"/>
    <n v="3.5049999999999999"/>
    <n v="195.6376941"/>
    <n v="8.5129999999999999"/>
  </r>
  <r>
    <x v="31"/>
    <x v="93"/>
    <n v="1181651.55"/>
    <x v="0"/>
    <n v="42.61"/>
    <n v="3.4790000000000001"/>
    <n v="195.7184713"/>
    <n v="8.5129999999999999"/>
  </r>
  <r>
    <x v="31"/>
    <x v="94"/>
    <n v="1684468.66"/>
    <x v="1"/>
    <n v="40.22"/>
    <n v="3.4239999999999999"/>
    <n v="195.7704"/>
    <n v="8.5129999999999999"/>
  </r>
  <r>
    <x v="31"/>
    <x v="95"/>
    <n v="1179773.8799999999"/>
    <x v="0"/>
    <n v="33.799999999999997"/>
    <n v="3.3780000000000001"/>
    <n v="195.82232870000001"/>
    <n v="8.5129999999999999"/>
  </r>
  <r>
    <x v="31"/>
    <x v="96"/>
    <n v="1415746.91"/>
    <x v="0"/>
    <n v="17.940000000000001"/>
    <n v="3.331"/>
    <n v="195.8742575"/>
    <n v="8.5129999999999999"/>
  </r>
  <r>
    <x v="31"/>
    <x v="97"/>
    <n v="1556017.91"/>
    <x v="0"/>
    <n v="26.23"/>
    <n v="3.266"/>
    <n v="195.98416850000001"/>
    <n v="8.5129999999999999"/>
  </r>
  <r>
    <x v="31"/>
    <x v="98"/>
    <n v="1959526.96"/>
    <x v="0"/>
    <n v="25.97"/>
    <n v="3.173"/>
    <n v="196.17138929999999"/>
    <n v="8.5129999999999999"/>
  </r>
  <r>
    <x v="31"/>
    <x v="99"/>
    <n v="1102367.6499999999"/>
    <x v="1"/>
    <n v="32.99"/>
    <n v="3.1190000000000002"/>
    <n v="196.35861009999999"/>
    <n v="8.5129999999999999"/>
  </r>
  <r>
    <x v="31"/>
    <x v="100"/>
    <n v="1099937.25"/>
    <x v="0"/>
    <n v="36.75"/>
    <n v="3.0950000000000002"/>
    <n v="196.5458309"/>
    <n v="8.2560000000000002"/>
  </r>
  <r>
    <x v="31"/>
    <x v="101"/>
    <n v="1071598.3600000001"/>
    <x v="0"/>
    <n v="28.99"/>
    <n v="3.077"/>
    <n v="196.7330517"/>
    <n v="8.2560000000000002"/>
  </r>
  <r>
    <x v="31"/>
    <x v="102"/>
    <n v="1080012.04"/>
    <x v="0"/>
    <n v="36.86"/>
    <n v="3.0550000000000002"/>
    <n v="196.77966520000001"/>
    <n v="8.2560000000000002"/>
  </r>
  <r>
    <x v="31"/>
    <x v="103"/>
    <n v="1051864.6000000001"/>
    <x v="0"/>
    <n v="36.67"/>
    <n v="3.0379999999999998"/>
    <n v="196.82627859999999"/>
    <n v="8.2560000000000002"/>
  </r>
  <r>
    <x v="31"/>
    <x v="104"/>
    <n v="1156826.31"/>
    <x v="0"/>
    <n v="35.89"/>
    <n v="3.0310000000000001"/>
    <n v="196.8728921"/>
    <n v="8.2560000000000002"/>
  </r>
  <r>
    <x v="31"/>
    <x v="105"/>
    <n v="1129422.8600000001"/>
    <x v="1"/>
    <n v="23.34"/>
    <n v="3.1030000000000002"/>
    <n v="196.91950560000001"/>
    <n v="8.2560000000000002"/>
  </r>
  <r>
    <x v="31"/>
    <x v="106"/>
    <n v="1243812.5900000001"/>
    <x v="0"/>
    <n v="24.26"/>
    <n v="3.113"/>
    <n v="196.9432711"/>
    <n v="8.2560000000000002"/>
  </r>
  <r>
    <x v="31"/>
    <x v="107"/>
    <n v="1091822.72"/>
    <x v="0"/>
    <n v="33.409999999999997"/>
    <n v="3.129"/>
    <n v="196.9499007"/>
    <n v="8.2560000000000002"/>
  </r>
  <r>
    <x v="31"/>
    <x v="108"/>
    <n v="1153332.8899999999"/>
    <x v="0"/>
    <n v="33.4"/>
    <n v="3.1909999999999998"/>
    <n v="196.9565303"/>
    <n v="8.2560000000000002"/>
  </r>
  <r>
    <x v="31"/>
    <x v="109"/>
    <n v="1124537.97"/>
    <x v="0"/>
    <n v="39.9"/>
    <n v="3.286"/>
    <n v="196.96315989999999"/>
    <n v="8.2560000000000002"/>
  </r>
  <r>
    <x v="31"/>
    <x v="110"/>
    <n v="1138101.18"/>
    <x v="0"/>
    <n v="51.51"/>
    <n v="3.4860000000000002"/>
    <n v="197.0457208"/>
    <n v="8.2560000000000002"/>
  </r>
  <r>
    <x v="31"/>
    <x v="111"/>
    <n v="1146632.46"/>
    <x v="0"/>
    <n v="47.64"/>
    <n v="3.6640000000000001"/>
    <n v="197.22952340000001"/>
    <n v="8.2560000000000002"/>
  </r>
  <r>
    <x v="31"/>
    <x v="112"/>
    <n v="1108686.8700000001"/>
    <x v="0"/>
    <n v="56.09"/>
    <n v="3.75"/>
    <n v="197.41332589999999"/>
    <n v="8.2560000000000002"/>
  </r>
  <r>
    <x v="31"/>
    <x v="113"/>
    <n v="1270577.01"/>
    <x v="0"/>
    <n v="51.49"/>
    <n v="3.8540000000000001"/>
    <n v="197.5971285"/>
    <n v="8.09"/>
  </r>
  <r>
    <x v="31"/>
    <x v="114"/>
    <n v="1171834.47"/>
    <x v="0"/>
    <n v="52.1"/>
    <n v="3.9009999999999998"/>
    <n v="197.78093100000001"/>
    <n v="8.09"/>
  </r>
  <r>
    <x v="31"/>
    <x v="115"/>
    <n v="1121405.9099999999"/>
    <x v="0"/>
    <n v="49.15"/>
    <n v="3.9359999999999999"/>
    <n v="197.72273849999999"/>
    <n v="8.09"/>
  </r>
  <r>
    <x v="31"/>
    <x v="116"/>
    <n v="1126962.44"/>
    <x v="0"/>
    <n v="61.76"/>
    <n v="3.927"/>
    <n v="197.664546"/>
    <n v="8.09"/>
  </r>
  <r>
    <x v="31"/>
    <x v="117"/>
    <n v="1187384.53"/>
    <x v="0"/>
    <n v="58.29"/>
    <n v="3.903"/>
    <n v="197.60635339999999"/>
    <n v="8.09"/>
  </r>
  <r>
    <x v="31"/>
    <x v="118"/>
    <n v="1187051.07"/>
    <x v="0"/>
    <n v="55.4"/>
    <n v="3.87"/>
    <n v="197.5481609"/>
    <n v="8.09"/>
  </r>
  <r>
    <x v="31"/>
    <x v="119"/>
    <n v="1177539.71"/>
    <x v="0"/>
    <n v="57.46"/>
    <n v="3.8370000000000002"/>
    <n v="197.5553137"/>
    <n v="8.09"/>
  </r>
  <r>
    <x v="31"/>
    <x v="120"/>
    <n v="1232784.22"/>
    <x v="0"/>
    <n v="59.74"/>
    <n v="3.8039999999999998"/>
    <n v="197.5886046"/>
    <n v="8.09"/>
  </r>
  <r>
    <x v="31"/>
    <x v="121"/>
    <n v="1157557.79"/>
    <x v="0"/>
    <n v="62.84"/>
    <n v="3.7639999999999998"/>
    <n v="197.6218954"/>
    <n v="8.09"/>
  </r>
  <r>
    <x v="31"/>
    <x v="122"/>
    <n v="1246322.44"/>
    <x v="0"/>
    <n v="71.14"/>
    <n v="3.7410000000000001"/>
    <n v="197.6551863"/>
    <n v="8.09"/>
  </r>
  <r>
    <x v="31"/>
    <x v="123"/>
    <n v="1234759.54"/>
    <x v="0"/>
    <n v="70.91"/>
    <n v="3.7229999999999999"/>
    <n v="197.69229200000001"/>
    <n v="8.09"/>
  </r>
  <r>
    <x v="31"/>
    <x v="124"/>
    <n v="1196880.1100000001"/>
    <x v="0"/>
    <n v="74.849999999999994"/>
    <n v="3.7349999999999999"/>
    <n v="197.7389345"/>
    <n v="8.09"/>
  </r>
  <r>
    <x v="31"/>
    <x v="125"/>
    <n v="1178211.81"/>
    <x v="0"/>
    <n v="81.95"/>
    <n v="3.6930000000000001"/>
    <n v="197.78557699999999"/>
    <n v="8.09"/>
  </r>
  <r>
    <x v="31"/>
    <x v="126"/>
    <n v="1214183.97"/>
    <x v="0"/>
    <n v="78.680000000000007"/>
    <n v="3.6459999999999999"/>
    <n v="197.83221950000001"/>
    <n v="7.8719999999999999"/>
  </r>
  <r>
    <x v="31"/>
    <x v="127"/>
    <n v="1141184.6599999999"/>
    <x v="0"/>
    <n v="71.569999999999993"/>
    <n v="3.613"/>
    <n v="197.87886209999999"/>
    <n v="7.8719999999999999"/>
  </r>
  <r>
    <x v="31"/>
    <x v="128"/>
    <n v="1167829.33"/>
    <x v="0"/>
    <n v="77.760000000000005"/>
    <n v="3.585"/>
    <n v="197.9290378"/>
    <n v="7.8719999999999999"/>
  </r>
  <r>
    <x v="31"/>
    <x v="129"/>
    <n v="1144901.52"/>
    <x v="0"/>
    <n v="77.56"/>
    <n v="3.57"/>
    <n v="197.97921360000001"/>
    <n v="7.8719999999999999"/>
  </r>
  <r>
    <x v="31"/>
    <x v="130"/>
    <n v="1183571.3500000001"/>
    <x v="0"/>
    <n v="75.09"/>
    <n v="3.528"/>
    <n v="198.02938929999999"/>
    <n v="7.8719999999999999"/>
  </r>
  <r>
    <x v="31"/>
    <x v="131"/>
    <n v="1227469.2"/>
    <x v="0"/>
    <n v="75.930000000000007"/>
    <n v="3.5089999999999999"/>
    <n v="198.0795651"/>
    <n v="7.8719999999999999"/>
  </r>
  <r>
    <x v="31"/>
    <x v="132"/>
    <n v="1261306.3700000001"/>
    <x v="0"/>
    <n v="70.75"/>
    <n v="3.5449999999999999"/>
    <n v="198.1001057"/>
    <n v="7.8719999999999999"/>
  </r>
  <r>
    <x v="31"/>
    <x v="133"/>
    <n v="1272809.1100000001"/>
    <x v="0"/>
    <n v="70.12"/>
    <n v="3.5579999999999998"/>
    <n v="198.09841990000001"/>
    <n v="7.8719999999999999"/>
  </r>
  <r>
    <x v="31"/>
    <x v="134"/>
    <n v="1183979.27"/>
    <x v="0"/>
    <n v="76.12"/>
    <n v="3.556"/>
    <n v="198.09673409999999"/>
    <n v="7.8719999999999999"/>
  </r>
  <r>
    <x v="31"/>
    <x v="135"/>
    <n v="1126685.95"/>
    <x v="1"/>
    <n v="72.56"/>
    <n v="3.5960000000000001"/>
    <n v="198.0950484"/>
    <n v="7.8719999999999999"/>
  </r>
  <r>
    <x v="31"/>
    <x v="136"/>
    <n v="1156377.47"/>
    <x v="0"/>
    <n v="64.05"/>
    <n v="3.6589999999999998"/>
    <n v="198.12671839999999"/>
    <n v="7.8719999999999999"/>
  </r>
  <r>
    <x v="31"/>
    <x v="137"/>
    <n v="1159119.6000000001"/>
    <x v="0"/>
    <n v="63.49"/>
    <n v="3.7650000000000001"/>
    <n v="198.35852299999999"/>
    <n v="7.8719999999999999"/>
  </r>
  <r>
    <x v="31"/>
    <x v="138"/>
    <n v="1157111.1499999999"/>
    <x v="0"/>
    <n v="60.62"/>
    <n v="3.7890000000000001"/>
    <n v="198.59032759999999"/>
    <n v="7.8719999999999999"/>
  </r>
  <r>
    <x v="31"/>
    <x v="139"/>
    <n v="1202775.24"/>
    <x v="0"/>
    <n v="55.34"/>
    <n v="3.7789999999999999"/>
    <n v="198.8221322"/>
    <n v="7.5570000000000004"/>
  </r>
  <r>
    <x v="31"/>
    <x v="140"/>
    <n v="1176681.31"/>
    <x v="0"/>
    <n v="43.49"/>
    <n v="3.76"/>
    <n v="199.0539368"/>
    <n v="7.5570000000000004"/>
  </r>
  <r>
    <x v="31"/>
    <x v="141"/>
    <n v="1199292.06"/>
    <x v="0"/>
    <n v="53.57"/>
    <n v="3.75"/>
    <n v="199.1481963"/>
    <n v="7.5570000000000004"/>
  </r>
  <r>
    <x v="31"/>
    <x v="142"/>
    <n v="1219979.29"/>
    <x v="0"/>
    <n v="47.22"/>
    <n v="3.6859999999999999"/>
    <n v="199.2195317"/>
    <n v="7.5570000000000004"/>
  </r>
  <r>
    <x v="32"/>
    <x v="0"/>
    <n v="274593.43"/>
    <x v="0"/>
    <n v="58.4"/>
    <n v="2.9620000000000002"/>
    <n v="126.4420645"/>
    <n v="10.115"/>
  </r>
  <r>
    <x v="32"/>
    <x v="1"/>
    <n v="294882.83"/>
    <x v="1"/>
    <n v="55.47"/>
    <n v="2.8279999999999998"/>
    <n v="126.49625810000001"/>
    <n v="10.115"/>
  </r>
  <r>
    <x v="32"/>
    <x v="2"/>
    <n v="296850.83"/>
    <x v="0"/>
    <n v="62.16"/>
    <n v="2.915"/>
    <n v="126.5262857"/>
    <n v="10.115"/>
  </r>
  <r>
    <x v="32"/>
    <x v="3"/>
    <n v="284052.77"/>
    <x v="0"/>
    <n v="56.5"/>
    <n v="2.8250000000000002"/>
    <n v="126.5522857"/>
    <n v="10.115"/>
  </r>
  <r>
    <x v="32"/>
    <x v="4"/>
    <n v="291484.89"/>
    <x v="0"/>
    <n v="59.17"/>
    <n v="2.8769999999999998"/>
    <n v="126.5782857"/>
    <n v="10.115"/>
  </r>
  <r>
    <x v="32"/>
    <x v="5"/>
    <n v="312161"/>
    <x v="0"/>
    <n v="55.61"/>
    <n v="3.0339999999999998"/>
    <n v="126.60428570000001"/>
    <n v="10.115"/>
  </r>
  <r>
    <x v="32"/>
    <x v="6"/>
    <n v="282235.73"/>
    <x v="0"/>
    <n v="64.599999999999994"/>
    <n v="3.0539999999999998"/>
    <n v="126.6066452"/>
    <n v="10.115"/>
  </r>
  <r>
    <x v="32"/>
    <x v="7"/>
    <n v="262893.76"/>
    <x v="0"/>
    <n v="64.09"/>
    <n v="2.98"/>
    <n v="126.6050645"/>
    <n v="10.115"/>
  </r>
  <r>
    <x v="32"/>
    <x v="8"/>
    <n v="274634.52"/>
    <x v="0"/>
    <n v="66.790000000000006"/>
    <n v="3.0859999999999999"/>
    <n v="126.6034839"/>
    <n v="9.8490000000000002"/>
  </r>
  <r>
    <x v="32"/>
    <x v="9"/>
    <n v="325201.05"/>
    <x v="0"/>
    <n v="68.430000000000007"/>
    <n v="3.004"/>
    <n v="126.6019032"/>
    <n v="9.8490000000000002"/>
  </r>
  <r>
    <x v="32"/>
    <x v="10"/>
    <n v="307779.64"/>
    <x v="0"/>
    <n v="72.44"/>
    <n v="3.109"/>
    <n v="126.5621"/>
    <n v="9.8490000000000002"/>
  </r>
  <r>
    <x v="32"/>
    <x v="11"/>
    <n v="263263.02"/>
    <x v="0"/>
    <n v="71.59"/>
    <n v="3.05"/>
    <n v="126.4713333"/>
    <n v="9.8490000000000002"/>
  </r>
  <r>
    <x v="32"/>
    <x v="12"/>
    <n v="275883.23"/>
    <x v="0"/>
    <n v="73.290000000000006"/>
    <n v="3.105"/>
    <n v="126.3805667"/>
    <n v="9.8490000000000002"/>
  </r>
  <r>
    <x v="32"/>
    <x v="13"/>
    <n v="326870.13"/>
    <x v="0"/>
    <n v="75.400000000000006"/>
    <n v="3.1269999999999998"/>
    <n v="126.2898"/>
    <n v="9.8490000000000002"/>
  </r>
  <r>
    <x v="32"/>
    <x v="14"/>
    <n v="331173.51"/>
    <x v="0"/>
    <n v="76.8"/>
    <n v="3.145"/>
    <n v="126.2085484"/>
    <n v="9.8490000000000002"/>
  </r>
  <r>
    <x v="32"/>
    <x v="15"/>
    <n v="294264.2"/>
    <x v="0"/>
    <n v="82.8"/>
    <n v="3.12"/>
    <n v="126.1843871"/>
    <n v="9.8490000000000002"/>
  </r>
  <r>
    <x v="32"/>
    <x v="16"/>
    <n v="279246.33"/>
    <x v="0"/>
    <n v="78.47"/>
    <n v="3.0579999999999998"/>
    <n v="126.16022580000001"/>
    <n v="9.8490000000000002"/>
  </r>
  <r>
    <x v="32"/>
    <x v="17"/>
    <n v="285100"/>
    <x v="0"/>
    <n v="86.06"/>
    <n v="2.9409999999999998"/>
    <n v="126.1360645"/>
    <n v="9.8490000000000002"/>
  </r>
  <r>
    <x v="32"/>
    <x v="18"/>
    <n v="310800.78999999998"/>
    <x v="0"/>
    <n v="93.52"/>
    <n v="3.0569999999999999"/>
    <n v="126.1119032"/>
    <n v="9.8490000000000002"/>
  </r>
  <r>
    <x v="32"/>
    <x v="19"/>
    <n v="272399.08"/>
    <x v="0"/>
    <n v="87.69"/>
    <n v="2.9350000000000001"/>
    <n v="126.114"/>
    <n v="9.8490000000000002"/>
  </r>
  <r>
    <x v="32"/>
    <x v="20"/>
    <n v="259419.91"/>
    <x v="0"/>
    <n v="93.66"/>
    <n v="3.0840000000000001"/>
    <n v="126.1266"/>
    <n v="9.8490000000000002"/>
  </r>
  <r>
    <x v="32"/>
    <x v="21"/>
    <n v="267495.76"/>
    <x v="0"/>
    <n v="97.66"/>
    <n v="2.9780000000000002"/>
    <n v="126.1392"/>
    <n v="9.4949999999999992"/>
  </r>
  <r>
    <x v="32"/>
    <x v="22"/>
    <n v="302423.93"/>
    <x v="0"/>
    <n v="95.88"/>
    <n v="3.1"/>
    <n v="126.15179999999999"/>
    <n v="9.4949999999999992"/>
  </r>
  <r>
    <x v="32"/>
    <x v="23"/>
    <n v="280937.84000000003"/>
    <x v="0"/>
    <n v="100.14"/>
    <n v="2.9710000000000001"/>
    <n v="126.1498065"/>
    <n v="9.4949999999999992"/>
  </r>
  <r>
    <x v="32"/>
    <x v="24"/>
    <n v="252734.31"/>
    <x v="0"/>
    <n v="97.04"/>
    <n v="3.1120000000000001"/>
    <n v="126.1283548"/>
    <n v="9.4949999999999992"/>
  </r>
  <r>
    <x v="32"/>
    <x v="25"/>
    <n v="242047.03"/>
    <x v="0"/>
    <n v="92.71"/>
    <n v="3.0169999999999999"/>
    <n v="126.1069032"/>
    <n v="9.4949999999999992"/>
  </r>
  <r>
    <x v="32"/>
    <x v="26"/>
    <n v="262789.95"/>
    <x v="0"/>
    <n v="92.51"/>
    <n v="3.1230000000000002"/>
    <n v="126.0854516"/>
    <n v="9.4949999999999992"/>
  </r>
  <r>
    <x v="32"/>
    <x v="27"/>
    <n v="265367.51"/>
    <x v="0"/>
    <n v="95.57"/>
    <n v="3.0489999999999999"/>
    <n v="126.06399999999999"/>
    <n v="9.4949999999999992"/>
  </r>
  <r>
    <x v="32"/>
    <x v="28"/>
    <n v="230519.49"/>
    <x v="0"/>
    <n v="96.46"/>
    <n v="3.0409999999999999"/>
    <n v="126.0766452"/>
    <n v="9.4949999999999992"/>
  </r>
  <r>
    <x v="32"/>
    <x v="29"/>
    <n v="224031.19"/>
    <x v="0"/>
    <n v="94"/>
    <n v="3.0219999999999998"/>
    <n v="126.0892903"/>
    <n v="9.4949999999999992"/>
  </r>
  <r>
    <x v="32"/>
    <x v="30"/>
    <n v="237405.82"/>
    <x v="0"/>
    <n v="90.82"/>
    <n v="3.0870000000000002"/>
    <n v="126.1019355"/>
    <n v="9.4949999999999992"/>
  </r>
  <r>
    <x v="32"/>
    <x v="31"/>
    <n v="272834.88"/>
    <x v="1"/>
    <n v="91.77"/>
    <n v="2.9609999999999999"/>
    <n v="126.1145806"/>
    <n v="9.4949999999999992"/>
  </r>
  <r>
    <x v="32"/>
    <x v="32"/>
    <n v="246277.18"/>
    <x v="0"/>
    <n v="89.43"/>
    <n v="3.028"/>
    <n v="126.1454667"/>
    <n v="9.4949999999999992"/>
  </r>
  <r>
    <x v="32"/>
    <x v="33"/>
    <n v="231976.84"/>
    <x v="0"/>
    <n v="91.18"/>
    <n v="2.9390000000000001"/>
    <n v="126.1900333"/>
    <n v="9.4949999999999992"/>
  </r>
  <r>
    <x v="32"/>
    <x v="34"/>
    <n v="224294.39"/>
    <x v="0"/>
    <n v="91.45"/>
    <n v="3.0009999999999999"/>
    <n v="126.2346"/>
    <n v="9.2650000000000006"/>
  </r>
  <r>
    <x v="32"/>
    <x v="35"/>
    <n v="266484.19"/>
    <x v="0"/>
    <n v="79.02"/>
    <n v="2.9239999999999999"/>
    <n v="126.2791667"/>
    <n v="9.2650000000000006"/>
  </r>
  <r>
    <x v="32"/>
    <x v="36"/>
    <n v="251732.92"/>
    <x v="0"/>
    <n v="80.489999999999995"/>
    <n v="3.08"/>
    <n v="126.32667739999999"/>
    <n v="9.2650000000000006"/>
  </r>
  <r>
    <x v="32"/>
    <x v="37"/>
    <n v="234175.92"/>
    <x v="0"/>
    <n v="74.2"/>
    <n v="3.0139999999999998"/>
    <n v="126.3815484"/>
    <n v="9.2650000000000006"/>
  </r>
  <r>
    <x v="32"/>
    <x v="38"/>
    <n v="213538.32"/>
    <x v="0"/>
    <n v="71.34"/>
    <n v="3.13"/>
    <n v="126.43641940000001"/>
    <n v="9.2650000000000006"/>
  </r>
  <r>
    <x v="32"/>
    <x v="39"/>
    <n v="246124.61"/>
    <x v="0"/>
    <n v="74.23"/>
    <n v="3.0089999999999999"/>
    <n v="126.4912903"/>
    <n v="9.2650000000000006"/>
  </r>
  <r>
    <x v="32"/>
    <x v="40"/>
    <n v="272803.94"/>
    <x v="0"/>
    <n v="65.209999999999994"/>
    <n v="3.13"/>
    <n v="126.54616129999999"/>
    <n v="9.2650000000000006"/>
  </r>
  <r>
    <x v="32"/>
    <x v="41"/>
    <n v="224639.76"/>
    <x v="0"/>
    <n v="61.95"/>
    <n v="3.0470000000000002"/>
    <n v="126.60720000000001"/>
    <n v="9.2650000000000006"/>
  </r>
  <r>
    <x v="32"/>
    <x v="42"/>
    <n v="240044.57"/>
    <x v="1"/>
    <n v="56.87"/>
    <n v="3.1619999999999999"/>
    <n v="126.66926669999999"/>
    <n v="9.2650000000000006"/>
  </r>
  <r>
    <x v="32"/>
    <x v="43"/>
    <n v="209986.25"/>
    <x v="0"/>
    <n v="52.82"/>
    <n v="3.0409999999999999"/>
    <n v="126.7313333"/>
    <n v="9.2650000000000006"/>
  </r>
  <r>
    <x v="32"/>
    <x v="44"/>
    <n v="253050.1"/>
    <x v="0"/>
    <n v="60.72"/>
    <n v="3.0910000000000002"/>
    <n v="126.79340000000001"/>
    <n v="9.2650000000000006"/>
  </r>
  <r>
    <x v="32"/>
    <x v="45"/>
    <n v="238875.26"/>
    <x v="0"/>
    <n v="61.12"/>
    <n v="3.125"/>
    <n v="126.8794839"/>
    <n v="9.2650000000000006"/>
  </r>
  <r>
    <x v="32"/>
    <x v="46"/>
    <n v="249246.8"/>
    <x v="0"/>
    <n v="60.43"/>
    <n v="3.2360000000000002"/>
    <n v="126.9835806"/>
    <n v="9.2650000000000006"/>
  </r>
  <r>
    <x v="32"/>
    <x v="47"/>
    <n v="219804.85"/>
    <x v="1"/>
    <n v="52.91"/>
    <n v="3.1480000000000001"/>
    <n v="127.0876774"/>
    <n v="9.2650000000000006"/>
  </r>
  <r>
    <x v="32"/>
    <x v="48"/>
    <n v="243948.82"/>
    <x v="0"/>
    <n v="46.25"/>
    <n v="3.2869999999999999"/>
    <n v="127.1917742"/>
    <n v="8.9510000000000005"/>
  </r>
  <r>
    <x v="32"/>
    <x v="49"/>
    <n v="259527.75"/>
    <x v="0"/>
    <n v="53.63"/>
    <n v="3.3119999999999998"/>
    <n v="127.30093549999999"/>
    <n v="8.9510000000000005"/>
  </r>
  <r>
    <x v="32"/>
    <x v="50"/>
    <n v="244856.44"/>
    <x v="0"/>
    <n v="59.46"/>
    <n v="3.3359999999999999"/>
    <n v="127.4404839"/>
    <n v="8.9510000000000005"/>
  </r>
  <r>
    <x v="32"/>
    <x v="51"/>
    <n v="231155.9"/>
    <x v="0"/>
    <n v="56.62"/>
    <n v="3.2309999999999999"/>
    <n v="127.5800323"/>
    <n v="8.9510000000000005"/>
  </r>
  <r>
    <x v="32"/>
    <x v="52"/>
    <n v="234218.03"/>
    <x v="0"/>
    <n v="49.26"/>
    <n v="3.3479999999999999"/>
    <n v="127.7195806"/>
    <n v="8.9510000000000005"/>
  </r>
  <r>
    <x v="32"/>
    <x v="53"/>
    <n v="276198.74"/>
    <x v="1"/>
    <n v="53.35"/>
    <n v="3.3809999999999998"/>
    <n v="127.859129"/>
    <n v="8.9510000000000005"/>
  </r>
  <r>
    <x v="32"/>
    <x v="54"/>
    <n v="252349.6"/>
    <x v="0"/>
    <n v="62.03"/>
    <n v="3.43"/>
    <n v="127.99525"/>
    <n v="8.9510000000000005"/>
  </r>
  <r>
    <x v="32"/>
    <x v="55"/>
    <n v="242901.21"/>
    <x v="0"/>
    <n v="54.89"/>
    <n v="3.3980000000000001"/>
    <n v="128.13"/>
    <n v="8.9510000000000005"/>
  </r>
  <r>
    <x v="32"/>
    <x v="56"/>
    <n v="245435.8"/>
    <x v="0"/>
    <n v="59.51"/>
    <n v="3.6739999999999999"/>
    <n v="128.26474999999999"/>
    <n v="8.9510000000000005"/>
  </r>
  <r>
    <x v="32"/>
    <x v="57"/>
    <n v="270921.44"/>
    <x v="0"/>
    <n v="66.510000000000005"/>
    <n v="3.63"/>
    <n v="128.39949999999999"/>
    <n v="8.9510000000000005"/>
  </r>
  <r>
    <x v="32"/>
    <x v="58"/>
    <n v="247234.47"/>
    <x v="0"/>
    <n v="72.72"/>
    <n v="3.8919999999999999"/>
    <n v="128.5121935"/>
    <n v="8.9510000000000005"/>
  </r>
  <r>
    <x v="32"/>
    <x v="59"/>
    <n v="238084.08"/>
    <x v="0"/>
    <n v="63.34"/>
    <n v="3.7160000000000002"/>
    <n v="128.61606449999999"/>
    <n v="8.9510000000000005"/>
  </r>
  <r>
    <x v="32"/>
    <x v="60"/>
    <n v="232769.09"/>
    <x v="0"/>
    <n v="71.41"/>
    <n v="3.7719999999999998"/>
    <n v="128.71993549999999"/>
    <n v="8.6869999999999994"/>
  </r>
  <r>
    <x v="32"/>
    <x v="61"/>
    <n v="271924.73"/>
    <x v="0"/>
    <n v="75.11"/>
    <n v="3.8180000000000001"/>
    <n v="128.82380649999999"/>
    <n v="8.6869999999999994"/>
  </r>
  <r>
    <x v="32"/>
    <x v="62"/>
    <n v="275749.56"/>
    <x v="0"/>
    <n v="64.64"/>
    <n v="4.0890000000000004"/>
    <n v="128.9107333"/>
    <n v="8.6869999999999994"/>
  </r>
  <r>
    <x v="32"/>
    <x v="63"/>
    <n v="248603.3"/>
    <x v="0"/>
    <n v="79.459999999999994"/>
    <n v="3.9169999999999998"/>
    <n v="128.95529999999999"/>
    <n v="8.6869999999999994"/>
  </r>
  <r>
    <x v="32"/>
    <x v="64"/>
    <n v="248561.86"/>
    <x v="0"/>
    <n v="77.44"/>
    <n v="4.1509999999999998"/>
    <n v="128.99986670000001"/>
    <n v="8.6869999999999994"/>
  </r>
  <r>
    <x v="32"/>
    <x v="65"/>
    <n v="257031.19"/>
    <x v="0"/>
    <n v="77.92"/>
    <n v="4.1929999999999996"/>
    <n v="129.04443330000001"/>
    <n v="8.6869999999999994"/>
  </r>
  <r>
    <x v="32"/>
    <x v="66"/>
    <n v="279466.87"/>
    <x v="0"/>
    <n v="78.239999999999995"/>
    <n v="4.202"/>
    <n v="129.089"/>
    <n v="8.6869999999999994"/>
  </r>
  <r>
    <x v="32"/>
    <x v="67"/>
    <n v="239206.26"/>
    <x v="0"/>
    <n v="76.069999999999993"/>
    <n v="3.99"/>
    <n v="129.07567739999999"/>
    <n v="8.6869999999999994"/>
  </r>
  <r>
    <x v="32"/>
    <x v="68"/>
    <n v="239431.85"/>
    <x v="0"/>
    <n v="82.32"/>
    <n v="3.9329999999999998"/>
    <n v="129.06235480000001"/>
    <n v="8.6869999999999994"/>
  </r>
  <r>
    <x v="32"/>
    <x v="69"/>
    <n v="243477.03"/>
    <x v="0"/>
    <n v="82.93"/>
    <n v="3.8929999999999998"/>
    <n v="129.04903229999999"/>
    <n v="8.6869999999999994"/>
  </r>
  <r>
    <x v="32"/>
    <x v="70"/>
    <n v="258427.39"/>
    <x v="0"/>
    <n v="87.02"/>
    <n v="3.9809999999999999"/>
    <n v="129.03570970000001"/>
    <n v="8.6869999999999994"/>
  </r>
  <r>
    <x v="32"/>
    <x v="71"/>
    <n v="238172.66"/>
    <x v="0"/>
    <n v="91.11"/>
    <n v="3.9350000000000001"/>
    <n v="129.04320000000001"/>
    <n v="8.6869999999999994"/>
  </r>
  <r>
    <x v="32"/>
    <x v="72"/>
    <n v="238433.53"/>
    <x v="0"/>
    <n v="94.11"/>
    <n v="3.8069999999999999"/>
    <n v="129.06630000000001"/>
    <n v="8.6869999999999994"/>
  </r>
  <r>
    <x v="32"/>
    <x v="73"/>
    <n v="226702.36"/>
    <x v="0"/>
    <n v="98.43"/>
    <n v="3.8420000000000001"/>
    <n v="129.08940000000001"/>
    <n v="8.4420000000000002"/>
  </r>
  <r>
    <x v="32"/>
    <x v="74"/>
    <n v="262717.71000000002"/>
    <x v="0"/>
    <n v="96.44"/>
    <n v="3.7930000000000001"/>
    <n v="129.11250000000001"/>
    <n v="8.4420000000000002"/>
  </r>
  <r>
    <x v="32"/>
    <x v="75"/>
    <n v="265003.46999999997"/>
    <x v="0"/>
    <n v="92.83"/>
    <n v="3.7789999999999999"/>
    <n v="129.13383870000001"/>
    <n v="8.4420000000000002"/>
  </r>
  <r>
    <x v="32"/>
    <x v="76"/>
    <n v="238915.05"/>
    <x v="0"/>
    <n v="97.17"/>
    <n v="3.6970000000000001"/>
    <n v="129.1507742"/>
    <n v="8.4420000000000002"/>
  </r>
  <r>
    <x v="32"/>
    <x v="77"/>
    <n v="224806.96"/>
    <x v="0"/>
    <n v="95.28"/>
    <n v="3.694"/>
    <n v="129.16770969999999"/>
    <n v="8.4420000000000002"/>
  </r>
  <r>
    <x v="32"/>
    <x v="78"/>
    <n v="242456.39"/>
    <x v="0"/>
    <n v="96.93"/>
    <n v="3.8029999999999999"/>
    <n v="129.18464520000001"/>
    <n v="8.4420000000000002"/>
  </r>
  <r>
    <x v="32"/>
    <x v="79"/>
    <n v="274721.84999999998"/>
    <x v="0"/>
    <n v="96"/>
    <n v="3.794"/>
    <n v="129.2015806"/>
    <n v="8.4420000000000002"/>
  </r>
  <r>
    <x v="32"/>
    <x v="80"/>
    <n v="242771.37"/>
    <x v="0"/>
    <n v="95.89"/>
    <n v="3.7429999999999999"/>
    <n v="129.24058059999999"/>
    <n v="8.4420000000000002"/>
  </r>
  <r>
    <x v="32"/>
    <x v="81"/>
    <n v="237095.82"/>
    <x v="0"/>
    <n v="99.66"/>
    <n v="3.6629999999999998"/>
    <n v="129.28325810000001"/>
    <n v="8.4420000000000002"/>
  </r>
  <r>
    <x v="32"/>
    <x v="82"/>
    <n v="239198.36"/>
    <x v="0"/>
    <n v="99.2"/>
    <n v="3.798"/>
    <n v="129.32593550000001"/>
    <n v="8.4420000000000002"/>
  </r>
  <r>
    <x v="32"/>
    <x v="83"/>
    <n v="281842.28000000003"/>
    <x v="1"/>
    <n v="96.22"/>
    <n v="3.7709999999999999"/>
    <n v="129.36861289999999"/>
    <n v="8.4420000000000002"/>
  </r>
  <r>
    <x v="32"/>
    <x v="84"/>
    <n v="262407.57"/>
    <x v="0"/>
    <n v="85.79"/>
    <n v="3.7839999999999998"/>
    <n v="129.4306"/>
    <n v="8.4420000000000002"/>
  </r>
  <r>
    <x v="32"/>
    <x v="85"/>
    <n v="234793.12"/>
    <x v="0"/>
    <n v="88.93"/>
    <n v="3.7890000000000001"/>
    <n v="129.51833329999999"/>
    <n v="8.4420000000000002"/>
  </r>
  <r>
    <x v="32"/>
    <x v="86"/>
    <n v="229731.98"/>
    <x v="0"/>
    <n v="89.1"/>
    <n v="3.8769999999999998"/>
    <n v="129.60606670000001"/>
    <n v="8.4420000000000002"/>
  </r>
  <r>
    <x v="32"/>
    <x v="87"/>
    <n v="262159.13"/>
    <x v="0"/>
    <n v="81.16"/>
    <n v="3.827"/>
    <n v="129.69380000000001"/>
    <n v="8.01"/>
  </r>
  <r>
    <x v="32"/>
    <x v="88"/>
    <n v="272487.33"/>
    <x v="0"/>
    <n v="76.489999999999995"/>
    <n v="3.698"/>
    <n v="129.77064519999999"/>
    <n v="8.01"/>
  </r>
  <r>
    <x v="32"/>
    <x v="89"/>
    <n v="233543.08"/>
    <x v="0"/>
    <n v="81.739999999999995"/>
    <n v="3.8420000000000001"/>
    <n v="129.78216130000001"/>
    <n v="8.01"/>
  </r>
  <r>
    <x v="32"/>
    <x v="90"/>
    <n v="231319.96"/>
    <x v="0"/>
    <n v="76.73"/>
    <n v="3.843"/>
    <n v="129.79367740000001"/>
    <n v="8.01"/>
  </r>
  <r>
    <x v="32"/>
    <x v="91"/>
    <n v="236157.12"/>
    <x v="0"/>
    <n v="71.91"/>
    <n v="3.8279999999999998"/>
    <n v="129.8051935"/>
    <n v="8.01"/>
  </r>
  <r>
    <x v="32"/>
    <x v="92"/>
    <n v="271961.03999999998"/>
    <x v="0"/>
    <n v="58.75"/>
    <n v="3.677"/>
    <n v="129.81670969999999"/>
    <n v="8.01"/>
  </r>
  <r>
    <x v="32"/>
    <x v="93"/>
    <n v="251294.5"/>
    <x v="0"/>
    <n v="63.35"/>
    <n v="3.669"/>
    <n v="129.8268333"/>
    <n v="8.01"/>
  </r>
  <r>
    <x v="32"/>
    <x v="94"/>
    <n v="255996.47"/>
    <x v="1"/>
    <n v="62.35"/>
    <n v="3.76"/>
    <n v="129.8364"/>
    <n v="8.01"/>
  </r>
  <r>
    <x v="32"/>
    <x v="95"/>
    <n v="220060.35"/>
    <x v="0"/>
    <n v="59.12"/>
    <n v="3.7010000000000001"/>
    <n v="129.84596669999999"/>
    <n v="8.01"/>
  </r>
  <r>
    <x v="32"/>
    <x v="96"/>
    <n v="270373.05"/>
    <x v="0"/>
    <n v="47.7"/>
    <n v="3.6440000000000001"/>
    <n v="129.85553329999999"/>
    <n v="8.01"/>
  </r>
  <r>
    <x v="32"/>
    <x v="97"/>
    <n v="259638.35"/>
    <x v="0"/>
    <n v="53.18"/>
    <n v="3.4889999999999999"/>
    <n v="129.8980645"/>
    <n v="8.01"/>
  </r>
  <r>
    <x v="32"/>
    <x v="98"/>
    <n v="256235.19"/>
    <x v="0"/>
    <n v="53.39"/>
    <n v="3.5409999999999999"/>
    <n v="129.98454839999999"/>
    <n v="8.01"/>
  </r>
  <r>
    <x v="32"/>
    <x v="99"/>
    <n v="215359.21"/>
    <x v="1"/>
    <n v="51.6"/>
    <n v="3.4279999999999999"/>
    <n v="130.07103230000001"/>
    <n v="8.01"/>
  </r>
  <r>
    <x v="32"/>
    <x v="100"/>
    <n v="267058.08"/>
    <x v="0"/>
    <n v="60.92"/>
    <n v="3.4430000000000001"/>
    <n v="130.15751610000001"/>
    <n v="7.6029999999999998"/>
  </r>
  <r>
    <x v="32"/>
    <x v="101"/>
    <n v="279447.21999999997"/>
    <x v="0"/>
    <n v="54.61"/>
    <n v="3.4769999999999999"/>
    <n v="130.244"/>
    <n v="7.6029999999999998"/>
  </r>
  <r>
    <x v="32"/>
    <x v="102"/>
    <n v="244899.20000000001"/>
    <x v="0"/>
    <n v="55.99"/>
    <n v="3.66"/>
    <n v="130.27922580000001"/>
    <n v="7.6029999999999998"/>
  </r>
  <r>
    <x v="32"/>
    <x v="103"/>
    <n v="236920.49"/>
    <x v="0"/>
    <n v="56.33"/>
    <n v="3.6749999999999998"/>
    <n v="130.31445160000001"/>
    <n v="7.6029999999999998"/>
  </r>
  <r>
    <x v="32"/>
    <x v="104"/>
    <n v="256091.32"/>
    <x v="0"/>
    <n v="59.53"/>
    <n v="3.5430000000000001"/>
    <n v="130.34967739999999"/>
    <n v="7.6029999999999998"/>
  </r>
  <r>
    <x v="32"/>
    <x v="105"/>
    <n v="282552.58"/>
    <x v="1"/>
    <n v="59.94"/>
    <n v="3.722"/>
    <n v="130.3849032"/>
    <n v="7.6029999999999998"/>
  </r>
  <r>
    <x v="32"/>
    <x v="106"/>
    <n v="266300.98"/>
    <x v="0"/>
    <n v="57.8"/>
    <n v="3.7810000000000001"/>
    <n v="130.45462069999999"/>
    <n v="7.6029999999999998"/>
  </r>
  <r>
    <x v="32"/>
    <x v="107"/>
    <n v="242526.7"/>
    <x v="0"/>
    <n v="59.41"/>
    <n v="3.95"/>
    <n v="130.55020690000001"/>
    <n v="7.6029999999999998"/>
  </r>
  <r>
    <x v="32"/>
    <x v="108"/>
    <n v="248051.53"/>
    <x v="0"/>
    <n v="60.91"/>
    <n v="3.8820000000000001"/>
    <n v="130.64579309999999"/>
    <n v="7.6029999999999998"/>
  </r>
  <r>
    <x v="32"/>
    <x v="109"/>
    <n v="287346.28999999998"/>
    <x v="0"/>
    <n v="62.2"/>
    <n v="3.9630000000000001"/>
    <n v="130.74137930000001"/>
    <n v="7.6029999999999998"/>
  </r>
  <r>
    <x v="32"/>
    <x v="110"/>
    <n v="278067.73"/>
    <x v="0"/>
    <n v="65.989999999999995"/>
    <n v="4.2729999999999997"/>
    <n v="130.82619349999999"/>
    <n v="7.6029999999999998"/>
  </r>
  <r>
    <x v="32"/>
    <x v="111"/>
    <n v="246970.97"/>
    <x v="0"/>
    <n v="60.82"/>
    <n v="4.2880000000000003"/>
    <n v="130.89664519999999"/>
    <n v="7.6029999999999998"/>
  </r>
  <r>
    <x v="32"/>
    <x v="112"/>
    <n v="251327.67"/>
    <x v="0"/>
    <n v="71.34"/>
    <n v="4.2939999999999996"/>
    <n v="130.96709680000001"/>
    <n v="7.6029999999999998"/>
  </r>
  <r>
    <x v="32"/>
    <x v="113"/>
    <n v="275911.96999999997"/>
    <x v="0"/>
    <n v="70.75"/>
    <n v="4.282"/>
    <n v="131.03754839999999"/>
    <n v="7.3959999999999999"/>
  </r>
  <r>
    <x v="32"/>
    <x v="114"/>
    <n v="312698.67"/>
    <x v="0"/>
    <n v="73.17"/>
    <n v="4.2539999999999996"/>
    <n v="131.108"/>
    <n v="7.3959999999999999"/>
  </r>
  <r>
    <x v="32"/>
    <x v="115"/>
    <n v="261837.2"/>
    <x v="0"/>
    <n v="72.94"/>
    <n v="4.1109999999999998"/>
    <n v="131.11733330000001"/>
    <n v="7.3959999999999999"/>
  </r>
  <r>
    <x v="32"/>
    <x v="116"/>
    <n v="249798.75"/>
    <x v="0"/>
    <n v="83.07"/>
    <n v="4.0880000000000001"/>
    <n v="131.12666669999999"/>
    <n v="7.3959999999999999"/>
  </r>
  <r>
    <x v="32"/>
    <x v="117"/>
    <n v="270497.51"/>
    <x v="0"/>
    <n v="82.43"/>
    <n v="4.0579999999999998"/>
    <n v="131.136"/>
    <n v="7.3959999999999999"/>
  </r>
  <r>
    <x v="32"/>
    <x v="118"/>
    <n v="295841.84000000003"/>
    <x v="0"/>
    <n v="81.02"/>
    <n v="4.1859999999999999"/>
    <n v="131.1453333"/>
    <n v="7.3959999999999999"/>
  </r>
  <r>
    <x v="32"/>
    <x v="119"/>
    <n v="276899.95"/>
    <x v="0"/>
    <n v="89.81"/>
    <n v="4.3079999999999998"/>
    <n v="131.09832259999999"/>
    <n v="7.3959999999999999"/>
  </r>
  <r>
    <x v="32"/>
    <x v="120"/>
    <n v="261851.74"/>
    <x v="0"/>
    <n v="88.89"/>
    <n v="4.1269999999999998"/>
    <n v="131.02877419999999"/>
    <n v="7.3959999999999999"/>
  </r>
  <r>
    <x v="32"/>
    <x v="121"/>
    <n v="261131.09"/>
    <x v="0"/>
    <n v="83.57"/>
    <n v="4.2770000000000001"/>
    <n v="130.95922580000001"/>
    <n v="7.3959999999999999"/>
  </r>
  <r>
    <x v="32"/>
    <x v="122"/>
    <n v="286082.76"/>
    <x v="0"/>
    <n v="90.94"/>
    <n v="4.1029999999999998"/>
    <n v="130.88967740000001"/>
    <n v="7.3959999999999999"/>
  </r>
  <r>
    <x v="32"/>
    <x v="123"/>
    <n v="290444.31"/>
    <x v="0"/>
    <n v="92.44"/>
    <n v="4.1440000000000001"/>
    <n v="130.82953330000001"/>
    <n v="7.3959999999999999"/>
  </r>
  <r>
    <x v="32"/>
    <x v="124"/>
    <n v="261666.29"/>
    <x v="0"/>
    <n v="95.75"/>
    <n v="4.0140000000000002"/>
    <n v="130.7929"/>
    <n v="7.3959999999999999"/>
  </r>
  <r>
    <x v="32"/>
    <x v="125"/>
    <n v="244338.31"/>
    <x v="0"/>
    <n v="98.15"/>
    <n v="3.875"/>
    <n v="130.7562667"/>
    <n v="7.3959999999999999"/>
  </r>
  <r>
    <x v="32"/>
    <x v="126"/>
    <n v="273690.37"/>
    <x v="0"/>
    <n v="93.21"/>
    <n v="3.6659999999999999"/>
    <n v="130.7196333"/>
    <n v="7.1470000000000002"/>
  </r>
  <r>
    <x v="32"/>
    <x v="127"/>
    <n v="287033.64"/>
    <x v="0"/>
    <n v="97.6"/>
    <n v="3.7229999999999999"/>
    <n v="130.68299999999999"/>
    <n v="7.1470000000000002"/>
  </r>
  <r>
    <x v="32"/>
    <x v="128"/>
    <n v="253205.89"/>
    <x v="0"/>
    <n v="91.49"/>
    <n v="3.589"/>
    <n v="130.70129030000001"/>
    <n v="7.1470000000000002"/>
  </r>
  <r>
    <x v="32"/>
    <x v="129"/>
    <n v="249134.32"/>
    <x v="0"/>
    <n v="93.95"/>
    <n v="3.7690000000000001"/>
    <n v="130.7195806"/>
    <n v="7.1470000000000002"/>
  </r>
  <r>
    <x v="32"/>
    <x v="130"/>
    <n v="258533.12"/>
    <x v="0"/>
    <n v="92.13"/>
    <n v="3.5950000000000002"/>
    <n v="130.73787100000001"/>
    <n v="7.1470000000000002"/>
  </r>
  <r>
    <x v="32"/>
    <x v="131"/>
    <n v="297753.49"/>
    <x v="0"/>
    <n v="100.07"/>
    <n v="3.8109999999999999"/>
    <n v="130.7561613"/>
    <n v="7.1470000000000002"/>
  </r>
  <r>
    <x v="32"/>
    <x v="132"/>
    <n v="270097.76"/>
    <x v="0"/>
    <n v="96.79"/>
    <n v="4.0019999999999998"/>
    <n v="130.79096770000001"/>
    <n v="7.1470000000000002"/>
  </r>
  <r>
    <x v="32"/>
    <x v="133"/>
    <n v="247672.56"/>
    <x v="0"/>
    <n v="89.62"/>
    <n v="4.0549999999999997"/>
    <n v="130.8381613"/>
    <n v="7.1470000000000002"/>
  </r>
  <r>
    <x v="32"/>
    <x v="134"/>
    <n v="237129.81"/>
    <x v="0"/>
    <n v="94.55"/>
    <n v="3.8860000000000001"/>
    <n v="130.88535479999999"/>
    <n v="7.1470000000000002"/>
  </r>
  <r>
    <x v="32"/>
    <x v="135"/>
    <n v="286428.78000000003"/>
    <x v="1"/>
    <n v="92.02"/>
    <n v="4.1239999999999997"/>
    <n v="130.9325484"/>
    <n v="7.1470000000000002"/>
  </r>
  <r>
    <x v="32"/>
    <x v="136"/>
    <n v="277417.53000000003"/>
    <x v="0"/>
    <n v="83.4"/>
    <n v="3.9660000000000002"/>
    <n v="130.97766669999999"/>
    <n v="7.1470000000000002"/>
  </r>
  <r>
    <x v="32"/>
    <x v="137"/>
    <n v="252709.58"/>
    <x v="0"/>
    <n v="86.53"/>
    <n v="4.125"/>
    <n v="131.01033330000001"/>
    <n v="7.1470000000000002"/>
  </r>
  <r>
    <x v="32"/>
    <x v="138"/>
    <n v="242813.51"/>
    <x v="0"/>
    <n v="86.42"/>
    <n v="3.9660000000000002"/>
    <n v="131.04300000000001"/>
    <n v="7.1470000000000002"/>
  </r>
  <r>
    <x v="32"/>
    <x v="139"/>
    <n v="265444.90000000002"/>
    <x v="0"/>
    <n v="85.18"/>
    <n v="4.1319999999999997"/>
    <n v="131.0756667"/>
    <n v="6.8949999999999996"/>
  </r>
  <r>
    <x v="32"/>
    <x v="140"/>
    <n v="291781.15000000002"/>
    <x v="0"/>
    <n v="79.64"/>
    <n v="4.468"/>
    <n v="131.1083333"/>
    <n v="6.8949999999999996"/>
  </r>
  <r>
    <x v="32"/>
    <x v="141"/>
    <n v="254412.34"/>
    <x v="0"/>
    <n v="75.55"/>
    <n v="4.4489999999999998"/>
    <n v="131.14996769999999"/>
    <n v="6.8949999999999996"/>
  </r>
  <r>
    <x v="32"/>
    <x v="142"/>
    <n v="253731.13"/>
    <x v="0"/>
    <n v="73.7"/>
    <n v="4.3010000000000002"/>
    <n v="131.19309680000001"/>
    <n v="6.8949999999999996"/>
  </r>
  <r>
    <x v="33"/>
    <x v="0"/>
    <n v="956228.96"/>
    <x v="0"/>
    <n v="35.44"/>
    <n v="2.5979999999999999"/>
    <n v="126.4420645"/>
    <n v="9.5210000000000008"/>
  </r>
  <r>
    <x v="33"/>
    <x v="1"/>
    <n v="994610.99"/>
    <x v="1"/>
    <n v="36.130000000000003"/>
    <n v="2.573"/>
    <n v="126.49625810000001"/>
    <n v="9.5210000000000008"/>
  </r>
  <r>
    <x v="33"/>
    <x v="2"/>
    <n v="983963.07"/>
    <x v="0"/>
    <n v="38.36"/>
    <n v="2.54"/>
    <n v="126.5262857"/>
    <n v="9.5210000000000008"/>
  </r>
  <r>
    <x v="33"/>
    <x v="3"/>
    <n v="905756.13"/>
    <x v="0"/>
    <n v="37.28"/>
    <n v="2.59"/>
    <n v="126.5522857"/>
    <n v="9.5210000000000008"/>
  </r>
  <r>
    <x v="33"/>
    <x v="4"/>
    <n v="918295.79"/>
    <x v="0"/>
    <n v="42.65"/>
    <n v="2.6539999999999999"/>
    <n v="126.5782857"/>
    <n v="9.5210000000000008"/>
  </r>
  <r>
    <x v="33"/>
    <x v="5"/>
    <n v="921247.88"/>
    <x v="0"/>
    <n v="42.26"/>
    <n v="2.7040000000000002"/>
    <n v="126.60428570000001"/>
    <n v="9.5210000000000008"/>
  </r>
  <r>
    <x v="33"/>
    <x v="6"/>
    <n v="892070.82"/>
    <x v="0"/>
    <n v="45.86"/>
    <n v="2.7429999999999999"/>
    <n v="126.6066452"/>
    <n v="9.5210000000000008"/>
  </r>
  <r>
    <x v="33"/>
    <x v="7"/>
    <n v="880742.35"/>
    <x v="0"/>
    <n v="42.91"/>
    <n v="2.7519999999999998"/>
    <n v="126.6050645"/>
    <n v="9.5210000000000008"/>
  </r>
  <r>
    <x v="33"/>
    <x v="8"/>
    <n v="979428.66"/>
    <x v="0"/>
    <n v="50.07"/>
    <n v="2.74"/>
    <n v="126.6034839"/>
    <n v="9.593"/>
  </r>
  <r>
    <x v="33"/>
    <x v="9"/>
    <n v="950684.2"/>
    <x v="0"/>
    <n v="51.26"/>
    <n v="2.7730000000000001"/>
    <n v="126.6019032"/>
    <n v="9.593"/>
  </r>
  <r>
    <x v="33"/>
    <x v="10"/>
    <n v="923344.54"/>
    <x v="0"/>
    <n v="59.18"/>
    <n v="2.81"/>
    <n v="126.5621"/>
    <n v="9.593"/>
  </r>
  <r>
    <x v="33"/>
    <x v="11"/>
    <n v="910240.68"/>
    <x v="0"/>
    <n v="55.04"/>
    <n v="2.8050000000000002"/>
    <n v="126.4713333"/>
    <n v="9.593"/>
  </r>
  <r>
    <x v="33"/>
    <x v="12"/>
    <n v="859922.19"/>
    <x v="0"/>
    <n v="56.58"/>
    <n v="2.7869999999999999"/>
    <n v="126.3805667"/>
    <n v="9.593"/>
  </r>
  <r>
    <x v="33"/>
    <x v="13"/>
    <n v="953495.48"/>
    <x v="0"/>
    <n v="57.39"/>
    <n v="2.8359999999999999"/>
    <n v="126.2898"/>
    <n v="9.593"/>
  </r>
  <r>
    <x v="33"/>
    <x v="14"/>
    <n v="933924.44"/>
    <x v="0"/>
    <n v="60.74"/>
    <n v="2.8450000000000002"/>
    <n v="126.2085484"/>
    <n v="9.593"/>
  </r>
  <r>
    <x v="33"/>
    <x v="15"/>
    <n v="913616.32"/>
    <x v="0"/>
    <n v="63.99"/>
    <n v="2.82"/>
    <n v="126.1843871"/>
    <n v="9.593"/>
  </r>
  <r>
    <x v="33"/>
    <x v="16"/>
    <n v="942868.38"/>
    <x v="0"/>
    <n v="68.680000000000007"/>
    <n v="2.7559999999999998"/>
    <n v="126.16022580000001"/>
    <n v="9.593"/>
  </r>
  <r>
    <x v="33"/>
    <x v="17"/>
    <n v="966187.51"/>
    <x v="0"/>
    <n v="72.17"/>
    <n v="2.7010000000000001"/>
    <n v="126.1360645"/>
    <n v="9.593"/>
  </r>
  <r>
    <x v="33"/>
    <x v="18"/>
    <n v="954681.56"/>
    <x v="0"/>
    <n v="80.84"/>
    <n v="2.6680000000000001"/>
    <n v="126.1119032"/>
    <n v="9.593"/>
  </r>
  <r>
    <x v="33"/>
    <x v="19"/>
    <n v="941612.04"/>
    <x v="0"/>
    <n v="73.48"/>
    <n v="2.6349999999999998"/>
    <n v="126.114"/>
    <n v="9.593"/>
  </r>
  <r>
    <x v="33"/>
    <x v="20"/>
    <n v="895800.07"/>
    <x v="0"/>
    <n v="78.47"/>
    <n v="2.6539999999999999"/>
    <n v="126.1266"/>
    <n v="9.593"/>
  </r>
  <r>
    <x v="33"/>
    <x v="21"/>
    <n v="919229.36"/>
    <x v="0"/>
    <n v="73.66"/>
    <n v="2.6680000000000001"/>
    <n v="126.1392"/>
    <n v="9.8160000000000007"/>
  </r>
  <r>
    <x v="33"/>
    <x v="22"/>
    <n v="911210.81"/>
    <x v="0"/>
    <n v="75"/>
    <n v="2.637"/>
    <n v="126.15179999999999"/>
    <n v="9.8160000000000007"/>
  </r>
  <r>
    <x v="33"/>
    <x v="23"/>
    <n v="930269.79"/>
    <x v="0"/>
    <n v="78.53"/>
    <n v="2.621"/>
    <n v="126.1498065"/>
    <n v="9.8160000000000007"/>
  </r>
  <r>
    <x v="33"/>
    <x v="24"/>
    <n v="902050.95"/>
    <x v="0"/>
    <n v="79.58"/>
    <n v="2.6120000000000001"/>
    <n v="126.1283548"/>
    <n v="9.8160000000000007"/>
  </r>
  <r>
    <x v="33"/>
    <x v="25"/>
    <n v="875976.83"/>
    <x v="0"/>
    <n v="72.260000000000005"/>
    <n v="2.65"/>
    <n v="126.1069032"/>
    <n v="9.8160000000000007"/>
  </r>
  <r>
    <x v="33"/>
    <x v="26"/>
    <n v="987435.35"/>
    <x v="0"/>
    <n v="73.8"/>
    <n v="2.64"/>
    <n v="126.0854516"/>
    <n v="9.8160000000000007"/>
  </r>
  <r>
    <x v="33"/>
    <x v="27"/>
    <n v="951208.65"/>
    <x v="0"/>
    <n v="76.72"/>
    <n v="2.698"/>
    <n v="126.06399999999999"/>
    <n v="9.8160000000000007"/>
  </r>
  <r>
    <x v="33"/>
    <x v="28"/>
    <n v="985152.94"/>
    <x v="0"/>
    <n v="76.45"/>
    <n v="2.6709999999999998"/>
    <n v="126.0766452"/>
    <n v="9.8160000000000007"/>
  </r>
  <r>
    <x v="33"/>
    <x v="29"/>
    <n v="855421.39"/>
    <x v="0"/>
    <n v="72.87"/>
    <n v="2.621"/>
    <n v="126.0892903"/>
    <n v="9.8160000000000007"/>
  </r>
  <r>
    <x v="33"/>
    <x v="30"/>
    <n v="964356.74"/>
    <x v="0"/>
    <n v="72.59"/>
    <n v="2.5840000000000001"/>
    <n v="126.1019355"/>
    <n v="9.8160000000000007"/>
  </r>
  <r>
    <x v="33"/>
    <x v="31"/>
    <n v="932240.96"/>
    <x v="1"/>
    <n v="72.61"/>
    <n v="2.5739999999999998"/>
    <n v="126.1145806"/>
    <n v="9.8160000000000007"/>
  </r>
  <r>
    <x v="33"/>
    <x v="32"/>
    <n v="885445.47"/>
    <x v="0"/>
    <n v="70.709999999999994"/>
    <n v="2.5939999999999999"/>
    <n v="126.1454667"/>
    <n v="9.8160000000000007"/>
  </r>
  <r>
    <x v="33"/>
    <x v="33"/>
    <n v="867539.07"/>
    <x v="0"/>
    <n v="69.78"/>
    <n v="2.6419999999999999"/>
    <n v="126.1900333"/>
    <n v="9.8160000000000007"/>
  </r>
  <r>
    <x v="33"/>
    <x v="34"/>
    <n v="865709.11"/>
    <x v="0"/>
    <n v="70.13"/>
    <n v="2.6190000000000002"/>
    <n v="126.2346"/>
    <n v="10.210000000000001"/>
  </r>
  <r>
    <x v="33"/>
    <x v="35"/>
    <n v="931710.67"/>
    <x v="0"/>
    <n v="65.209999999999994"/>
    <n v="2.645"/>
    <n v="126.2791667"/>
    <n v="10.210000000000001"/>
  </r>
  <r>
    <x v="33"/>
    <x v="36"/>
    <n v="888703.62"/>
    <x v="0"/>
    <n v="59.57"/>
    <n v="2.7320000000000002"/>
    <n v="126.32667739999999"/>
    <n v="10.210000000000001"/>
  </r>
  <r>
    <x v="33"/>
    <x v="37"/>
    <n v="936293.6"/>
    <x v="0"/>
    <n v="58.11"/>
    <n v="2.7360000000000002"/>
    <n v="126.3815484"/>
    <n v="10.210000000000001"/>
  </r>
  <r>
    <x v="33"/>
    <x v="38"/>
    <n v="926294.02"/>
    <x v="0"/>
    <n v="50.78"/>
    <n v="2.718"/>
    <n v="126.43641940000001"/>
    <n v="10.210000000000001"/>
  </r>
  <r>
    <x v="33"/>
    <x v="39"/>
    <n v="972292.31"/>
    <x v="0"/>
    <n v="52.43"/>
    <n v="2.6989999999999998"/>
    <n v="126.4912903"/>
    <n v="10.210000000000001"/>
  </r>
  <r>
    <x v="33"/>
    <x v="40"/>
    <n v="979730.78"/>
    <x v="0"/>
    <n v="47.2"/>
    <n v="2.7410000000000001"/>
    <n v="126.54616129999999"/>
    <n v="10.210000000000001"/>
  </r>
  <r>
    <x v="33"/>
    <x v="41"/>
    <n v="955766.33"/>
    <x v="0"/>
    <n v="40.93"/>
    <n v="2.78"/>
    <n v="126.60720000000001"/>
    <n v="10.210000000000001"/>
  </r>
  <r>
    <x v="33"/>
    <x v="42"/>
    <n v="1309476.68"/>
    <x v="1"/>
    <n v="41.13"/>
    <n v="2.7519999999999998"/>
    <n v="126.66926669999999"/>
    <n v="10.210000000000001"/>
  </r>
  <r>
    <x v="33"/>
    <x v="43"/>
    <n v="1001512.21"/>
    <x v="0"/>
    <n v="34.700000000000003"/>
    <n v="2.7269999999999999"/>
    <n v="126.7313333"/>
    <n v="10.210000000000001"/>
  </r>
  <r>
    <x v="33"/>
    <x v="44"/>
    <n v="1086661.02"/>
    <x v="0"/>
    <n v="41.93"/>
    <n v="2.86"/>
    <n v="126.79340000000001"/>
    <n v="10.210000000000001"/>
  </r>
  <r>
    <x v="33"/>
    <x v="45"/>
    <n v="1227148.1299999999"/>
    <x v="0"/>
    <n v="42.64"/>
    <n v="2.8839999999999999"/>
    <n v="126.8794839"/>
    <n v="10.210000000000001"/>
  </r>
  <r>
    <x v="33"/>
    <x v="46"/>
    <n v="1620748.25"/>
    <x v="0"/>
    <n v="42.74"/>
    <n v="2.887"/>
    <n v="126.9835806"/>
    <n v="10.210000000000001"/>
  </r>
  <r>
    <x v="33"/>
    <x v="47"/>
    <n v="902109.69"/>
    <x v="1"/>
    <n v="34.11"/>
    <n v="2.9550000000000001"/>
    <n v="127.0876774"/>
    <n v="10.210000000000001"/>
  </r>
  <r>
    <x v="33"/>
    <x v="48"/>
    <n v="900646.94"/>
    <x v="0"/>
    <n v="24.5"/>
    <n v="2.98"/>
    <n v="127.1917742"/>
    <n v="10.398"/>
  </r>
  <r>
    <x v="33"/>
    <x v="49"/>
    <n v="898610.33"/>
    <x v="0"/>
    <n v="30.75"/>
    <n v="2.992"/>
    <n v="127.30093549999999"/>
    <n v="10.398"/>
  </r>
  <r>
    <x v="33"/>
    <x v="50"/>
    <n v="891025.39"/>
    <x v="0"/>
    <n v="39.57"/>
    <n v="3.0169999999999999"/>
    <n v="127.4404839"/>
    <n v="10.398"/>
  </r>
  <r>
    <x v="33"/>
    <x v="51"/>
    <n v="836717.75"/>
    <x v="0"/>
    <n v="34.68"/>
    <n v="3.0219999999999998"/>
    <n v="127.5800323"/>
    <n v="10.398"/>
  </r>
  <r>
    <x v="33"/>
    <x v="52"/>
    <n v="971932.87"/>
    <x v="0"/>
    <n v="23.82"/>
    <n v="2.996"/>
    <n v="127.7195806"/>
    <n v="10.398"/>
  </r>
  <r>
    <x v="33"/>
    <x v="53"/>
    <n v="1015654.6"/>
    <x v="1"/>
    <n v="28.66"/>
    <n v="3.0329999999999999"/>
    <n v="127.859129"/>
    <n v="10.398"/>
  </r>
  <r>
    <x v="33"/>
    <x v="54"/>
    <n v="1062629.3"/>
    <x v="0"/>
    <n v="45.12"/>
    <n v="3.0579999999999998"/>
    <n v="127.99525"/>
    <n v="10.398"/>
  </r>
  <r>
    <x v="33"/>
    <x v="55"/>
    <n v="953331.45"/>
    <x v="0"/>
    <n v="44.57"/>
    <n v="3.0870000000000002"/>
    <n v="128.13"/>
    <n v="10.398"/>
  </r>
  <r>
    <x v="33"/>
    <x v="56"/>
    <n v="963910.81"/>
    <x v="0"/>
    <n v="46.21"/>
    <n v="3.3050000000000002"/>
    <n v="128.26474999999999"/>
    <n v="10.398"/>
  </r>
  <r>
    <x v="33"/>
    <x v="57"/>
    <n v="943951.67"/>
    <x v="0"/>
    <n v="45.87"/>
    <n v="3.4609999999999999"/>
    <n v="128.39949999999999"/>
    <n v="10.398"/>
  </r>
  <r>
    <x v="33"/>
    <x v="58"/>
    <n v="1014218.8"/>
    <x v="0"/>
    <n v="55.58"/>
    <n v="3.4950000000000001"/>
    <n v="128.5121935"/>
    <n v="10.398"/>
  </r>
  <r>
    <x v="33"/>
    <x v="59"/>
    <n v="922898.38"/>
    <x v="0"/>
    <n v="53.11"/>
    <n v="3.48"/>
    <n v="128.61606449999999"/>
    <n v="10.398"/>
  </r>
  <r>
    <x v="33"/>
    <x v="60"/>
    <n v="884233.67"/>
    <x v="0"/>
    <n v="55.46"/>
    <n v="3.5209999999999999"/>
    <n v="128.71993549999999"/>
    <n v="10.581"/>
  </r>
  <r>
    <x v="33"/>
    <x v="61"/>
    <n v="975479.83"/>
    <x v="0"/>
    <n v="58.59"/>
    <n v="3.605"/>
    <n v="128.82380649999999"/>
    <n v="10.581"/>
  </r>
  <r>
    <x v="33"/>
    <x v="62"/>
    <n v="941829"/>
    <x v="0"/>
    <n v="53.3"/>
    <n v="3.7240000000000002"/>
    <n v="128.9107333"/>
    <n v="10.581"/>
  </r>
  <r>
    <x v="33"/>
    <x v="63"/>
    <n v="1051518.45"/>
    <x v="0"/>
    <n v="63.83"/>
    <n v="3.7810000000000001"/>
    <n v="128.95529999999999"/>
    <n v="10.581"/>
  </r>
  <r>
    <x v="33"/>
    <x v="64"/>
    <n v="895973.02"/>
    <x v="0"/>
    <n v="57.73"/>
    <n v="3.7810000000000001"/>
    <n v="128.99986670000001"/>
    <n v="10.581"/>
  </r>
  <r>
    <x v="33"/>
    <x v="65"/>
    <n v="965853.58"/>
    <x v="0"/>
    <n v="54.4"/>
    <n v="3.8660000000000001"/>
    <n v="129.04443330000001"/>
    <n v="10.581"/>
  </r>
  <r>
    <x v="33"/>
    <x v="66"/>
    <n v="966232.69"/>
    <x v="0"/>
    <n v="63.05"/>
    <n v="3.8719999999999999"/>
    <n v="129.089"/>
    <n v="10.581"/>
  </r>
  <r>
    <x v="33"/>
    <x v="67"/>
    <n v="945018.83"/>
    <x v="0"/>
    <n v="61.47"/>
    <n v="3.8809999999999998"/>
    <n v="129.07567739999999"/>
    <n v="10.581"/>
  </r>
  <r>
    <x v="33"/>
    <x v="68"/>
    <n v="941311.83"/>
    <x v="0"/>
    <n v="65.989999999999995"/>
    <n v="3.7709999999999999"/>
    <n v="129.06235480000001"/>
    <n v="10.581"/>
  </r>
  <r>
    <x v="33"/>
    <x v="69"/>
    <n v="947229.24"/>
    <x v="0"/>
    <n v="74.64"/>
    <n v="3.6829999999999998"/>
    <n v="129.04903229999999"/>
    <n v="10.581"/>
  </r>
  <r>
    <x v="33"/>
    <x v="70"/>
    <n v="943912.77"/>
    <x v="0"/>
    <n v="74.569999999999993"/>
    <n v="3.64"/>
    <n v="129.03570970000001"/>
    <n v="10.581"/>
  </r>
  <r>
    <x v="33"/>
    <x v="71"/>
    <n v="968258.09"/>
    <x v="0"/>
    <n v="76.58"/>
    <n v="3.6179999999999999"/>
    <n v="129.04320000000001"/>
    <n v="10.581"/>
  </r>
  <r>
    <x v="33"/>
    <x v="72"/>
    <n v="923795.04"/>
    <x v="0"/>
    <n v="77.16"/>
    <n v="3.57"/>
    <n v="129.06630000000001"/>
    <n v="10.581"/>
  </r>
  <r>
    <x v="33"/>
    <x v="73"/>
    <n v="911106.22"/>
    <x v="0"/>
    <n v="81.96"/>
    <n v="3.504"/>
    <n v="129.08940000000001"/>
    <n v="10.641"/>
  </r>
  <r>
    <x v="33"/>
    <x v="74"/>
    <n v="926934.57"/>
    <x v="0"/>
    <n v="80.84"/>
    <n v="3.4689999999999999"/>
    <n v="129.11250000000001"/>
    <n v="10.641"/>
  </r>
  <r>
    <x v="33"/>
    <x v="75"/>
    <n v="903882.96"/>
    <x v="0"/>
    <n v="78.09"/>
    <n v="3.5630000000000002"/>
    <n v="129.13383870000001"/>
    <n v="10.641"/>
  </r>
  <r>
    <x v="33"/>
    <x v="76"/>
    <n v="913236.62"/>
    <x v="0"/>
    <n v="80.75"/>
    <n v="3.6269999999999998"/>
    <n v="129.1507742"/>
    <n v="10.641"/>
  </r>
  <r>
    <x v="33"/>
    <x v="77"/>
    <n v="851461.9"/>
    <x v="0"/>
    <n v="78.040000000000006"/>
    <n v="3.6589999999999998"/>
    <n v="129.16770969999999"/>
    <n v="10.641"/>
  </r>
  <r>
    <x v="33"/>
    <x v="78"/>
    <n v="942236.45"/>
    <x v="0"/>
    <n v="76.709999999999994"/>
    <n v="3.6619999999999999"/>
    <n v="129.18464520000001"/>
    <n v="10.641"/>
  </r>
  <r>
    <x v="33"/>
    <x v="79"/>
    <n v="956251.18"/>
    <x v="0"/>
    <n v="80.23"/>
    <n v="3.617"/>
    <n v="129.2015806"/>
    <n v="10.641"/>
  </r>
  <r>
    <x v="33"/>
    <x v="80"/>
    <n v="960418.54"/>
    <x v="0"/>
    <n v="77.08"/>
    <n v="3.55"/>
    <n v="129.24058059999999"/>
    <n v="10.641"/>
  </r>
  <r>
    <x v="33"/>
    <x v="81"/>
    <n v="871404.6"/>
    <x v="0"/>
    <n v="77.27"/>
    <n v="3.5230000000000001"/>
    <n v="129.28325810000001"/>
    <n v="10.641"/>
  </r>
  <r>
    <x v="33"/>
    <x v="82"/>
    <n v="926455.64"/>
    <x v="0"/>
    <n v="78.239999999999995"/>
    <n v="3.5329999999999999"/>
    <n v="129.32593550000001"/>
    <n v="10.641"/>
  </r>
  <r>
    <x v="33"/>
    <x v="83"/>
    <n v="930506.14"/>
    <x v="1"/>
    <n v="70.05"/>
    <n v="3.5539999999999998"/>
    <n v="129.36861289999999"/>
    <n v="10.641"/>
  </r>
  <r>
    <x v="33"/>
    <x v="84"/>
    <n v="927249.61"/>
    <x v="0"/>
    <n v="64.94"/>
    <n v="3.532"/>
    <n v="129.4306"/>
    <n v="10.641"/>
  </r>
  <r>
    <x v="33"/>
    <x v="85"/>
    <n v="902852.73"/>
    <x v="0"/>
    <n v="66.23"/>
    <n v="3.4729999999999999"/>
    <n v="129.51833329999999"/>
    <n v="10.641"/>
  </r>
  <r>
    <x v="33"/>
    <x v="86"/>
    <n v="871847.85"/>
    <x v="0"/>
    <n v="69.44"/>
    <n v="3.371"/>
    <n v="129.60606670000001"/>
    <n v="10.641"/>
  </r>
  <r>
    <x v="33"/>
    <x v="87"/>
    <n v="954069.45"/>
    <x v="0"/>
    <n v="60.42"/>
    <n v="3.2989999999999999"/>
    <n v="129.69380000000001"/>
    <n v="10.148"/>
  </r>
  <r>
    <x v="33"/>
    <x v="88"/>
    <n v="911788.79"/>
    <x v="0"/>
    <n v="54.72"/>
    <n v="3.2829999999999999"/>
    <n v="129.77064519999999"/>
    <n v="10.148"/>
  </r>
  <r>
    <x v="33"/>
    <x v="89"/>
    <n v="953693.23"/>
    <x v="0"/>
    <n v="58.93"/>
    <n v="3.3610000000000002"/>
    <n v="129.78216130000001"/>
    <n v="10.148"/>
  </r>
  <r>
    <x v="33"/>
    <x v="90"/>
    <n v="958063.87"/>
    <x v="0"/>
    <n v="54.56"/>
    <n v="3.3620000000000001"/>
    <n v="129.79367740000001"/>
    <n v="10.148"/>
  </r>
  <r>
    <x v="33"/>
    <x v="91"/>
    <n v="992621.93"/>
    <x v="0"/>
    <n v="48.04"/>
    <n v="3.3220000000000001"/>
    <n v="129.8051935"/>
    <n v="10.148"/>
  </r>
  <r>
    <x v="33"/>
    <x v="92"/>
    <n v="991570.02"/>
    <x v="0"/>
    <n v="41.04"/>
    <n v="3.286"/>
    <n v="129.81670969999999"/>
    <n v="10.148"/>
  </r>
  <r>
    <x v="33"/>
    <x v="93"/>
    <n v="947552.44"/>
    <x v="0"/>
    <n v="46"/>
    <n v="3.294"/>
    <n v="129.8268333"/>
    <n v="10.148"/>
  </r>
  <r>
    <x v="33"/>
    <x v="94"/>
    <n v="1345595.82"/>
    <x v="1"/>
    <n v="45.99"/>
    <n v="3.2250000000000001"/>
    <n v="129.8364"/>
    <n v="10.148"/>
  </r>
  <r>
    <x v="33"/>
    <x v="95"/>
    <n v="988742.08"/>
    <x v="0"/>
    <n v="39.75"/>
    <n v="3.1760000000000002"/>
    <n v="129.84596669999999"/>
    <n v="10.148"/>
  </r>
  <r>
    <x v="33"/>
    <x v="96"/>
    <n v="1084243.9099999999"/>
    <x v="0"/>
    <n v="24.69"/>
    <n v="3.153"/>
    <n v="129.85553329999999"/>
    <n v="10.148"/>
  </r>
  <r>
    <x v="33"/>
    <x v="97"/>
    <n v="1151052.8600000001"/>
    <x v="0"/>
    <n v="32.31"/>
    <n v="3.149"/>
    <n v="129.8980645"/>
    <n v="10.148"/>
  </r>
  <r>
    <x v="33"/>
    <x v="98"/>
    <n v="1593655.96"/>
    <x v="0"/>
    <n v="32.450000000000003"/>
    <n v="3.1030000000000002"/>
    <n v="129.98454839999999"/>
    <n v="10.148"/>
  </r>
  <r>
    <x v="33"/>
    <x v="99"/>
    <n v="965512.36"/>
    <x v="1"/>
    <n v="28.84"/>
    <n v="3.1190000000000002"/>
    <n v="130.07103230000001"/>
    <n v="10.148"/>
  </r>
  <r>
    <x v="33"/>
    <x v="100"/>
    <n v="953844.85"/>
    <x v="0"/>
    <n v="36.39"/>
    <n v="3.1579999999999999"/>
    <n v="130.15751610000001"/>
    <n v="9.6530000000000005"/>
  </r>
  <r>
    <x v="33"/>
    <x v="101"/>
    <n v="913755.12"/>
    <x v="0"/>
    <n v="33.99"/>
    <n v="3.2629999999999999"/>
    <n v="130.244"/>
    <n v="9.6530000000000005"/>
  </r>
  <r>
    <x v="33"/>
    <x v="102"/>
    <n v="910899.05"/>
    <x v="0"/>
    <n v="39.28"/>
    <n v="3.2730000000000001"/>
    <n v="130.27922580000001"/>
    <n v="9.6530000000000005"/>
  </r>
  <r>
    <x v="33"/>
    <x v="103"/>
    <n v="872450.37"/>
    <x v="0"/>
    <n v="39.81"/>
    <n v="3.29"/>
    <n v="130.31445160000001"/>
    <n v="9.6530000000000005"/>
  </r>
  <r>
    <x v="33"/>
    <x v="104"/>
    <n v="939367.14"/>
    <x v="0"/>
    <n v="38.64"/>
    <n v="3.3540000000000001"/>
    <n v="130.34967739999999"/>
    <n v="9.6530000000000005"/>
  </r>
  <r>
    <x v="33"/>
    <x v="105"/>
    <n v="1047658.09"/>
    <x v="1"/>
    <n v="36.700000000000003"/>
    <n v="3.411"/>
    <n v="130.3849032"/>
    <n v="9.6530000000000005"/>
  </r>
  <r>
    <x v="33"/>
    <x v="106"/>
    <n v="1123446.51"/>
    <x v="0"/>
    <n v="37.25"/>
    <n v="3.4929999999999999"/>
    <n v="130.45462069999999"/>
    <n v="9.6530000000000005"/>
  </r>
  <r>
    <x v="33"/>
    <x v="107"/>
    <n v="950154.23999999999"/>
    <x v="0"/>
    <n v="39.89"/>
    <n v="3.5409999999999999"/>
    <n v="130.55020690000001"/>
    <n v="9.6530000000000005"/>
  </r>
  <r>
    <x v="33"/>
    <x v="108"/>
    <n v="990263.7"/>
    <x v="0"/>
    <n v="42.74"/>
    <n v="3.6190000000000002"/>
    <n v="130.64579309999999"/>
    <n v="9.6530000000000005"/>
  </r>
  <r>
    <x v="33"/>
    <x v="109"/>
    <n v="976393.43"/>
    <x v="0"/>
    <n v="42.7"/>
    <n v="3.6669999999999998"/>
    <n v="130.74137930000001"/>
    <n v="9.6530000000000005"/>
  </r>
  <r>
    <x v="33"/>
    <x v="110"/>
    <n v="999298.43"/>
    <x v="0"/>
    <n v="48.09"/>
    <n v="3.7069999999999999"/>
    <n v="130.82619349999999"/>
    <n v="9.6530000000000005"/>
  </r>
  <r>
    <x v="33"/>
    <x v="111"/>
    <n v="945143.33"/>
    <x v="0"/>
    <n v="47.93"/>
    <n v="3.7589999999999999"/>
    <n v="130.89664519999999"/>
    <n v="9.6530000000000005"/>
  </r>
  <r>
    <x v="33"/>
    <x v="112"/>
    <n v="938861.77"/>
    <x v="0"/>
    <n v="59.29"/>
    <n v="3.82"/>
    <n v="130.96709680000001"/>
    <n v="9.6530000000000005"/>
  </r>
  <r>
    <x v="33"/>
    <x v="113"/>
    <n v="1091020.3700000001"/>
    <x v="0"/>
    <n v="54.42"/>
    <n v="3.8639999999999999"/>
    <n v="131.03754839999999"/>
    <n v="9.5749999999999993"/>
  </r>
  <r>
    <x v="33"/>
    <x v="114"/>
    <n v="987353.65"/>
    <x v="0"/>
    <n v="59.12"/>
    <n v="3.8809999999999998"/>
    <n v="131.108"/>
    <n v="9.5749999999999993"/>
  </r>
  <r>
    <x v="33"/>
    <x v="115"/>
    <n v="977628.78"/>
    <x v="0"/>
    <n v="55.34"/>
    <n v="3.8639999999999999"/>
    <n v="131.11733330000001"/>
    <n v="9.5749999999999993"/>
  </r>
  <r>
    <x v="33"/>
    <x v="116"/>
    <n v="940299.87"/>
    <x v="0"/>
    <n v="66.489999999999995"/>
    <n v="3.81"/>
    <n v="131.12666669999999"/>
    <n v="9.5749999999999993"/>
  </r>
  <r>
    <x v="33"/>
    <x v="117"/>
    <n v="991104.4"/>
    <x v="0"/>
    <n v="65.040000000000006"/>
    <n v="3.7469999999999999"/>
    <n v="131.136"/>
    <n v="9.5749999999999993"/>
  </r>
  <r>
    <x v="33"/>
    <x v="118"/>
    <n v="949625.52"/>
    <x v="0"/>
    <n v="61.92"/>
    <n v="3.6850000000000001"/>
    <n v="131.1453333"/>
    <n v="9.5749999999999993"/>
  </r>
  <r>
    <x v="33"/>
    <x v="119"/>
    <n v="998672.85"/>
    <x v="0"/>
    <n v="64.97"/>
    <n v="3.62"/>
    <n v="131.09832259999999"/>
    <n v="9.5749999999999993"/>
  </r>
  <r>
    <x v="33"/>
    <x v="120"/>
    <n v="1015737.61"/>
    <x v="0"/>
    <n v="72.42"/>
    <n v="3.5510000000000002"/>
    <n v="131.02877419999999"/>
    <n v="9.5749999999999993"/>
  </r>
  <r>
    <x v="33"/>
    <x v="121"/>
    <n v="977062.44"/>
    <x v="0"/>
    <n v="70.41"/>
    <n v="3.4830000000000001"/>
    <n v="130.95922580000001"/>
    <n v="9.5749999999999993"/>
  </r>
  <r>
    <x v="33"/>
    <x v="122"/>
    <n v="999511.29"/>
    <x v="0"/>
    <n v="75.349999999999994"/>
    <n v="3.4329999999999998"/>
    <n v="130.88967740000001"/>
    <n v="9.5749999999999993"/>
  </r>
  <r>
    <x v="33"/>
    <x v="123"/>
    <n v="982345.51"/>
    <x v="0"/>
    <n v="76.48"/>
    <n v="3.3719999999999999"/>
    <n v="130.82953330000001"/>
    <n v="9.5749999999999993"/>
  </r>
  <r>
    <x v="33"/>
    <x v="124"/>
    <n v="1000285.1"/>
    <x v="0"/>
    <n v="78.849999999999994"/>
    <n v="3.3290000000000002"/>
    <n v="130.7929"/>
    <n v="9.5749999999999993"/>
  </r>
  <r>
    <x v="33"/>
    <x v="125"/>
    <n v="942970.63"/>
    <x v="0"/>
    <n v="81.91"/>
    <n v="3.2570000000000001"/>
    <n v="130.7562667"/>
    <n v="9.5749999999999993"/>
  </r>
  <r>
    <x v="33"/>
    <x v="126"/>
    <n v="1007867.68"/>
    <x v="0"/>
    <n v="77.95"/>
    <n v="3.1869999999999998"/>
    <n v="130.7196333"/>
    <n v="9.2850000000000001"/>
  </r>
  <r>
    <x v="33"/>
    <x v="127"/>
    <n v="954677.75"/>
    <x v="0"/>
    <n v="74.02"/>
    <n v="3.2240000000000002"/>
    <n v="130.68299999999999"/>
    <n v="9.2850000000000001"/>
  </r>
  <r>
    <x v="33"/>
    <x v="128"/>
    <n v="950929.59"/>
    <x v="0"/>
    <n v="77.7"/>
    <n v="3.2629999999999999"/>
    <n v="130.70129030000001"/>
    <n v="9.2850000000000001"/>
  </r>
  <r>
    <x v="33"/>
    <x v="129"/>
    <n v="917883.79"/>
    <x v="0"/>
    <n v="77.3"/>
    <n v="3.3559999999999999"/>
    <n v="130.7195806"/>
    <n v="9.2850000000000001"/>
  </r>
  <r>
    <x v="33"/>
    <x v="130"/>
    <n v="973250.41"/>
    <x v="0"/>
    <n v="78.930000000000007"/>
    <n v="3.3740000000000001"/>
    <n v="130.73787100000001"/>
    <n v="9.2850000000000001"/>
  </r>
  <r>
    <x v="33"/>
    <x v="131"/>
    <n v="1004523.59"/>
    <x v="0"/>
    <n v="78.260000000000005"/>
    <n v="3.476"/>
    <n v="130.7561613"/>
    <n v="9.2850000000000001"/>
  </r>
  <r>
    <x v="33"/>
    <x v="132"/>
    <n v="1013820.86"/>
    <x v="0"/>
    <n v="77.78"/>
    <n v="3.552"/>
    <n v="130.79096770000001"/>
    <n v="9.2850000000000001"/>
  </r>
  <r>
    <x v="33"/>
    <x v="133"/>
    <n v="926250.21"/>
    <x v="0"/>
    <n v="72.44"/>
    <n v="3.61"/>
    <n v="130.8381613"/>
    <n v="9.2850000000000001"/>
  </r>
  <r>
    <x v="33"/>
    <x v="134"/>
    <n v="933487.71"/>
    <x v="0"/>
    <n v="75.89"/>
    <n v="3.6459999999999999"/>
    <n v="130.88535479999999"/>
    <n v="9.2850000000000001"/>
  </r>
  <r>
    <x v="33"/>
    <x v="135"/>
    <n v="976415.56"/>
    <x v="1"/>
    <n v="78.260000000000005"/>
    <n v="3.7090000000000001"/>
    <n v="130.9325484"/>
    <n v="9.2850000000000001"/>
  </r>
  <r>
    <x v="33"/>
    <x v="136"/>
    <n v="955211.7"/>
    <x v="0"/>
    <n v="64.28"/>
    <n v="3.706"/>
    <n v="130.97766669999999"/>
    <n v="9.2850000000000001"/>
  </r>
  <r>
    <x v="33"/>
    <x v="137"/>
    <n v="943047.78"/>
    <x v="0"/>
    <n v="66.08"/>
    <n v="3.7210000000000001"/>
    <n v="131.01033330000001"/>
    <n v="9.2850000000000001"/>
  </r>
  <r>
    <x v="33"/>
    <x v="138"/>
    <n v="928629.31"/>
    <x v="0"/>
    <n v="67.06"/>
    <n v="3.6659999999999999"/>
    <n v="131.04300000000001"/>
    <n v="9.2850000000000001"/>
  </r>
  <r>
    <x v="33"/>
    <x v="139"/>
    <n v="968896.68"/>
    <x v="0"/>
    <n v="65.41"/>
    <n v="3.62"/>
    <n v="131.0756667"/>
    <n v="8.8390000000000004"/>
  </r>
  <r>
    <x v="33"/>
    <x v="140"/>
    <n v="948613.39"/>
    <x v="0"/>
    <n v="59.94"/>
    <n v="3.6030000000000002"/>
    <n v="131.1083333"/>
    <n v="8.8390000000000004"/>
  </r>
  <r>
    <x v="33"/>
    <x v="141"/>
    <n v="963516.28"/>
    <x v="0"/>
    <n v="58.47"/>
    <n v="3.61"/>
    <n v="131.14996769999999"/>
    <n v="8.8390000000000004"/>
  </r>
  <r>
    <x v="33"/>
    <x v="142"/>
    <n v="956987.81"/>
    <x v="0"/>
    <n v="57.95"/>
    <n v="3.5139999999999998"/>
    <n v="131.19309680000001"/>
    <n v="8.8390000000000004"/>
  </r>
  <r>
    <x v="34"/>
    <x v="0"/>
    <n v="1230613.5"/>
    <x v="0"/>
    <n v="27.19"/>
    <n v="2.7839999999999998"/>
    <n v="135.35246079999999"/>
    <n v="9.2620000000000005"/>
  </r>
  <r>
    <x v="34"/>
    <x v="1"/>
    <n v="1168815.31"/>
    <x v="1"/>
    <n v="29.81"/>
    <n v="2.7730000000000001"/>
    <n v="135.41130759999999"/>
    <n v="9.2620000000000005"/>
  </r>
  <r>
    <x v="34"/>
    <x v="2"/>
    <n v="1270658.6399999999"/>
    <x v="0"/>
    <n v="32.44"/>
    <n v="2.7450000000000001"/>
    <n v="135.46577809999999"/>
    <n v="9.2620000000000005"/>
  </r>
  <r>
    <x v="34"/>
    <x v="3"/>
    <n v="1020651.74"/>
    <x v="0"/>
    <n v="36"/>
    <n v="2.754"/>
    <n v="135.5195191"/>
    <n v="9.2620000000000005"/>
  </r>
  <r>
    <x v="34"/>
    <x v="4"/>
    <n v="1162610.27"/>
    <x v="0"/>
    <n v="38.07"/>
    <n v="2.7770000000000001"/>
    <n v="135.57326019999999"/>
    <n v="9.2620000000000005"/>
  </r>
  <r>
    <x v="34"/>
    <x v="5"/>
    <n v="1150344.3899999999"/>
    <x v="0"/>
    <n v="45.98"/>
    <n v="2.8180000000000001"/>
    <n v="135.62700129999999"/>
    <n v="9.2620000000000005"/>
  </r>
  <r>
    <x v="34"/>
    <x v="6"/>
    <n v="1117536.0900000001"/>
    <x v="0"/>
    <n v="49.04"/>
    <n v="2.8439999999999999"/>
    <n v="135.6682247"/>
    <n v="9.2620000000000005"/>
  </r>
  <r>
    <x v="34"/>
    <x v="7"/>
    <n v="1078900.44"/>
    <x v="0"/>
    <n v="52.34"/>
    <n v="2.8540000000000001"/>
    <n v="135.7073618"/>
    <n v="9.2620000000000005"/>
  </r>
  <r>
    <x v="34"/>
    <x v="8"/>
    <n v="1189556.47"/>
    <x v="0"/>
    <n v="46.9"/>
    <n v="2.85"/>
    <n v="135.74649880000001"/>
    <n v="9.0510000000000002"/>
  </r>
  <r>
    <x v="34"/>
    <x v="9"/>
    <n v="1198014.97"/>
    <x v="0"/>
    <n v="62.62"/>
    <n v="2.8690000000000002"/>
    <n v="135.78563589999999"/>
    <n v="9.0510000000000002"/>
  </r>
  <r>
    <x v="34"/>
    <x v="10"/>
    <n v="1084487.55"/>
    <x v="0"/>
    <n v="54.95"/>
    <n v="2.899"/>
    <n v="135.82724999999999"/>
    <n v="9.0510000000000002"/>
  </r>
  <r>
    <x v="34"/>
    <x v="11"/>
    <n v="1110827.48"/>
    <x v="0"/>
    <n v="53.91"/>
    <n v="2.9020000000000001"/>
    <n v="135.87216670000001"/>
    <n v="9.0510000000000002"/>
  </r>
  <r>
    <x v="34"/>
    <x v="12"/>
    <n v="1096930.6499999999"/>
    <x v="0"/>
    <n v="53.55"/>
    <n v="2.9209999999999998"/>
    <n v="135.9170833"/>
    <n v="9.0510000000000002"/>
  </r>
  <r>
    <x v="34"/>
    <x v="13"/>
    <n v="1182099.8799999999"/>
    <x v="0"/>
    <n v="69.02"/>
    <n v="2.9660000000000002"/>
    <n v="135.96199999999999"/>
    <n v="9.0510000000000002"/>
  </r>
  <r>
    <x v="34"/>
    <x v="14"/>
    <n v="1104277.57"/>
    <x v="0"/>
    <n v="53.82"/>
    <n v="2.9820000000000002"/>
    <n v="136.01039399999999"/>
    <n v="9.0510000000000002"/>
  </r>
  <r>
    <x v="34"/>
    <x v="15"/>
    <n v="1078182.18"/>
    <x v="0"/>
    <n v="63.31"/>
    <n v="2.9580000000000002"/>
    <n v="136.0796521"/>
    <n v="9.0510000000000002"/>
  </r>
  <r>
    <x v="34"/>
    <x v="16"/>
    <n v="1223777.48"/>
    <x v="0"/>
    <n v="67.88"/>
    <n v="2.899"/>
    <n v="136.14891009999999"/>
    <n v="9.0510000000000002"/>
  </r>
  <r>
    <x v="34"/>
    <x v="17"/>
    <n v="1282378.71"/>
    <x v="0"/>
    <n v="74.290000000000006"/>
    <n v="2.847"/>
    <n v="136.21816820000001"/>
    <n v="9.0510000000000002"/>
  </r>
  <r>
    <x v="34"/>
    <x v="18"/>
    <n v="1160412.71"/>
    <x v="0"/>
    <n v="68.900000000000006"/>
    <n v="2.8090000000000002"/>
    <n v="136.28742629999999"/>
    <n v="9.0510000000000002"/>
  </r>
  <r>
    <x v="34"/>
    <x v="19"/>
    <n v="1198025.76"/>
    <x v="0"/>
    <n v="70"/>
    <n v="2.78"/>
    <n v="136.32433929999999"/>
    <n v="9.0510000000000002"/>
  </r>
  <r>
    <x v="34"/>
    <x v="20"/>
    <n v="1230245.74"/>
    <x v="0"/>
    <n v="78.02"/>
    <n v="2.8079999999999998"/>
    <n v="136.3483143"/>
    <n v="9.0510000000000002"/>
  </r>
  <r>
    <x v="34"/>
    <x v="21"/>
    <n v="1245827.08"/>
    <x v="0"/>
    <n v="76.25"/>
    <n v="2.8149999999999999"/>
    <n v="136.37228930000001"/>
    <n v="8.8610000000000007"/>
  </r>
  <r>
    <x v="34"/>
    <x v="22"/>
    <n v="1268766.76"/>
    <x v="0"/>
    <n v="82.69"/>
    <n v="2.7930000000000001"/>
    <n v="136.39626430000001"/>
    <n v="8.8610000000000007"/>
  </r>
  <r>
    <x v="34"/>
    <x v="23"/>
    <n v="1124414.8700000001"/>
    <x v="0"/>
    <n v="78.260000000000005"/>
    <n v="2.7829999999999999"/>
    <n v="136.41798270000001"/>
    <n v="8.8610000000000007"/>
  </r>
  <r>
    <x v="34"/>
    <x v="24"/>
    <n v="1121756.43"/>
    <x v="0"/>
    <n v="81.56"/>
    <n v="2.7709999999999999"/>
    <n v="136.4366924"/>
    <n v="8.8610000000000007"/>
  </r>
  <r>
    <x v="34"/>
    <x v="25"/>
    <n v="1139131.78"/>
    <x v="0"/>
    <n v="79.78"/>
    <n v="2.7810000000000001"/>
    <n v="136.45540209999999"/>
    <n v="8.8610000000000007"/>
  </r>
  <r>
    <x v="34"/>
    <x v="26"/>
    <n v="1180183.3899999999"/>
    <x v="0"/>
    <n v="77.45"/>
    <n v="2.7839999999999998"/>
    <n v="136.4741118"/>
    <n v="8.8610000000000007"/>
  </r>
  <r>
    <x v="34"/>
    <x v="27"/>
    <n v="1090587.5"/>
    <x v="0"/>
    <n v="77.36"/>
    <n v="2.8050000000000002"/>
    <n v="136.4928214"/>
    <n v="8.8610000000000007"/>
  </r>
  <r>
    <x v="34"/>
    <x v="28"/>
    <n v="1033719.5"/>
    <x v="0"/>
    <n v="75.16"/>
    <n v="2.7789999999999999"/>
    <n v="136.5249182"/>
    <n v="8.8610000000000007"/>
  </r>
  <r>
    <x v="34"/>
    <x v="29"/>
    <n v="917693.06"/>
    <x v="0"/>
    <n v="70.31"/>
    <n v="2.7549999999999999"/>
    <n v="136.55701500000001"/>
    <n v="8.8610000000000007"/>
  </r>
  <r>
    <x v="34"/>
    <x v="30"/>
    <n v="948660.79"/>
    <x v="0"/>
    <n v="78.52"/>
    <n v="2.7149999999999999"/>
    <n v="136.58911180000001"/>
    <n v="8.8610000000000007"/>
  </r>
  <r>
    <x v="34"/>
    <x v="31"/>
    <n v="961685.98"/>
    <x v="1"/>
    <n v="70.38"/>
    <n v="2.6989999999999998"/>
    <n v="136.62120849999999"/>
    <n v="8.8610000000000007"/>
  </r>
  <r>
    <x v="34"/>
    <x v="32"/>
    <n v="831443.61"/>
    <x v="0"/>
    <n v="64.5"/>
    <n v="2.706"/>
    <n v="136.63380710000001"/>
    <n v="8.8610000000000007"/>
  </r>
  <r>
    <x v="34"/>
    <x v="33"/>
    <n v="758069.78"/>
    <x v="0"/>
    <n v="67.08"/>
    <n v="2.7130000000000001"/>
    <n v="136.63178210000001"/>
    <n v="8.8610000000000007"/>
  </r>
  <r>
    <x v="34"/>
    <x v="34"/>
    <n v="771065.21"/>
    <x v="0"/>
    <n v="70.19"/>
    <n v="2.7069999999999999"/>
    <n v="136.62975710000001"/>
    <n v="8.7629999999999999"/>
  </r>
  <r>
    <x v="34"/>
    <x v="35"/>
    <n v="874615.32"/>
    <x v="0"/>
    <n v="57.78"/>
    <n v="2.7639999999999998"/>
    <n v="136.6277321"/>
    <n v="8.7629999999999999"/>
  </r>
  <r>
    <x v="34"/>
    <x v="36"/>
    <n v="798376.99"/>
    <x v="0"/>
    <n v="58.38"/>
    <n v="2.8679999999999999"/>
    <n v="136.64019350000001"/>
    <n v="8.7629999999999999"/>
  </r>
  <r>
    <x v="34"/>
    <x v="37"/>
    <n v="827705.82"/>
    <x v="0"/>
    <n v="52.82"/>
    <n v="2.9169999999999998"/>
    <n v="136.68887100000001"/>
    <n v="8.7629999999999999"/>
  </r>
  <r>
    <x v="34"/>
    <x v="38"/>
    <n v="857797.33"/>
    <x v="0"/>
    <n v="61.02"/>
    <n v="2.9209999999999998"/>
    <n v="136.73754840000001"/>
    <n v="8.7629999999999999"/>
  </r>
  <r>
    <x v="34"/>
    <x v="39"/>
    <n v="843755.12"/>
    <x v="0"/>
    <n v="45.91"/>
    <n v="2.9169999999999998"/>
    <n v="136.78622580000001"/>
    <n v="8.7629999999999999"/>
  </r>
  <r>
    <x v="34"/>
    <x v="40"/>
    <n v="870914.69"/>
    <x v="0"/>
    <n v="45.9"/>
    <n v="2.931"/>
    <n v="136.83490320000001"/>
    <n v="8.7629999999999999"/>
  </r>
  <r>
    <x v="34"/>
    <x v="41"/>
    <n v="846850.35"/>
    <x v="0"/>
    <n v="50.81"/>
    <n v="3"/>
    <n v="136.7715714"/>
    <n v="8.7629999999999999"/>
  </r>
  <r>
    <x v="34"/>
    <x v="42"/>
    <n v="1781866.98"/>
    <x v="1"/>
    <n v="46.67"/>
    <n v="3.0390000000000001"/>
    <n v="136.68957140000001"/>
    <n v="8.7629999999999999"/>
  </r>
  <r>
    <x v="34"/>
    <x v="43"/>
    <n v="982598.88"/>
    <x v="0"/>
    <n v="41.81"/>
    <n v="3.0459999999999998"/>
    <n v="136.60757140000001"/>
    <n v="8.7629999999999999"/>
  </r>
  <r>
    <x v="34"/>
    <x v="44"/>
    <n v="1108580.19"/>
    <x v="0"/>
    <n v="30.83"/>
    <n v="3.109"/>
    <n v="136.52557139999999"/>
    <n v="8.7629999999999999"/>
  </r>
  <r>
    <x v="34"/>
    <x v="45"/>
    <n v="1314987.3999999999"/>
    <x v="0"/>
    <n v="31.62"/>
    <n v="3.14"/>
    <n v="136.52928109999999"/>
    <n v="8.7629999999999999"/>
  </r>
  <r>
    <x v="34"/>
    <x v="46"/>
    <n v="1779236.54"/>
    <x v="0"/>
    <n v="31.34"/>
    <n v="3.141"/>
    <n v="136.597273"/>
    <n v="8.7629999999999999"/>
  </r>
  <r>
    <x v="34"/>
    <x v="47"/>
    <n v="576332.05000000005"/>
    <x v="1"/>
    <n v="29.59"/>
    <n v="3.1789999999999998"/>
    <n v="136.66526500000001"/>
    <n v="8.7629999999999999"/>
  </r>
  <r>
    <x v="34"/>
    <x v="48"/>
    <n v="649289.75"/>
    <x v="0"/>
    <n v="34.42"/>
    <n v="3.1930000000000001"/>
    <n v="136.73325689999999"/>
    <n v="8.5489999999999995"/>
  </r>
  <r>
    <x v="34"/>
    <x v="49"/>
    <n v="687670.78"/>
    <x v="0"/>
    <n v="25.7"/>
    <n v="3.2050000000000001"/>
    <n v="136.80347699999999"/>
    <n v="8.5489999999999995"/>
  </r>
  <r>
    <x v="34"/>
    <x v="50"/>
    <n v="659902.06999999995"/>
    <x v="0"/>
    <n v="30.13"/>
    <n v="3.2290000000000001"/>
    <n v="136.88706569999999"/>
    <n v="8.5489999999999995"/>
  </r>
  <r>
    <x v="34"/>
    <x v="51"/>
    <n v="633289.78"/>
    <x v="0"/>
    <n v="23.64"/>
    <n v="3.2370000000000001"/>
    <n v="136.9706544"/>
    <n v="8.5489999999999995"/>
  </r>
  <r>
    <x v="34"/>
    <x v="52"/>
    <n v="747577.05"/>
    <x v="0"/>
    <n v="28.7"/>
    <n v="3.2309999999999999"/>
    <n v="137.05424310000001"/>
    <n v="8.5489999999999995"/>
  </r>
  <r>
    <x v="34"/>
    <x v="53"/>
    <n v="859258.17"/>
    <x v="1"/>
    <n v="30.45"/>
    <n v="3.2389999999999999"/>
    <n v="137.13783179999999"/>
    <n v="8.5489999999999995"/>
  </r>
  <r>
    <x v="34"/>
    <x v="54"/>
    <n v="865305.88"/>
    <x v="0"/>
    <n v="39.32"/>
    <n v="3.2450000000000001"/>
    <n v="137.2511849"/>
    <n v="8.5489999999999995"/>
  </r>
  <r>
    <x v="34"/>
    <x v="55"/>
    <n v="841129.26"/>
    <x v="0"/>
    <n v="33.049999999999997"/>
    <n v="3.274"/>
    <n v="137.3764439"/>
    <n v="8.5489999999999995"/>
  </r>
  <r>
    <x v="34"/>
    <x v="56"/>
    <n v="850448.54"/>
    <x v="0"/>
    <n v="36.99"/>
    <n v="3.4329999999999998"/>
    <n v="137.5017028"/>
    <n v="8.5489999999999995"/>
  </r>
  <r>
    <x v="34"/>
    <x v="57"/>
    <n v="830601.39"/>
    <x v="0"/>
    <n v="43.64"/>
    <n v="3.5819999999999999"/>
    <n v="137.62696170000001"/>
    <n v="8.5489999999999995"/>
  </r>
  <r>
    <x v="34"/>
    <x v="58"/>
    <n v="800662.82"/>
    <x v="0"/>
    <n v="46.65"/>
    <n v="3.6309999999999998"/>
    <n v="137.7398929"/>
    <n v="8.5489999999999995"/>
  </r>
  <r>
    <x v="34"/>
    <x v="59"/>
    <n v="762184.1"/>
    <x v="0"/>
    <n v="40.11"/>
    <n v="3.625"/>
    <n v="137.84789290000001"/>
    <n v="8.5489999999999995"/>
  </r>
  <r>
    <x v="34"/>
    <x v="60"/>
    <n v="762620.94"/>
    <x v="0"/>
    <n v="37.270000000000003"/>
    <n v="3.6379999999999999"/>
    <n v="137.95589290000001"/>
    <n v="8.5120000000000005"/>
  </r>
  <r>
    <x v="34"/>
    <x v="61"/>
    <n v="813352.41"/>
    <x v="0"/>
    <n v="46.87"/>
    <n v="3.72"/>
    <n v="138.06389290000001"/>
    <n v="8.5120000000000005"/>
  </r>
  <r>
    <x v="34"/>
    <x v="62"/>
    <n v="795157.2"/>
    <x v="0"/>
    <n v="52.24"/>
    <n v="3.8210000000000002"/>
    <n v="138.16469520000001"/>
    <n v="8.5120000000000005"/>
  </r>
  <r>
    <x v="34"/>
    <x v="63"/>
    <n v="841778.34"/>
    <x v="0"/>
    <n v="50.02"/>
    <n v="3.8919999999999999"/>
    <n v="138.24750359999999"/>
    <n v="8.5120000000000005"/>
  </r>
  <r>
    <x v="34"/>
    <x v="64"/>
    <n v="811824.06"/>
    <x v="0"/>
    <n v="61.71"/>
    <n v="3.9620000000000002"/>
    <n v="138.3303119"/>
    <n v="8.5120000000000005"/>
  </r>
  <r>
    <x v="34"/>
    <x v="65"/>
    <n v="835181.18"/>
    <x v="0"/>
    <n v="56.48"/>
    <n v="4.0460000000000003"/>
    <n v="138.41312020000001"/>
    <n v="8.5120000000000005"/>
  </r>
  <r>
    <x v="34"/>
    <x v="66"/>
    <n v="826155.95"/>
    <x v="0"/>
    <n v="60.07"/>
    <n v="4.0659999999999998"/>
    <n v="138.49592860000001"/>
    <n v="8.5120000000000005"/>
  </r>
  <r>
    <x v="34"/>
    <x v="67"/>
    <n v="776838.56"/>
    <x v="0"/>
    <n v="60.22"/>
    <n v="4.0620000000000003"/>
    <n v="138.58710600000001"/>
    <n v="8.5120000000000005"/>
  </r>
  <r>
    <x v="34"/>
    <x v="68"/>
    <n v="850708.6"/>
    <x v="0"/>
    <n v="66.430000000000007"/>
    <n v="3.9849999999999999"/>
    <n v="138.6782834"/>
    <n v="8.5120000000000005"/>
  </r>
  <r>
    <x v="34"/>
    <x v="69"/>
    <n v="955466.84"/>
    <x v="0"/>
    <n v="74.17"/>
    <n v="3.9220000000000002"/>
    <n v="138.76946079999999"/>
    <n v="8.5120000000000005"/>
  </r>
  <r>
    <x v="34"/>
    <x v="70"/>
    <n v="855130.21"/>
    <x v="0"/>
    <n v="73.260000000000005"/>
    <n v="3.8809999999999998"/>
    <n v="138.86063820000001"/>
    <n v="8.5120000000000005"/>
  </r>
  <r>
    <x v="34"/>
    <x v="71"/>
    <n v="828594.86"/>
    <x v="0"/>
    <n v="67.03"/>
    <n v="3.8420000000000001"/>
    <n v="139.00283329999999"/>
    <n v="8.5120000000000005"/>
  </r>
  <r>
    <x v="34"/>
    <x v="72"/>
    <n v="849397.57"/>
    <x v="0"/>
    <n v="72.02"/>
    <n v="3.8039999999999998"/>
    <n v="139.18329170000001"/>
    <n v="8.5120000000000005"/>
  </r>
  <r>
    <x v="34"/>
    <x v="73"/>
    <n v="874453.88"/>
    <x v="0"/>
    <n v="73.760000000000005"/>
    <n v="3.7480000000000002"/>
    <n v="139.36375000000001"/>
    <n v="8.6839999999999993"/>
  </r>
  <r>
    <x v="34"/>
    <x v="74"/>
    <n v="827717.85"/>
    <x v="0"/>
    <n v="76.87"/>
    <n v="3.7109999999999999"/>
    <n v="139.54420830000001"/>
    <n v="8.6839999999999993"/>
  </r>
  <r>
    <x v="34"/>
    <x v="75"/>
    <n v="813845.5"/>
    <x v="0"/>
    <n v="77.83"/>
    <n v="3.76"/>
    <n v="139.70063250000001"/>
    <n v="8.6839999999999993"/>
  </r>
  <r>
    <x v="34"/>
    <x v="76"/>
    <n v="820188.42"/>
    <x v="0"/>
    <n v="82.28"/>
    <n v="3.8109999999999999"/>
    <n v="139.7969712"/>
    <n v="8.6839999999999993"/>
  </r>
  <r>
    <x v="34"/>
    <x v="77"/>
    <n v="770820.27"/>
    <x v="0"/>
    <n v="79.41"/>
    <n v="3.8290000000000002"/>
    <n v="139.89330989999999"/>
    <n v="8.6839999999999993"/>
  </r>
  <r>
    <x v="34"/>
    <x v="78"/>
    <n v="826820.71"/>
    <x v="0"/>
    <n v="78.14"/>
    <n v="3.8420000000000001"/>
    <n v="139.98964860000001"/>
    <n v="8.6839999999999993"/>
  </r>
  <r>
    <x v="34"/>
    <x v="79"/>
    <n v="819911.89"/>
    <x v="0"/>
    <n v="76.67"/>
    <n v="3.8119999999999998"/>
    <n v="140.0859873"/>
    <n v="8.6839999999999993"/>
  </r>
  <r>
    <x v="34"/>
    <x v="80"/>
    <n v="820288.35"/>
    <x v="0"/>
    <n v="72.97"/>
    <n v="3.7469999999999999"/>
    <n v="140.12892049999999"/>
    <n v="8.6839999999999993"/>
  </r>
  <r>
    <x v="34"/>
    <x v="81"/>
    <n v="897037.25"/>
    <x v="0"/>
    <n v="72.88"/>
    <n v="3.7040000000000002"/>
    <n v="140.1629528"/>
    <n v="8.6839999999999993"/>
  </r>
  <r>
    <x v="34"/>
    <x v="82"/>
    <n v="813486.55"/>
    <x v="0"/>
    <n v="71.44"/>
    <n v="3.7029999999999998"/>
    <n v="140.19698500000001"/>
    <n v="8.6839999999999993"/>
  </r>
  <r>
    <x v="34"/>
    <x v="83"/>
    <n v="922440.64"/>
    <x v="1"/>
    <n v="70.930000000000007"/>
    <n v="3.738"/>
    <n v="140.23101729999999"/>
    <n v="8.6839999999999993"/>
  </r>
  <r>
    <x v="34"/>
    <x v="84"/>
    <n v="738792.11"/>
    <x v="0"/>
    <n v="69.650000000000006"/>
    <n v="3.742"/>
    <n v="140.27350000000001"/>
    <n v="8.6839999999999993"/>
  </r>
  <r>
    <x v="34"/>
    <x v="85"/>
    <n v="705802.45"/>
    <x v="0"/>
    <n v="63.61"/>
    <n v="3.7109999999999999"/>
    <n v="140.32724999999999"/>
    <n v="8.6839999999999993"/>
  </r>
  <r>
    <x v="34"/>
    <x v="86"/>
    <n v="749676.95"/>
    <x v="0"/>
    <n v="70.92"/>
    <n v="3.645"/>
    <n v="140.381"/>
    <n v="8.6839999999999993"/>
  </r>
  <r>
    <x v="34"/>
    <x v="87"/>
    <n v="791637.53"/>
    <x v="0"/>
    <n v="56.91"/>
    <n v="3.5830000000000002"/>
    <n v="140.43475000000001"/>
    <n v="8.7449999999999992"/>
  </r>
  <r>
    <x v="34"/>
    <x v="88"/>
    <n v="772859.25"/>
    <x v="0"/>
    <n v="64.78"/>
    <n v="3.5409999999999999"/>
    <n v="140.47841940000001"/>
    <n v="8.7449999999999992"/>
  </r>
  <r>
    <x v="34"/>
    <x v="89"/>
    <n v="811328.4"/>
    <x v="0"/>
    <n v="59.62"/>
    <n v="3.57"/>
    <n v="140.4616048"/>
    <n v="8.7449999999999992"/>
  </r>
  <r>
    <x v="34"/>
    <x v="90"/>
    <n v="808821.5"/>
    <x v="0"/>
    <n v="51.81"/>
    <n v="3.569"/>
    <n v="140.44479029999999"/>
    <n v="8.7449999999999992"/>
  </r>
  <r>
    <x v="34"/>
    <x v="91"/>
    <n v="653468.75"/>
    <x v="0"/>
    <n v="44.46"/>
    <n v="3.5510000000000002"/>
    <n v="140.42797580000001"/>
    <n v="8.7449999999999992"/>
  </r>
  <r>
    <x v="34"/>
    <x v="92"/>
    <n v="880576.33"/>
    <x v="0"/>
    <n v="49.69"/>
    <n v="3.53"/>
    <n v="140.4111613"/>
    <n v="8.7449999999999992"/>
  </r>
  <r>
    <x v="34"/>
    <x v="93"/>
    <n v="820964.1"/>
    <x v="0"/>
    <n v="51.42"/>
    <n v="3.53"/>
    <n v="140.4127857"/>
    <n v="8.7449999999999992"/>
  </r>
  <r>
    <x v="34"/>
    <x v="94"/>
    <n v="1733822.4"/>
    <x v="1"/>
    <n v="47.88"/>
    <n v="3.492"/>
    <n v="140.42178569999999"/>
    <n v="8.7449999999999992"/>
  </r>
  <r>
    <x v="34"/>
    <x v="95"/>
    <n v="903606.03"/>
    <x v="0"/>
    <n v="50.55"/>
    <n v="3.452"/>
    <n v="140.4307857"/>
    <n v="8.7449999999999992"/>
  </r>
  <r>
    <x v="34"/>
    <x v="96"/>
    <n v="948964.99"/>
    <x v="0"/>
    <n v="46.28"/>
    <n v="3.415"/>
    <n v="140.43978569999999"/>
    <n v="8.7449999999999992"/>
  </r>
  <r>
    <x v="34"/>
    <x v="97"/>
    <n v="1115255.6499999999"/>
    <x v="0"/>
    <n v="40.68"/>
    <n v="3.4129999999999998"/>
    <n v="140.4700795"/>
    <n v="8.7449999999999992"/>
  </r>
  <r>
    <x v="34"/>
    <x v="98"/>
    <n v="1550214.02"/>
    <x v="0"/>
    <n v="41.59"/>
    <n v="3.3889999999999998"/>
    <n v="140.52876499999999"/>
    <n v="8.7449999999999992"/>
  </r>
  <r>
    <x v="34"/>
    <x v="99"/>
    <n v="904650.55"/>
    <x v="1"/>
    <n v="37.85"/>
    <n v="3.3889999999999998"/>
    <n v="140.58745049999999"/>
    <n v="8.7449999999999992"/>
  </r>
  <r>
    <x v="34"/>
    <x v="100"/>
    <n v="671708.09"/>
    <x v="0"/>
    <n v="35.799999999999997"/>
    <n v="3.4220000000000002"/>
    <n v="140.64613589999999"/>
    <n v="8.7439999999999998"/>
  </r>
  <r>
    <x v="34"/>
    <x v="101"/>
    <n v="625135.11"/>
    <x v="0"/>
    <n v="41.3"/>
    <n v="3.5129999999999999"/>
    <n v="140.70482139999999"/>
    <n v="8.7439999999999998"/>
  </r>
  <r>
    <x v="34"/>
    <x v="102"/>
    <n v="669850.04"/>
    <x v="0"/>
    <n v="30.35"/>
    <n v="3.5329999999999999"/>
    <n v="140.80861179999999"/>
    <n v="8.7439999999999998"/>
  </r>
  <r>
    <x v="34"/>
    <x v="103"/>
    <n v="588722.99"/>
    <x v="0"/>
    <n v="36.96"/>
    <n v="3.5670000000000002"/>
    <n v="140.91240210000001"/>
    <n v="8.7439999999999998"/>
  </r>
  <r>
    <x v="34"/>
    <x v="104"/>
    <n v="746901.03"/>
    <x v="0"/>
    <n v="42.52"/>
    <n v="3.617"/>
    <n v="141.01619239999999"/>
    <n v="8.7439999999999998"/>
  </r>
  <r>
    <x v="34"/>
    <x v="105"/>
    <n v="849779.14"/>
    <x v="1"/>
    <n v="37.86"/>
    <n v="3.64"/>
    <n v="141.11998270000001"/>
    <n v="8.7439999999999998"/>
  </r>
  <r>
    <x v="34"/>
    <x v="106"/>
    <n v="824568.39"/>
    <x v="0"/>
    <n v="37.24"/>
    <n v="3.6949999999999998"/>
    <n v="141.21403570000001"/>
    <n v="8.7439999999999998"/>
  </r>
  <r>
    <x v="34"/>
    <x v="107"/>
    <n v="805028.74"/>
    <x v="0"/>
    <n v="41.74"/>
    <n v="3.7389999999999999"/>
    <n v="141.30078570000001"/>
    <n v="8.7439999999999998"/>
  </r>
  <r>
    <x v="34"/>
    <x v="108"/>
    <n v="766571.1"/>
    <x v="0"/>
    <n v="40.07"/>
    <n v="3.8159999999999998"/>
    <n v="141.3875357"/>
    <n v="8.7439999999999998"/>
  </r>
  <r>
    <x v="34"/>
    <x v="109"/>
    <n v="796351.35"/>
    <x v="0"/>
    <n v="44.32"/>
    <n v="3.8479999999999999"/>
    <n v="141.4742857"/>
    <n v="8.7439999999999998"/>
  </r>
  <r>
    <x v="34"/>
    <x v="110"/>
    <n v="793045.82"/>
    <x v="0"/>
    <n v="49.6"/>
    <n v="3.8620000000000001"/>
    <n v="141.55477999999999"/>
    <n v="8.7439999999999998"/>
  </r>
  <r>
    <x v="34"/>
    <x v="111"/>
    <n v="760671.1"/>
    <x v="0"/>
    <n v="57.3"/>
    <n v="3.9"/>
    <n v="141.6269332"/>
    <n v="8.7439999999999998"/>
  </r>
  <r>
    <x v="34"/>
    <x v="112"/>
    <n v="744525.69"/>
    <x v="0"/>
    <n v="49.4"/>
    <n v="3.9529999999999998"/>
    <n v="141.6990864"/>
    <n v="8.7439999999999998"/>
  </r>
  <r>
    <x v="34"/>
    <x v="113"/>
    <n v="860293.46"/>
    <x v="0"/>
    <n v="48.73"/>
    <n v="3.996"/>
    <n v="141.7712396"/>
    <n v="8.8759999999999994"/>
  </r>
  <r>
    <x v="34"/>
    <x v="114"/>
    <n v="788633.42"/>
    <x v="0"/>
    <n v="52.22"/>
    <n v="4.0439999999999996"/>
    <n v="141.8433929"/>
    <n v="8.8759999999999994"/>
  </r>
  <r>
    <x v="34"/>
    <x v="115"/>
    <n v="794660.24"/>
    <x v="0"/>
    <n v="62.62"/>
    <n v="4.0270000000000001"/>
    <n v="141.90152620000001"/>
    <n v="8.8759999999999994"/>
  </r>
  <r>
    <x v="34"/>
    <x v="116"/>
    <n v="721212.45"/>
    <x v="0"/>
    <n v="52.33"/>
    <n v="4.0039999999999996"/>
    <n v="141.95965949999999"/>
    <n v="8.8759999999999994"/>
  </r>
  <r>
    <x v="34"/>
    <x v="117"/>
    <n v="772036.6"/>
    <x v="0"/>
    <n v="53.68"/>
    <n v="3.9510000000000001"/>
    <n v="142.01779289999999"/>
    <n v="8.8759999999999994"/>
  </r>
  <r>
    <x v="34"/>
    <x v="118"/>
    <n v="802383.63"/>
    <x v="0"/>
    <n v="58.97"/>
    <n v="3.8889999999999998"/>
    <n v="142.0759262"/>
    <n v="8.8759999999999994"/>
  </r>
  <r>
    <x v="34"/>
    <x v="119"/>
    <n v="819196.68"/>
    <x v="0"/>
    <n v="65.150000000000006"/>
    <n v="3.8479999999999999"/>
    <n v="142.09701150000001"/>
    <n v="8.8759999999999994"/>
  </r>
  <r>
    <x v="34"/>
    <x v="120"/>
    <n v="822167.17"/>
    <x v="0"/>
    <n v="64.77"/>
    <n v="3.798"/>
    <n v="142.10327760000001"/>
    <n v="8.8759999999999994"/>
  </r>
  <r>
    <x v="34"/>
    <x v="121"/>
    <n v="932195.52"/>
    <x v="0"/>
    <n v="73.400000000000006"/>
    <n v="3.742"/>
    <n v="142.10954380000001"/>
    <n v="8.8759999999999994"/>
  </r>
  <r>
    <x v="34"/>
    <x v="122"/>
    <n v="873415.01"/>
    <x v="0"/>
    <n v="64.05"/>
    <n v="3.6890000000000001"/>
    <n v="142.11580989999999"/>
    <n v="8.8759999999999994"/>
  </r>
  <r>
    <x v="34"/>
    <x v="123"/>
    <n v="848289.41"/>
    <x v="0"/>
    <n v="69.52"/>
    <n v="3.62"/>
    <n v="142.12925480000001"/>
    <n v="8.8759999999999994"/>
  </r>
  <r>
    <x v="34"/>
    <x v="124"/>
    <n v="911696"/>
    <x v="0"/>
    <n v="73.23"/>
    <n v="3.5640000000000001"/>
    <n v="142.16064639999999"/>
    <n v="8.8759999999999994"/>
  </r>
  <r>
    <x v="34"/>
    <x v="125"/>
    <n v="892133.41"/>
    <x v="0"/>
    <n v="73.94"/>
    <n v="3.5059999999999998"/>
    <n v="142.19203809999999"/>
    <n v="8.8759999999999994"/>
  </r>
  <r>
    <x v="34"/>
    <x v="126"/>
    <n v="985479.64"/>
    <x v="0"/>
    <n v="82.08"/>
    <n v="3.4750000000000001"/>
    <n v="142.22342979999999"/>
    <n v="8.8390000000000004"/>
  </r>
  <r>
    <x v="34"/>
    <x v="127"/>
    <n v="825763.48"/>
    <x v="0"/>
    <n v="78.95"/>
    <n v="3.5230000000000001"/>
    <n v="142.2548214"/>
    <n v="8.8390000000000004"/>
  </r>
  <r>
    <x v="34"/>
    <x v="128"/>
    <n v="841224.74"/>
    <x v="0"/>
    <n v="78.64"/>
    <n v="3.5670000000000002"/>
    <n v="142.2337569"/>
    <n v="8.8390000000000004"/>
  </r>
  <r>
    <x v="34"/>
    <x v="129"/>
    <n v="808030.15"/>
    <x v="0"/>
    <n v="76.010000000000005"/>
    <n v="3.6469999999999998"/>
    <n v="142.21269240000001"/>
    <n v="8.8390000000000004"/>
  </r>
  <r>
    <x v="34"/>
    <x v="130"/>
    <n v="866216.36"/>
    <x v="0"/>
    <n v="75.22"/>
    <n v="3.6539999999999999"/>
    <n v="142.19162789999999"/>
    <n v="8.8390000000000004"/>
  </r>
  <r>
    <x v="34"/>
    <x v="131"/>
    <n v="888368.8"/>
    <x v="0"/>
    <n v="78.44"/>
    <n v="3.722"/>
    <n v="142.17056339999999"/>
    <n v="8.8390000000000004"/>
  </r>
  <r>
    <x v="34"/>
    <x v="132"/>
    <n v="887979.47"/>
    <x v="0"/>
    <n v="76.510000000000005"/>
    <n v="3.8069999999999999"/>
    <n v="142.21573849999999"/>
    <n v="8.8390000000000004"/>
  </r>
  <r>
    <x v="34"/>
    <x v="133"/>
    <n v="895274.72"/>
    <x v="0"/>
    <n v="72.930000000000007"/>
    <n v="3.8340000000000001"/>
    <n v="142.31059329999999"/>
    <n v="8.8390000000000004"/>
  </r>
  <r>
    <x v="34"/>
    <x v="134"/>
    <n v="931278.97"/>
    <x v="0"/>
    <n v="75"/>
    <n v="3.867"/>
    <n v="142.4054482"/>
    <n v="8.8390000000000004"/>
  </r>
  <r>
    <x v="34"/>
    <x v="135"/>
    <n v="984833.35"/>
    <x v="1"/>
    <n v="76"/>
    <n v="3.911"/>
    <n v="142.500303"/>
    <n v="8.8390000000000004"/>
  </r>
  <r>
    <x v="34"/>
    <x v="136"/>
    <n v="821568.64"/>
    <x v="0"/>
    <n v="68.72"/>
    <n v="3.948"/>
    <n v="142.59388329999999"/>
    <n v="8.8390000000000004"/>
  </r>
  <r>
    <x v="34"/>
    <x v="137"/>
    <n v="772302.94"/>
    <x v="0"/>
    <n v="66.099999999999994"/>
    <n v="4.0380000000000003"/>
    <n v="142.6798167"/>
    <n v="8.8390000000000004"/>
  </r>
  <r>
    <x v="34"/>
    <x v="138"/>
    <n v="814099.86"/>
    <x v="0"/>
    <n v="64.92"/>
    <n v="3.9969999999999999"/>
    <n v="142.76575"/>
    <n v="8.8390000000000004"/>
  </r>
  <r>
    <x v="34"/>
    <x v="139"/>
    <n v="866064.4"/>
    <x v="0"/>
    <n v="64.5"/>
    <n v="3.9849999999999999"/>
    <n v="142.85168329999999"/>
    <n v="8.6649999999999991"/>
  </r>
  <r>
    <x v="34"/>
    <x v="140"/>
    <n v="873643.14"/>
    <x v="0"/>
    <n v="55.4"/>
    <n v="4"/>
    <n v="142.93761670000001"/>
    <n v="8.6649999999999991"/>
  </r>
  <r>
    <x v="34"/>
    <x v="141"/>
    <n v="829284.67"/>
    <x v="0"/>
    <n v="56.53"/>
    <n v="3.9689999999999999"/>
    <n v="142.8633629"/>
    <n v="8.6649999999999991"/>
  </r>
  <r>
    <x v="34"/>
    <x v="142"/>
    <n v="865137.6"/>
    <x v="0"/>
    <n v="58.99"/>
    <n v="3.8820000000000001"/>
    <n v="142.7624113"/>
    <n v="8.6649999999999991"/>
  </r>
  <r>
    <x v="35"/>
    <x v="0"/>
    <n v="467546.74"/>
    <x v="0"/>
    <n v="45.97"/>
    <n v="2.5449999999999999"/>
    <n v="209.85296629999999"/>
    <n v="8.5540000000000003"/>
  </r>
  <r>
    <x v="35"/>
    <x v="1"/>
    <n v="469563.7"/>
    <x v="1"/>
    <n v="46.11"/>
    <n v="2.5390000000000001"/>
    <n v="209.9970208"/>
    <n v="8.5540000000000003"/>
  </r>
  <r>
    <x v="35"/>
    <x v="2"/>
    <n v="470281.03"/>
    <x v="0"/>
    <n v="45.66"/>
    <n v="2.472"/>
    <n v="210.04510239999999"/>
    <n v="8.5540000000000003"/>
  </r>
  <r>
    <x v="35"/>
    <x v="3"/>
    <n v="447519.44"/>
    <x v="0"/>
    <n v="50.87"/>
    <n v="2.52"/>
    <n v="210.07718850000001"/>
    <n v="8.5540000000000003"/>
  </r>
  <r>
    <x v="35"/>
    <x v="4"/>
    <n v="480203.43"/>
    <x v="0"/>
    <n v="51.33"/>
    <n v="2.5739999999999998"/>
    <n v="210.10927459999999"/>
    <n v="8.5540000000000003"/>
  </r>
  <r>
    <x v="35"/>
    <x v="5"/>
    <n v="441434.2"/>
    <x v="0"/>
    <n v="61.96"/>
    <n v="2.6190000000000002"/>
    <n v="210.14136070000001"/>
    <n v="8.5540000000000003"/>
  </r>
  <r>
    <x v="35"/>
    <x v="6"/>
    <n v="428851.99"/>
    <x v="0"/>
    <n v="59.56"/>
    <n v="2.7010000000000001"/>
    <n v="209.98032079999999"/>
    <n v="8.5540000000000003"/>
  </r>
  <r>
    <x v="35"/>
    <x v="7"/>
    <n v="404438.51"/>
    <x v="0"/>
    <n v="55.76"/>
    <n v="2.7109999999999999"/>
    <n v="209.78709319999999"/>
    <n v="8.5540000000000003"/>
  </r>
  <r>
    <x v="35"/>
    <x v="8"/>
    <n v="435972.82"/>
    <x v="0"/>
    <n v="63.43"/>
    <n v="2.7080000000000002"/>
    <n v="209.59386559999999"/>
    <n v="8.4640000000000004"/>
  </r>
  <r>
    <x v="35"/>
    <x v="9"/>
    <n v="453016.91"/>
    <x v="0"/>
    <n v="68.540000000000006"/>
    <n v="2.7429999999999999"/>
    <n v="209.40063799999999"/>
    <n v="8.4640000000000004"/>
  </r>
  <r>
    <x v="35"/>
    <x v="10"/>
    <n v="483699.56"/>
    <x v="0"/>
    <n v="66.739999999999995"/>
    <n v="2.7690000000000001"/>
    <n v="209.2691428"/>
    <n v="8.4640000000000004"/>
  </r>
  <r>
    <x v="35"/>
    <x v="11"/>
    <n v="434116.8"/>
    <x v="0"/>
    <n v="68.03"/>
    <n v="2.762"/>
    <n v="209.2199574"/>
    <n v="8.4640000000000004"/>
  </r>
  <r>
    <x v="35"/>
    <x v="12"/>
    <n v="457899.64"/>
    <x v="0"/>
    <n v="70.900000000000006"/>
    <n v="2.7250000000000001"/>
    <n v="209.170772"/>
    <n v="8.4640000000000004"/>
  </r>
  <r>
    <x v="35"/>
    <x v="13"/>
    <n v="489372.02"/>
    <x v="0"/>
    <n v="75.56"/>
    <n v="2.786"/>
    <n v="209.12158669999999"/>
    <n v="8.4640000000000004"/>
  </r>
  <r>
    <x v="35"/>
    <x v="14"/>
    <n v="476733.74"/>
    <x v="0"/>
    <n v="77.53"/>
    <n v="2.8050000000000002"/>
    <n v="209.11853600000001"/>
    <n v="8.4640000000000004"/>
  </r>
  <r>
    <x v="35"/>
    <x v="15"/>
    <n v="474917.98"/>
    <x v="0"/>
    <n v="77.34"/>
    <n v="2.7669999999999999"/>
    <n v="209.39229370000001"/>
    <n v="8.4640000000000004"/>
  </r>
  <r>
    <x v="35"/>
    <x v="16"/>
    <n v="447050.42"/>
    <x v="0"/>
    <n v="80.87"/>
    <n v="2.7160000000000002"/>
    <n v="209.66605139999999"/>
    <n v="8.4640000000000004"/>
  </r>
  <r>
    <x v="35"/>
    <x v="17"/>
    <n v="471088.88"/>
    <x v="0"/>
    <n v="79.930000000000007"/>
    <n v="2.6640000000000001"/>
    <n v="209.93980909999999"/>
    <n v="8.4640000000000004"/>
  </r>
  <r>
    <x v="35"/>
    <x v="18"/>
    <n v="467711.18"/>
    <x v="0"/>
    <n v="82.3"/>
    <n v="2.6150000000000002"/>
    <n v="210.2135668"/>
    <n v="8.4640000000000004"/>
  </r>
  <r>
    <x v="35"/>
    <x v="19"/>
    <n v="485694.71999999997"/>
    <x v="0"/>
    <n v="84.37"/>
    <n v="2.5720000000000001"/>
    <n v="210.2108417"/>
    <n v="8.4640000000000004"/>
  </r>
  <r>
    <x v="35"/>
    <x v="20"/>
    <n v="434879.87"/>
    <x v="0"/>
    <n v="84.14"/>
    <n v="2.601"/>
    <n v="210.09752330000001"/>
    <n v="8.4640000000000004"/>
  </r>
  <r>
    <x v="35"/>
    <x v="21"/>
    <n v="434252.15"/>
    <x v="0"/>
    <n v="81.849999999999994"/>
    <n v="2.6059999999999999"/>
    <n v="209.984205"/>
    <n v="8.36"/>
  </r>
  <r>
    <x v="35"/>
    <x v="22"/>
    <n v="471713.59"/>
    <x v="0"/>
    <n v="81.739999999999995"/>
    <n v="2.5960000000000001"/>
    <n v="209.8708867"/>
    <n v="8.36"/>
  </r>
  <r>
    <x v="35"/>
    <x v="23"/>
    <n v="466962.04"/>
    <x v="0"/>
    <n v="84.43"/>
    <n v="2.5609999999999999"/>
    <n v="209.8630532"/>
    <n v="8.36"/>
  </r>
  <r>
    <x v="35"/>
    <x v="24"/>
    <n v="452021.2"/>
    <x v="0"/>
    <n v="82.6"/>
    <n v="2.5419999999999998"/>
    <n v="209.99586629999999"/>
    <n v="8.36"/>
  </r>
  <r>
    <x v="35"/>
    <x v="25"/>
    <n v="432451.91"/>
    <x v="0"/>
    <n v="81.88"/>
    <n v="2.6019999999999999"/>
    <n v="210.12867940000001"/>
    <n v="8.36"/>
  </r>
  <r>
    <x v="35"/>
    <x v="26"/>
    <n v="467442.94"/>
    <x v="0"/>
    <n v="85.49"/>
    <n v="2.573"/>
    <n v="210.2614925"/>
    <n v="8.36"/>
  </r>
  <r>
    <x v="35"/>
    <x v="27"/>
    <n v="470436.8"/>
    <x v="0"/>
    <n v="86.06"/>
    <n v="2.6440000000000001"/>
    <n v="210.3943056"/>
    <n v="8.36"/>
  </r>
  <r>
    <x v="35"/>
    <x v="28"/>
    <n v="437949.9"/>
    <x v="0"/>
    <n v="85.54"/>
    <n v="2.6040000000000001"/>
    <n v="210.3617581"/>
    <n v="8.36"/>
  </r>
  <r>
    <x v="35"/>
    <x v="29"/>
    <n v="412050.73"/>
    <x v="0"/>
    <n v="84.62"/>
    <n v="2.5619999999999998"/>
    <n v="210.32921060000001"/>
    <n v="8.36"/>
  </r>
  <r>
    <x v="35"/>
    <x v="30"/>
    <n v="431294.45"/>
    <x v="0"/>
    <n v="82.29"/>
    <n v="2.5329999999999999"/>
    <n v="210.29666309999999"/>
    <n v="8.36"/>
  </r>
  <r>
    <x v="35"/>
    <x v="31"/>
    <n v="434471.38"/>
    <x v="1"/>
    <n v="80.58"/>
    <n v="2.5129999999999999"/>
    <n v="210.2641156"/>
    <n v="8.36"/>
  </r>
  <r>
    <x v="35"/>
    <x v="32"/>
    <n v="454694.21"/>
    <x v="0"/>
    <n v="82.1"/>
    <n v="2.5499999999999998"/>
    <n v="210.29245040000001"/>
    <n v="8.36"/>
  </r>
  <r>
    <x v="35"/>
    <x v="33"/>
    <n v="419348.59"/>
    <x v="0"/>
    <n v="79.17"/>
    <n v="2.5779999999999998"/>
    <n v="210.3664469"/>
    <n v="8.36"/>
  </r>
  <r>
    <x v="35"/>
    <x v="34"/>
    <n v="422169.47"/>
    <x v="0"/>
    <n v="74.66"/>
    <n v="2.5670000000000002"/>
    <n v="210.4404433"/>
    <n v="8.4760000000000009"/>
  </r>
  <r>
    <x v="35"/>
    <x v="35"/>
    <n v="444351.61"/>
    <x v="0"/>
    <n v="66.34"/>
    <n v="2.5950000000000002"/>
    <n v="210.51443979999999"/>
    <n v="8.4760000000000009"/>
  </r>
  <r>
    <x v="35"/>
    <x v="36"/>
    <n v="453308.15"/>
    <x v="0"/>
    <n v="71.569999999999993"/>
    <n v="2.7050000000000001"/>
    <n v="210.5805944"/>
    <n v="8.4760000000000009"/>
  </r>
  <r>
    <x v="35"/>
    <x v="37"/>
    <n v="424956.3"/>
    <x v="0"/>
    <n v="72.239999999999995"/>
    <n v="2.698"/>
    <n v="210.62714439999999"/>
    <n v="8.4760000000000009"/>
  </r>
  <r>
    <x v="35"/>
    <x v="38"/>
    <n v="392654.26"/>
    <x v="0"/>
    <n v="76.22"/>
    <n v="2.68"/>
    <n v="210.67369439999999"/>
    <n v="8.4760000000000009"/>
  </r>
  <r>
    <x v="35"/>
    <x v="39"/>
    <n v="405860.37"/>
    <x v="0"/>
    <n v="62.72"/>
    <n v="2.6549999999999998"/>
    <n v="210.72024440000001"/>
    <n v="8.4760000000000009"/>
  </r>
  <r>
    <x v="35"/>
    <x v="40"/>
    <n v="425804.79999999999"/>
    <x v="0"/>
    <n v="61.97"/>
    <n v="2.7050000000000001"/>
    <n v="210.76679440000001"/>
    <n v="8.4760000000000009"/>
  </r>
  <r>
    <x v="35"/>
    <x v="41"/>
    <n v="411615.71"/>
    <x v="0"/>
    <n v="56.73"/>
    <n v="2.7410000000000001"/>
    <n v="210.65429"/>
    <n v="8.4760000000000009"/>
  </r>
  <r>
    <x v="35"/>
    <x v="42"/>
    <n v="408891.49"/>
    <x v="1"/>
    <n v="67.73"/>
    <n v="2.7250000000000001"/>
    <n v="210.5152765"/>
    <n v="8.4760000000000009"/>
  </r>
  <r>
    <x v="35"/>
    <x v="43"/>
    <n v="360266.09"/>
    <x v="0"/>
    <n v="54.44"/>
    <n v="2.694"/>
    <n v="210.37626299999999"/>
    <n v="8.4760000000000009"/>
  </r>
  <r>
    <x v="35"/>
    <x v="44"/>
    <n v="404545.03"/>
    <x v="0"/>
    <n v="51.83"/>
    <n v="2.8130000000000002"/>
    <n v="210.2372494"/>
    <n v="8.4760000000000009"/>
  </r>
  <r>
    <x v="35"/>
    <x v="45"/>
    <n v="410214.7"/>
    <x v="0"/>
    <n v="56.73"/>
    <n v="2.8519999999999999"/>
    <n v="210.1787224"/>
    <n v="8.4760000000000009"/>
  </r>
  <r>
    <x v="35"/>
    <x v="46"/>
    <n v="422093.59"/>
    <x v="0"/>
    <n v="59.1"/>
    <n v="2.863"/>
    <n v="210.1805602"/>
    <n v="8.4760000000000009"/>
  </r>
  <r>
    <x v="35"/>
    <x v="47"/>
    <n v="359310.65"/>
    <x v="1"/>
    <n v="52.88"/>
    <n v="2.9489999999999998"/>
    <n v="210.18239800000001"/>
    <n v="8.4760000000000009"/>
  </r>
  <r>
    <x v="35"/>
    <x v="48"/>
    <n v="384659.85"/>
    <x v="0"/>
    <n v="54.11"/>
    <n v="2.9420000000000002"/>
    <n v="210.18423580000001"/>
    <n v="8.3949999999999996"/>
  </r>
  <r>
    <x v="35"/>
    <x v="49"/>
    <n v="410497.73"/>
    <x v="0"/>
    <n v="42.87"/>
    <n v="2.9710000000000001"/>
    <n v="210.2379731"/>
    <n v="8.3949999999999996"/>
  </r>
  <r>
    <x v="35"/>
    <x v="50"/>
    <n v="399191.05"/>
    <x v="0"/>
    <n v="51.18"/>
    <n v="2.98"/>
    <n v="210.60310720000001"/>
    <n v="8.3949999999999996"/>
  </r>
  <r>
    <x v="35"/>
    <x v="51"/>
    <n v="372174.12"/>
    <x v="0"/>
    <n v="48.74"/>
    <n v="2.9950000000000001"/>
    <n v="210.96824119999999"/>
    <n v="8.3949999999999996"/>
  </r>
  <r>
    <x v="35"/>
    <x v="52"/>
    <n v="417521.7"/>
    <x v="0"/>
    <n v="46.68"/>
    <n v="2.98"/>
    <n v="211.3333753"/>
    <n v="8.3949999999999996"/>
  </r>
  <r>
    <x v="35"/>
    <x v="53"/>
    <n v="401501.2"/>
    <x v="1"/>
    <n v="41.16"/>
    <n v="3.0089999999999999"/>
    <n v="211.69850930000001"/>
    <n v="8.3949999999999996"/>
  </r>
  <r>
    <x v="35"/>
    <x v="54"/>
    <n v="427175.03"/>
    <x v="0"/>
    <n v="57.48"/>
    <n v="3.0169999999999999"/>
    <n v="212.00635220000001"/>
    <n v="8.3949999999999996"/>
  </r>
  <r>
    <x v="35"/>
    <x v="55"/>
    <n v="380279.44"/>
    <x v="0"/>
    <n v="67.73"/>
    <n v="3.0529999999999999"/>
    <n v="212.2912786"/>
    <n v="8.3949999999999996"/>
  </r>
  <r>
    <x v="35"/>
    <x v="56"/>
    <n v="402579.84"/>
    <x v="0"/>
    <n v="64.55"/>
    <n v="3.282"/>
    <n v="212.57620499999999"/>
    <n v="8.3949999999999996"/>
  </r>
  <r>
    <x v="35"/>
    <x v="57"/>
    <n v="407506.78"/>
    <x v="0"/>
    <n v="59.15"/>
    <n v="3.448"/>
    <n v="212.86113130000001"/>
    <n v="8.3949999999999996"/>
  </r>
  <r>
    <x v="35"/>
    <x v="58"/>
    <n v="431412.22"/>
    <x v="0"/>
    <n v="64.900000000000006"/>
    <n v="3.4870000000000001"/>
    <n v="213.10967869999999"/>
    <n v="8.3949999999999996"/>
  </r>
  <r>
    <x v="35"/>
    <x v="59"/>
    <n v="390732.02"/>
    <x v="0"/>
    <n v="71.069999999999993"/>
    <n v="3.488"/>
    <n v="213.3436744"/>
    <n v="8.3949999999999996"/>
  </r>
  <r>
    <x v="35"/>
    <x v="60"/>
    <n v="385672.11"/>
    <x v="0"/>
    <n v="67.31"/>
    <n v="3.5289999999999999"/>
    <n v="213.57767010000001"/>
    <n v="8.3000000000000007"/>
  </r>
  <r>
    <x v="35"/>
    <x v="61"/>
    <n v="428727.61"/>
    <x v="0"/>
    <n v="69.39"/>
    <n v="3.645"/>
    <n v="213.81166579999999"/>
    <n v="8.3000000000000007"/>
  </r>
  <r>
    <x v="35"/>
    <x v="62"/>
    <n v="414986.54"/>
    <x v="0"/>
    <n v="73.25"/>
    <n v="3.7629999999999999"/>
    <n v="214.026217"/>
    <n v="8.3000000000000007"/>
  </r>
  <r>
    <x v="35"/>
    <x v="63"/>
    <n v="374574.72"/>
    <x v="0"/>
    <n v="74.569999999999993"/>
    <n v="3.8050000000000002"/>
    <n v="214.1921572"/>
    <n v="8.3000000000000007"/>
  </r>
  <r>
    <x v="35"/>
    <x v="64"/>
    <n v="340708.78"/>
    <x v="0"/>
    <n v="76.099999999999994"/>
    <n v="3.8370000000000002"/>
    <n v="214.35809739999999"/>
    <n v="8.3000000000000007"/>
  </r>
  <r>
    <x v="35"/>
    <x v="65"/>
    <n v="393401.4"/>
    <x v="0"/>
    <n v="69.56"/>
    <n v="3.9169999999999998"/>
    <n v="214.52403760000001"/>
    <n v="8.3000000000000007"/>
  </r>
  <r>
    <x v="35"/>
    <x v="66"/>
    <n v="395316.65"/>
    <x v="0"/>
    <n v="76.73"/>
    <n v="3.92"/>
    <n v="214.68997780000001"/>
    <n v="8.3000000000000007"/>
  </r>
  <r>
    <x v="35"/>
    <x v="67"/>
    <n v="376183.44"/>
    <x v="0"/>
    <n v="73.02"/>
    <n v="3.9249999999999998"/>
    <n v="214.46541199999999"/>
    <n v="8.3000000000000007"/>
  </r>
  <r>
    <x v="35"/>
    <x v="68"/>
    <n v="348655.2"/>
    <x v="0"/>
    <n v="81.28"/>
    <n v="3.786"/>
    <n v="214.24084619999999"/>
    <n v="8.3000000000000007"/>
  </r>
  <r>
    <x v="35"/>
    <x v="69"/>
    <n v="373703.95"/>
    <x v="0"/>
    <n v="82.96"/>
    <n v="3.69"/>
    <n v="214.01628049999999"/>
    <n v="8.3000000000000007"/>
  </r>
  <r>
    <x v="35"/>
    <x v="70"/>
    <n v="374182.04"/>
    <x v="0"/>
    <n v="82.41"/>
    <n v="3.633"/>
    <n v="213.7917147"/>
    <n v="8.3000000000000007"/>
  </r>
  <r>
    <x v="35"/>
    <x v="71"/>
    <n v="394645.25"/>
    <x v="0"/>
    <n v="84.43"/>
    <n v="3.5990000000000002"/>
    <n v="213.74812560000001"/>
    <n v="8.3000000000000007"/>
  </r>
  <r>
    <x v="35"/>
    <x v="72"/>
    <n v="360009.94"/>
    <x v="0"/>
    <n v="83.95"/>
    <n v="3.569"/>
    <n v="213.84026890000001"/>
    <n v="8.3000000000000007"/>
  </r>
  <r>
    <x v="35"/>
    <x v="73"/>
    <n v="354270.77"/>
    <x v="0"/>
    <n v="85.33"/>
    <n v="3.5019999999999998"/>
    <n v="213.93241219999999"/>
    <n v="8.1769999999999996"/>
  </r>
  <r>
    <x v="35"/>
    <x v="74"/>
    <n v="377464.62"/>
    <x v="0"/>
    <n v="84.71"/>
    <n v="3.44"/>
    <n v="214.02455560000001"/>
    <n v="8.1769999999999996"/>
  </r>
  <r>
    <x v="35"/>
    <x v="75"/>
    <n v="385631.48"/>
    <x v="0"/>
    <n v="85.63"/>
    <n v="3.55"/>
    <n v="214.1083654"/>
    <n v="8.1769999999999996"/>
  </r>
  <r>
    <x v="35"/>
    <x v="76"/>
    <n v="361311.41"/>
    <x v="0"/>
    <n v="83.31"/>
    <n v="3.637"/>
    <n v="214.17134160000001"/>
    <n v="8.1769999999999996"/>
  </r>
  <r>
    <x v="35"/>
    <x v="77"/>
    <n v="354361.08"/>
    <x v="0"/>
    <n v="84.99"/>
    <n v="3.66"/>
    <n v="214.23431769999999"/>
    <n v="8.1769999999999996"/>
  </r>
  <r>
    <x v="35"/>
    <x v="78"/>
    <n v="381017.75"/>
    <x v="0"/>
    <n v="86.71"/>
    <n v="3.6520000000000001"/>
    <n v="214.2972939"/>
    <n v="8.1769999999999996"/>
  </r>
  <r>
    <x v="35"/>
    <x v="79"/>
    <n v="380188.69"/>
    <x v="0"/>
    <n v="87.64"/>
    <n v="3.6080000000000001"/>
    <n v="214.36027010000001"/>
    <n v="8.1769999999999996"/>
  </r>
  <r>
    <x v="35"/>
    <x v="80"/>
    <n v="373267.58"/>
    <x v="0"/>
    <n v="87.24"/>
    <n v="3.5339999999999998"/>
    <n v="214.42399349999999"/>
    <n v="8.1769999999999996"/>
  </r>
  <r>
    <x v="35"/>
    <x v="81"/>
    <n v="344964.2"/>
    <x v="0"/>
    <n v="86.02"/>
    <n v="3.5009999999999999"/>
    <n v="214.4878416"/>
    <n v="8.1769999999999996"/>
  </r>
  <r>
    <x v="35"/>
    <x v="82"/>
    <n v="350276.29"/>
    <x v="0"/>
    <n v="87.5"/>
    <n v="3.4809999999999999"/>
    <n v="214.5516896"/>
    <n v="8.1769999999999996"/>
  </r>
  <r>
    <x v="35"/>
    <x v="83"/>
    <n v="352960.64"/>
    <x v="1"/>
    <n v="77.94"/>
    <n v="3.4990000000000001"/>
    <n v="214.61553760000001"/>
    <n v="8.1769999999999996"/>
  </r>
  <r>
    <x v="35"/>
    <x v="84"/>
    <n v="343108.12"/>
    <x v="0"/>
    <n v="82.06"/>
    <n v="3.4729999999999999"/>
    <n v="214.79341109999999"/>
    <n v="8.1769999999999996"/>
  </r>
  <r>
    <x v="35"/>
    <x v="85"/>
    <n v="322405.13"/>
    <x v="0"/>
    <n v="78.349999999999994"/>
    <n v="3.4409999999999998"/>
    <n v="215.12331850000001"/>
    <n v="8.1769999999999996"/>
  </r>
  <r>
    <x v="35"/>
    <x v="86"/>
    <n v="314910.37"/>
    <x v="0"/>
    <n v="81.52"/>
    <n v="3.3279999999999998"/>
    <n v="215.45322590000001"/>
    <n v="8.1769999999999996"/>
  </r>
  <r>
    <x v="35"/>
    <x v="87"/>
    <n v="346137.87"/>
    <x v="0"/>
    <n v="71.2"/>
    <n v="3.262"/>
    <n v="215.7831333"/>
    <n v="7.7160000000000002"/>
  </r>
  <r>
    <x v="35"/>
    <x v="88"/>
    <n v="342076.99"/>
    <x v="0"/>
    <n v="74.16"/>
    <n v="3.234"/>
    <n v="216.08852580000001"/>
    <n v="7.7160000000000002"/>
  </r>
  <r>
    <x v="35"/>
    <x v="89"/>
    <n v="328633.34000000003"/>
    <x v="0"/>
    <n v="67.89"/>
    <n v="3.3079999999999998"/>
    <n v="216.24682870000001"/>
    <n v="7.7160000000000002"/>
  </r>
  <r>
    <x v="35"/>
    <x v="90"/>
    <n v="306193.81"/>
    <x v="0"/>
    <n v="71.31"/>
    <n v="3.306"/>
    <n v="216.40513150000001"/>
    <n v="7.7160000000000002"/>
  </r>
  <r>
    <x v="35"/>
    <x v="91"/>
    <n v="313387.11"/>
    <x v="0"/>
    <n v="58.97"/>
    <n v="3.2869999999999999"/>
    <n v="216.56343440000001"/>
    <n v="7.7160000000000002"/>
  </r>
  <r>
    <x v="35"/>
    <x v="92"/>
    <n v="328498.92"/>
    <x v="0"/>
    <n v="63.5"/>
    <n v="3.254"/>
    <n v="216.7217373"/>
    <n v="7.7160000000000002"/>
  </r>
  <r>
    <x v="35"/>
    <x v="93"/>
    <n v="332901.94"/>
    <x v="0"/>
    <n v="66.28"/>
    <n v="3.26"/>
    <n v="216.93958610000001"/>
    <n v="7.7160000000000002"/>
  </r>
  <r>
    <x v="35"/>
    <x v="94"/>
    <n v="332811.55"/>
    <x v="1"/>
    <n v="66.41"/>
    <n v="3.181"/>
    <n v="217.18125330000001"/>
    <n v="7.7160000000000002"/>
  </r>
  <r>
    <x v="35"/>
    <x v="95"/>
    <n v="293350.51"/>
    <x v="0"/>
    <n v="53.57"/>
    <n v="3.1640000000000001"/>
    <n v="217.4229206"/>
    <n v="7.7160000000000002"/>
  </r>
  <r>
    <x v="35"/>
    <x v="96"/>
    <n v="312298.37"/>
    <x v="0"/>
    <n v="50.64"/>
    <n v="3.1469999999999998"/>
    <n v="217.66458779999999"/>
    <n v="7.7160000000000002"/>
  </r>
  <r>
    <x v="35"/>
    <x v="97"/>
    <n v="341503.92"/>
    <x v="0"/>
    <n v="58.31"/>
    <n v="3.133"/>
    <n v="217.87813389999999"/>
    <n v="7.7160000000000002"/>
  </r>
  <r>
    <x v="35"/>
    <x v="98"/>
    <n v="325262.46000000002"/>
    <x v="0"/>
    <n v="55.41"/>
    <n v="3.0979999999999999"/>
    <n v="218.05418510000001"/>
    <n v="7.7160000000000002"/>
  </r>
  <r>
    <x v="35"/>
    <x v="99"/>
    <n v="287425.21999999997"/>
    <x v="1"/>
    <n v="48.26"/>
    <n v="3.1320000000000001"/>
    <n v="218.2302364"/>
    <n v="7.7160000000000002"/>
  </r>
  <r>
    <x v="35"/>
    <x v="100"/>
    <n v="329467.82"/>
    <x v="0"/>
    <n v="57.18"/>
    <n v="3.129"/>
    <n v="218.40628760000001"/>
    <n v="7.2439999999999998"/>
  </r>
  <r>
    <x v="35"/>
    <x v="101"/>
    <n v="325976.34000000003"/>
    <x v="0"/>
    <n v="56.28"/>
    <n v="3.254"/>
    <n v="218.5823389"/>
    <n v="7.2439999999999998"/>
  </r>
  <r>
    <x v="35"/>
    <x v="102"/>
    <n v="330927.21000000002"/>
    <x v="0"/>
    <n v="58.9"/>
    <n v="3.2749999999999999"/>
    <n v="218.6755292"/>
    <n v="7.2439999999999998"/>
  </r>
  <r>
    <x v="35"/>
    <x v="103"/>
    <n v="301444.94"/>
    <x v="0"/>
    <n v="62.73"/>
    <n v="3.3130000000000002"/>
    <n v="218.7687195"/>
    <n v="7.2439999999999998"/>
  </r>
  <r>
    <x v="35"/>
    <x v="104"/>
    <n v="310982.87"/>
    <x v="0"/>
    <n v="61.33"/>
    <n v="3.4209999999999998"/>
    <n v="218.8619099"/>
    <n v="7.2439999999999998"/>
  </r>
  <r>
    <x v="35"/>
    <x v="105"/>
    <n v="335741.9"/>
    <x v="1"/>
    <n v="54.49"/>
    <n v="3.4620000000000002"/>
    <n v="218.9551002"/>
    <n v="7.2439999999999998"/>
  </r>
  <r>
    <x v="35"/>
    <x v="106"/>
    <n v="326316.73"/>
    <x v="0"/>
    <n v="54.38"/>
    <n v="3.5030000000000001"/>
    <n v="219.1148297"/>
    <n v="7.2439999999999998"/>
  </r>
  <r>
    <x v="35"/>
    <x v="107"/>
    <n v="313270.45"/>
    <x v="0"/>
    <n v="62.21"/>
    <n v="3.55"/>
    <n v="219.3244636"/>
    <n v="7.2439999999999998"/>
  </r>
  <r>
    <x v="35"/>
    <x v="108"/>
    <n v="315396.71999999997"/>
    <x v="0"/>
    <n v="64.540000000000006"/>
    <n v="3.6190000000000002"/>
    <n v="219.5340975"/>
    <n v="7.2439999999999998"/>
  </r>
  <r>
    <x v="35"/>
    <x v="109"/>
    <n v="318674.93"/>
    <x v="0"/>
    <n v="63.19"/>
    <n v="3.6469999999999998"/>
    <n v="219.7437314"/>
    <n v="7.2439999999999998"/>
  </r>
  <r>
    <x v="35"/>
    <x v="110"/>
    <n v="335345.82"/>
    <x v="0"/>
    <n v="67.48"/>
    <n v="3.7789999999999999"/>
    <n v="219.8956335"/>
    <n v="7.2439999999999998"/>
  </r>
  <r>
    <x v="35"/>
    <x v="111"/>
    <n v="317872.51"/>
    <x v="0"/>
    <n v="69.180000000000007"/>
    <n v="3.8450000000000002"/>
    <n v="219.97055990000001"/>
    <n v="7.2439999999999998"/>
  </r>
  <r>
    <x v="35"/>
    <x v="112"/>
    <n v="304144.90000000002"/>
    <x v="0"/>
    <n v="70.48"/>
    <n v="3.891"/>
    <n v="220.0454862"/>
    <n v="7.2439999999999998"/>
  </r>
  <r>
    <x v="35"/>
    <x v="113"/>
    <n v="331026.11"/>
    <x v="0"/>
    <n v="73.95"/>
    <n v="3.9340000000000002"/>
    <n v="220.12041249999999"/>
    <n v="6.9889999999999999"/>
  </r>
  <r>
    <x v="35"/>
    <x v="114"/>
    <n v="339407.94"/>
    <x v="0"/>
    <n v="72.540000000000006"/>
    <n v="3.919"/>
    <n v="220.1953389"/>
    <n v="6.9889999999999999"/>
  </r>
  <r>
    <x v="35"/>
    <x v="115"/>
    <n v="323915.32"/>
    <x v="0"/>
    <n v="70.87"/>
    <n v="3.9180000000000001"/>
    <n v="220.24839370000001"/>
    <n v="6.9889999999999999"/>
  </r>
  <r>
    <x v="35"/>
    <x v="116"/>
    <n v="308389.82"/>
    <x v="0"/>
    <n v="70.06"/>
    <n v="3.8879999999999999"/>
    <n v="220.30144849999999"/>
    <n v="6.9889999999999999"/>
  </r>
  <r>
    <x v="35"/>
    <x v="117"/>
    <n v="312467.52"/>
    <x v="0"/>
    <n v="77.17"/>
    <n v="3.835"/>
    <n v="220.3545033"/>
    <n v="6.9889999999999999"/>
  </r>
  <r>
    <x v="35"/>
    <x v="118"/>
    <n v="330518.34000000003"/>
    <x v="0"/>
    <n v="76.55"/>
    <n v="3.7639999999999998"/>
    <n v="220.40755809999999"/>
    <n v="6.9889999999999999"/>
  </r>
  <r>
    <x v="35"/>
    <x v="119"/>
    <n v="324801.13"/>
    <x v="0"/>
    <n v="73.7"/>
    <n v="3.7130000000000001"/>
    <n v="220.42521489999999"/>
    <n v="6.9889999999999999"/>
  </r>
  <r>
    <x v="35"/>
    <x v="120"/>
    <n v="306098.17"/>
    <x v="0"/>
    <n v="78.94"/>
    <n v="3.6360000000000001"/>
    <n v="220.42871239999999"/>
    <n v="6.9889999999999999"/>
  </r>
  <r>
    <x v="35"/>
    <x v="121"/>
    <n v="306005.53000000003"/>
    <x v="0"/>
    <n v="80.739999999999995"/>
    <n v="3.5670000000000002"/>
    <n v="220.4322099"/>
    <n v="6.9889999999999999"/>
  </r>
  <r>
    <x v="35"/>
    <x v="122"/>
    <n v="338273.38"/>
    <x v="0"/>
    <n v="81.5"/>
    <n v="3.5129999999999999"/>
    <n v="220.43570729999999"/>
    <n v="6.9889999999999999"/>
  </r>
  <r>
    <x v="35"/>
    <x v="123"/>
    <n v="333146.88"/>
    <x v="0"/>
    <n v="82.15"/>
    <n v="3.407"/>
    <n v="220.4494148"/>
    <n v="6.9889999999999999"/>
  </r>
  <r>
    <x v="35"/>
    <x v="124"/>
    <n v="306411.01"/>
    <x v="0"/>
    <n v="80.400000000000006"/>
    <n v="3.3580000000000001"/>
    <n v="220.4886472"/>
    <n v="6.9889999999999999"/>
  </r>
  <r>
    <x v="35"/>
    <x v="125"/>
    <n v="291530.43"/>
    <x v="0"/>
    <n v="86.68"/>
    <n v="3.2730000000000001"/>
    <n v="220.52787960000001"/>
    <n v="6.9889999999999999"/>
  </r>
  <r>
    <x v="35"/>
    <x v="126"/>
    <n v="306578.89"/>
    <x v="0"/>
    <n v="81.52"/>
    <n v="3.2320000000000002"/>
    <n v="220.56711200000001"/>
    <n v="6.6230000000000002"/>
  </r>
  <r>
    <x v="35"/>
    <x v="127"/>
    <n v="298337.40999999997"/>
    <x v="0"/>
    <n v="78.150000000000006"/>
    <n v="3.2450000000000001"/>
    <n v="220.60634440000001"/>
    <n v="6.6230000000000002"/>
  </r>
  <r>
    <x v="35"/>
    <x v="128"/>
    <n v="303289.55"/>
    <x v="0"/>
    <n v="81.760000000000005"/>
    <n v="3.3010000000000002"/>
    <n v="220.61487489999999"/>
    <n v="6.6230000000000002"/>
  </r>
  <r>
    <x v="35"/>
    <x v="129"/>
    <n v="279643.43"/>
    <x v="0"/>
    <n v="84"/>
    <n v="3.3919999999999999"/>
    <n v="220.6234054"/>
    <n v="6.6230000000000002"/>
  </r>
  <r>
    <x v="35"/>
    <x v="130"/>
    <n v="304989.96999999997"/>
    <x v="0"/>
    <n v="85.56"/>
    <n v="3.4039999999999999"/>
    <n v="220.63193580000001"/>
    <n v="6.6230000000000002"/>
  </r>
  <r>
    <x v="35"/>
    <x v="131"/>
    <n v="298947.51"/>
    <x v="0"/>
    <n v="84.41"/>
    <n v="3.49"/>
    <n v="220.64046630000001"/>
    <n v="6.6230000000000002"/>
  </r>
  <r>
    <x v="35"/>
    <x v="132"/>
    <n v="314607.21999999997"/>
    <x v="0"/>
    <n v="85.89"/>
    <n v="3.5710000000000002"/>
    <n v="220.71996089999999"/>
    <n v="6.6230000000000002"/>
  </r>
  <r>
    <x v="35"/>
    <x v="133"/>
    <n v="282545.55"/>
    <x v="0"/>
    <n v="81.260000000000005"/>
    <n v="3.5739999999999998"/>
    <n v="220.85267870000001"/>
    <n v="6.6230000000000002"/>
  </r>
  <r>
    <x v="35"/>
    <x v="134"/>
    <n v="282647.48"/>
    <x v="0"/>
    <n v="84.79"/>
    <n v="3.6080000000000001"/>
    <n v="220.98539640000001"/>
    <n v="6.6230000000000002"/>
  </r>
  <r>
    <x v="35"/>
    <x v="135"/>
    <n v="293728.57"/>
    <x v="1"/>
    <n v="84.19"/>
    <n v="3.6970000000000001"/>
    <n v="221.11811420000001"/>
    <n v="6.6230000000000002"/>
  </r>
  <r>
    <x v="35"/>
    <x v="136"/>
    <n v="301893.63"/>
    <x v="0"/>
    <n v="78.16"/>
    <n v="3.6920000000000002"/>
    <n v="221.26012069999999"/>
    <n v="6.6230000000000002"/>
  </r>
  <r>
    <x v="35"/>
    <x v="137"/>
    <n v="293804.45"/>
    <x v="0"/>
    <n v="75.98"/>
    <n v="3.7090000000000001"/>
    <n v="221.45786039999999"/>
    <n v="6.6230000000000002"/>
  </r>
  <r>
    <x v="35"/>
    <x v="138"/>
    <n v="270677.98"/>
    <x v="0"/>
    <n v="79.489999999999995"/>
    <n v="3.66"/>
    <n v="221.65559999999999"/>
    <n v="6.6230000000000002"/>
  </r>
  <r>
    <x v="35"/>
    <x v="139"/>
    <n v="277137.86"/>
    <x v="0"/>
    <n v="73.569999999999993"/>
    <n v="3.6110000000000002"/>
    <n v="221.8533396"/>
    <n v="6.2279999999999998"/>
  </r>
  <r>
    <x v="35"/>
    <x v="140"/>
    <n v="300236.84999999998"/>
    <x v="0"/>
    <n v="71.28"/>
    <n v="3.5760000000000001"/>
    <n v="222.0510793"/>
    <n v="6.2279999999999998"/>
  </r>
  <r>
    <x v="35"/>
    <x v="141"/>
    <n v="287360.05"/>
    <x v="0"/>
    <n v="74.06"/>
    <n v="3.57"/>
    <n v="222.0951719"/>
    <n v="6.2279999999999998"/>
  </r>
  <r>
    <x v="35"/>
    <x v="142"/>
    <n v="272489.40999999997"/>
    <x v="0"/>
    <n v="74.39"/>
    <n v="3.4940000000000002"/>
    <n v="222.11365660000001"/>
    <n v="6.2279999999999998"/>
  </r>
  <r>
    <x v="36"/>
    <x v="0"/>
    <n v="536006.73"/>
    <x v="0"/>
    <n v="45.97"/>
    <n v="2.5720000000000001"/>
    <n v="209.85296629999999"/>
    <n v="8.5540000000000003"/>
  </r>
  <r>
    <x v="36"/>
    <x v="1"/>
    <n v="529852.69999999995"/>
    <x v="1"/>
    <n v="46.11"/>
    <n v="2.548"/>
    <n v="209.9970208"/>
    <n v="8.5540000000000003"/>
  </r>
  <r>
    <x v="36"/>
    <x v="2"/>
    <n v="510382.5"/>
    <x v="0"/>
    <n v="45.66"/>
    <n v="2.5139999999999998"/>
    <n v="210.04510239999999"/>
    <n v="8.5540000000000003"/>
  </r>
  <r>
    <x v="36"/>
    <x v="3"/>
    <n v="513615.82"/>
    <x v="0"/>
    <n v="50.87"/>
    <n v="2.5609999999999999"/>
    <n v="210.07718850000001"/>
    <n v="8.5540000000000003"/>
  </r>
  <r>
    <x v="36"/>
    <x v="4"/>
    <n v="519255.68"/>
    <x v="0"/>
    <n v="51.33"/>
    <n v="2.625"/>
    <n v="210.10927459999999"/>
    <n v="8.5540000000000003"/>
  </r>
  <r>
    <x v="36"/>
    <x v="5"/>
    <n v="513015.35"/>
    <x v="0"/>
    <n v="61.96"/>
    <n v="2.6669999999999998"/>
    <n v="210.14136070000001"/>
    <n v="8.5540000000000003"/>
  </r>
  <r>
    <x v="36"/>
    <x v="6"/>
    <n v="460020.74"/>
    <x v="0"/>
    <n v="59.56"/>
    <n v="2.72"/>
    <n v="209.98032079999999"/>
    <n v="8.5540000000000003"/>
  </r>
  <r>
    <x v="36"/>
    <x v="7"/>
    <n v="515777.97"/>
    <x v="0"/>
    <n v="55.76"/>
    <n v="2.7320000000000002"/>
    <n v="209.78709319999999"/>
    <n v="8.5540000000000003"/>
  </r>
  <r>
    <x v="36"/>
    <x v="8"/>
    <n v="540189.69999999995"/>
    <x v="0"/>
    <n v="63.43"/>
    <n v="2.7189999999999999"/>
    <n v="209.59386559999999"/>
    <n v="8.4640000000000004"/>
  </r>
  <r>
    <x v="36"/>
    <x v="9"/>
    <n v="513327.55"/>
    <x v="0"/>
    <n v="68.540000000000006"/>
    <n v="2.77"/>
    <n v="209.40063799999999"/>
    <n v="8.4640000000000004"/>
  </r>
  <r>
    <x v="36"/>
    <x v="10"/>
    <n v="524544.82999999996"/>
    <x v="0"/>
    <n v="66.739999999999995"/>
    <n v="2.8079999999999998"/>
    <n v="209.2691428"/>
    <n v="8.4640000000000004"/>
  </r>
  <r>
    <x v="36"/>
    <x v="11"/>
    <n v="527019.78"/>
    <x v="0"/>
    <n v="68.03"/>
    <n v="2.7949999999999999"/>
    <n v="209.2199574"/>
    <n v="8.4640000000000004"/>
  </r>
  <r>
    <x v="36"/>
    <x v="12"/>
    <n v="517850.83"/>
    <x v="0"/>
    <n v="70.900000000000006"/>
    <n v="2.78"/>
    <n v="209.170772"/>
    <n v="8.4640000000000004"/>
  </r>
  <r>
    <x v="36"/>
    <x v="13"/>
    <n v="543234.77"/>
    <x v="0"/>
    <n v="75.56"/>
    <n v="2.835"/>
    <n v="209.12158669999999"/>
    <n v="8.4640000000000004"/>
  </r>
  <r>
    <x v="36"/>
    <x v="14"/>
    <n v="505196.08"/>
    <x v="0"/>
    <n v="77.53"/>
    <n v="2.8540000000000001"/>
    <n v="209.11853600000001"/>
    <n v="8.4640000000000004"/>
  </r>
  <r>
    <x v="36"/>
    <x v="15"/>
    <n v="510494.7"/>
    <x v="0"/>
    <n v="77.34"/>
    <n v="2.8260000000000001"/>
    <n v="209.39229370000001"/>
    <n v="8.4640000000000004"/>
  </r>
  <r>
    <x v="36"/>
    <x v="16"/>
    <n v="532241.22"/>
    <x v="0"/>
    <n v="80.87"/>
    <n v="2.7589999999999999"/>
    <n v="209.66605139999999"/>
    <n v="8.4640000000000004"/>
  </r>
  <r>
    <x v="36"/>
    <x v="17"/>
    <n v="479195.02"/>
    <x v="0"/>
    <n v="79.930000000000007"/>
    <n v="2.7050000000000001"/>
    <n v="209.93980909999999"/>
    <n v="8.4640000000000004"/>
  </r>
  <r>
    <x v="36"/>
    <x v="18"/>
    <n v="481915.11"/>
    <x v="0"/>
    <n v="82.3"/>
    <n v="2.6680000000000001"/>
    <n v="210.2135668"/>
    <n v="8.4640000000000004"/>
  </r>
  <r>
    <x v="36"/>
    <x v="19"/>
    <n v="505761.62"/>
    <x v="0"/>
    <n v="84.37"/>
    <n v="2.637"/>
    <n v="210.2108417"/>
    <n v="8.4640000000000004"/>
  </r>
  <r>
    <x v="36"/>
    <x v="20"/>
    <n v="485419.39"/>
    <x v="0"/>
    <n v="84.14"/>
    <n v="2.653"/>
    <n v="210.09752330000001"/>
    <n v="8.4640000000000004"/>
  </r>
  <r>
    <x v="36"/>
    <x v="21"/>
    <n v="498292.53"/>
    <x v="0"/>
    <n v="81.849999999999994"/>
    <n v="2.669"/>
    <n v="209.984205"/>
    <n v="8.36"/>
  </r>
  <r>
    <x v="36"/>
    <x v="22"/>
    <n v="502456.04"/>
    <x v="0"/>
    <n v="81.739999999999995"/>
    <n v="2.6419999999999999"/>
    <n v="209.8708867"/>
    <n v="8.36"/>
  </r>
  <r>
    <x v="36"/>
    <x v="23"/>
    <n v="485150.01"/>
    <x v="0"/>
    <n v="84.43"/>
    <n v="2.6230000000000002"/>
    <n v="209.8630532"/>
    <n v="8.36"/>
  </r>
  <r>
    <x v="36"/>
    <x v="24"/>
    <n v="491998.12"/>
    <x v="0"/>
    <n v="82.6"/>
    <n v="2.6080000000000001"/>
    <n v="209.99586629999999"/>
    <n v="8.36"/>
  </r>
  <r>
    <x v="36"/>
    <x v="25"/>
    <n v="487912.95"/>
    <x v="0"/>
    <n v="81.88"/>
    <n v="2.64"/>
    <n v="210.12867940000001"/>
    <n v="8.36"/>
  </r>
  <r>
    <x v="36"/>
    <x v="26"/>
    <n v="508576.62"/>
    <x v="0"/>
    <n v="85.49"/>
    <n v="2.6269999999999998"/>
    <n v="210.2614925"/>
    <n v="8.36"/>
  </r>
  <r>
    <x v="36"/>
    <x v="27"/>
    <n v="491815.83"/>
    <x v="0"/>
    <n v="86.06"/>
    <n v="2.6920000000000002"/>
    <n v="210.3943056"/>
    <n v="8.36"/>
  </r>
  <r>
    <x v="36"/>
    <x v="28"/>
    <n v="486930.72"/>
    <x v="0"/>
    <n v="85.54"/>
    <n v="2.6640000000000001"/>
    <n v="210.3617581"/>
    <n v="8.36"/>
  </r>
  <r>
    <x v="36"/>
    <x v="29"/>
    <n v="512157.25"/>
    <x v="0"/>
    <n v="84.62"/>
    <n v="2.6190000000000002"/>
    <n v="210.32921060000001"/>
    <n v="8.36"/>
  </r>
  <r>
    <x v="36"/>
    <x v="30"/>
    <n v="510427.53"/>
    <x v="0"/>
    <n v="82.29"/>
    <n v="2.577"/>
    <n v="210.29666309999999"/>
    <n v="8.36"/>
  </r>
  <r>
    <x v="36"/>
    <x v="31"/>
    <n v="510296.07"/>
    <x v="1"/>
    <n v="80.58"/>
    <n v="2.5649999999999999"/>
    <n v="210.2641156"/>
    <n v="8.36"/>
  </r>
  <r>
    <x v="36"/>
    <x v="32"/>
    <n v="501251.4"/>
    <x v="0"/>
    <n v="82.1"/>
    <n v="2.5819999999999999"/>
    <n v="210.29245040000001"/>
    <n v="8.36"/>
  </r>
  <r>
    <x v="36"/>
    <x v="33"/>
    <n v="494265.48"/>
    <x v="0"/>
    <n v="79.17"/>
    <n v="2.6240000000000001"/>
    <n v="210.3664469"/>
    <n v="8.36"/>
  </r>
  <r>
    <x v="36"/>
    <x v="34"/>
    <n v="529877.93000000005"/>
    <x v="0"/>
    <n v="74.66"/>
    <n v="2.6030000000000002"/>
    <n v="210.4404433"/>
    <n v="8.4760000000000009"/>
  </r>
  <r>
    <x v="36"/>
    <x v="35"/>
    <n v="524483.65"/>
    <x v="0"/>
    <n v="66.34"/>
    <n v="2.633"/>
    <n v="210.51443979999999"/>
    <n v="8.4760000000000009"/>
  </r>
  <r>
    <x v="36"/>
    <x v="36"/>
    <n v="498925.86"/>
    <x v="0"/>
    <n v="71.569999999999993"/>
    <n v="2.72"/>
    <n v="210.5805944"/>
    <n v="8.4760000000000009"/>
  </r>
  <r>
    <x v="36"/>
    <x v="37"/>
    <n v="510425.4"/>
    <x v="0"/>
    <n v="72.239999999999995"/>
    <n v="2.7250000000000001"/>
    <n v="210.62714439999999"/>
    <n v="8.4760000000000009"/>
  </r>
  <r>
    <x v="36"/>
    <x v="38"/>
    <n v="514485.9"/>
    <x v="0"/>
    <n v="76.22"/>
    <n v="2.7160000000000002"/>
    <n v="210.67369439999999"/>
    <n v="8.4760000000000009"/>
  </r>
  <r>
    <x v="36"/>
    <x v="39"/>
    <n v="539683.42000000004"/>
    <x v="0"/>
    <n v="62.72"/>
    <n v="2.6890000000000001"/>
    <n v="210.72024440000001"/>
    <n v="8.4760000000000009"/>
  </r>
  <r>
    <x v="36"/>
    <x v="40"/>
    <n v="517546.69"/>
    <x v="0"/>
    <n v="61.97"/>
    <n v="2.7280000000000002"/>
    <n v="210.76679440000001"/>
    <n v="8.4760000000000009"/>
  </r>
  <r>
    <x v="36"/>
    <x v="41"/>
    <n v="518124.16"/>
    <x v="0"/>
    <n v="56.73"/>
    <n v="2.7709999999999999"/>
    <n v="210.65429"/>
    <n v="8.4760000000000009"/>
  </r>
  <r>
    <x v="36"/>
    <x v="42"/>
    <n v="518220.72"/>
    <x v="1"/>
    <n v="67.73"/>
    <n v="2.7349999999999999"/>
    <n v="210.5152765"/>
    <n v="8.4760000000000009"/>
  </r>
  <r>
    <x v="36"/>
    <x v="43"/>
    <n v="508213.14"/>
    <x v="0"/>
    <n v="54.44"/>
    <n v="2.7080000000000002"/>
    <n v="210.37626299999999"/>
    <n v="8.4760000000000009"/>
  </r>
  <r>
    <x v="36"/>
    <x v="44"/>
    <n v="511207.52"/>
    <x v="0"/>
    <n v="51.83"/>
    <n v="2.843"/>
    <n v="210.2372494"/>
    <n v="8.4760000000000009"/>
  </r>
  <r>
    <x v="36"/>
    <x v="45"/>
    <n v="534285.21"/>
    <x v="0"/>
    <n v="56.73"/>
    <n v="2.8690000000000002"/>
    <n v="210.1787224"/>
    <n v="8.4760000000000009"/>
  </r>
  <r>
    <x v="36"/>
    <x v="46"/>
    <n v="576809.92000000004"/>
    <x v="0"/>
    <n v="59.1"/>
    <n v="2.8860000000000001"/>
    <n v="210.1805602"/>
    <n v="8.4760000000000009"/>
  </r>
  <r>
    <x v="36"/>
    <x v="47"/>
    <n v="460331.7"/>
    <x v="1"/>
    <n v="52.88"/>
    <n v="2.9430000000000001"/>
    <n v="210.18239800000001"/>
    <n v="8.4760000000000009"/>
  </r>
  <r>
    <x v="36"/>
    <x v="48"/>
    <n v="542464.02"/>
    <x v="0"/>
    <n v="54.11"/>
    <n v="2.976"/>
    <n v="210.18423580000001"/>
    <n v="8.3949999999999996"/>
  </r>
  <r>
    <x v="36"/>
    <x v="49"/>
    <n v="525616.9"/>
    <x v="0"/>
    <n v="42.87"/>
    <n v="2.9830000000000001"/>
    <n v="210.2379731"/>
    <n v="8.3949999999999996"/>
  </r>
  <r>
    <x v="36"/>
    <x v="50"/>
    <n v="526486.81999999995"/>
    <x v="0"/>
    <n v="51.18"/>
    <n v="3.016"/>
    <n v="210.60310720000001"/>
    <n v="8.3949999999999996"/>
  </r>
  <r>
    <x v="36"/>
    <x v="51"/>
    <n v="513672.36"/>
    <x v="0"/>
    <n v="48.74"/>
    <n v="3.01"/>
    <n v="210.96824119999999"/>
    <n v="8.3949999999999996"/>
  </r>
  <r>
    <x v="36"/>
    <x v="52"/>
    <n v="583835.18000000005"/>
    <x v="0"/>
    <n v="46.68"/>
    <n v="2.9889999999999999"/>
    <n v="211.3333753"/>
    <n v="8.3949999999999996"/>
  </r>
  <r>
    <x v="36"/>
    <x v="53"/>
    <n v="522514.32"/>
    <x v="1"/>
    <n v="41.16"/>
    <n v="3.0219999999999998"/>
    <n v="211.69850930000001"/>
    <n v="8.3949999999999996"/>
  </r>
  <r>
    <x v="36"/>
    <x v="54"/>
    <n v="536840.68999999994"/>
    <x v="0"/>
    <n v="57.48"/>
    <n v="3.0449999999999999"/>
    <n v="212.00635220000001"/>
    <n v="8.3949999999999996"/>
  </r>
  <r>
    <x v="36"/>
    <x v="55"/>
    <n v="514758.19"/>
    <x v="0"/>
    <n v="67.73"/>
    <n v="3.0649999999999999"/>
    <n v="212.2912786"/>
    <n v="8.3949999999999996"/>
  </r>
  <r>
    <x v="36"/>
    <x v="56"/>
    <n v="527572.25"/>
    <x v="0"/>
    <n v="64.55"/>
    <n v="3.2879999999999998"/>
    <n v="212.57620499999999"/>
    <n v="8.3949999999999996"/>
  </r>
  <r>
    <x v="36"/>
    <x v="57"/>
    <n v="505610.4"/>
    <x v="0"/>
    <n v="59.15"/>
    <n v="3.4590000000000001"/>
    <n v="212.86113130000001"/>
    <n v="8.3949999999999996"/>
  </r>
  <r>
    <x v="36"/>
    <x v="58"/>
    <n v="478503.06"/>
    <x v="0"/>
    <n v="64.900000000000006"/>
    <n v="3.488"/>
    <n v="213.10967869999999"/>
    <n v="8.3949999999999996"/>
  </r>
  <r>
    <x v="36"/>
    <x v="59"/>
    <n v="522105.93"/>
    <x v="0"/>
    <n v="71.069999999999993"/>
    <n v="3.4729999999999999"/>
    <n v="213.3436744"/>
    <n v="8.3949999999999996"/>
  </r>
  <r>
    <x v="36"/>
    <x v="60"/>
    <n v="534578.78"/>
    <x v="0"/>
    <n v="67.31"/>
    <n v="3.524"/>
    <n v="213.57767010000001"/>
    <n v="8.3000000000000007"/>
  </r>
  <r>
    <x v="36"/>
    <x v="61"/>
    <n v="543703.16"/>
    <x v="0"/>
    <n v="69.39"/>
    <n v="3.6219999999999999"/>
    <n v="213.81166579999999"/>
    <n v="8.3000000000000007"/>
  </r>
  <r>
    <x v="36"/>
    <x v="62"/>
    <n v="543775.87"/>
    <x v="0"/>
    <n v="73.25"/>
    <n v="3.7429999999999999"/>
    <n v="214.026217"/>
    <n v="8.3000000000000007"/>
  </r>
  <r>
    <x v="36"/>
    <x v="63"/>
    <n v="526434.37"/>
    <x v="0"/>
    <n v="74.569999999999993"/>
    <n v="3.8069999999999999"/>
    <n v="214.1921572"/>
    <n v="8.3000000000000007"/>
  </r>
  <r>
    <x v="36"/>
    <x v="64"/>
    <n v="502918.18"/>
    <x v="0"/>
    <n v="76.099999999999994"/>
    <n v="3.81"/>
    <n v="214.35809739999999"/>
    <n v="8.3000000000000007"/>
  </r>
  <r>
    <x v="36"/>
    <x v="65"/>
    <n v="547513.30000000005"/>
    <x v="0"/>
    <n v="69.56"/>
    <n v="3.9060000000000001"/>
    <n v="214.52403760000001"/>
    <n v="8.3000000000000007"/>
  </r>
  <r>
    <x v="36"/>
    <x v="66"/>
    <n v="511871.63"/>
    <x v="0"/>
    <n v="76.73"/>
    <n v="3.899"/>
    <n v="214.68997780000001"/>
    <n v="8.3000000000000007"/>
  </r>
  <r>
    <x v="36"/>
    <x v="67"/>
    <n v="533564.42000000004"/>
    <x v="0"/>
    <n v="73.02"/>
    <n v="3.907"/>
    <n v="214.46541199999999"/>
    <n v="8.3000000000000007"/>
  </r>
  <r>
    <x v="36"/>
    <x v="68"/>
    <n v="507086.75"/>
    <x v="0"/>
    <n v="81.28"/>
    <n v="3.786"/>
    <n v="214.24084619999999"/>
    <n v="8.3000000000000007"/>
  </r>
  <r>
    <x v="36"/>
    <x v="69"/>
    <n v="500381.23"/>
    <x v="0"/>
    <n v="82.96"/>
    <n v="3.6989999999999998"/>
    <n v="214.01628049999999"/>
    <n v="8.3000000000000007"/>
  </r>
  <r>
    <x v="36"/>
    <x v="70"/>
    <n v="509647.25"/>
    <x v="0"/>
    <n v="82.41"/>
    <n v="3.6480000000000001"/>
    <n v="213.7917147"/>
    <n v="8.3000000000000007"/>
  </r>
  <r>
    <x v="36"/>
    <x v="71"/>
    <n v="525132.36"/>
    <x v="0"/>
    <n v="84.43"/>
    <n v="3.637"/>
    <n v="213.74812560000001"/>
    <n v="8.3000000000000007"/>
  </r>
  <r>
    <x v="36"/>
    <x v="72"/>
    <n v="509276.22"/>
    <x v="0"/>
    <n v="83.95"/>
    <n v="3.5939999999999999"/>
    <n v="213.84026890000001"/>
    <n v="8.3000000000000007"/>
  </r>
  <r>
    <x v="36"/>
    <x v="73"/>
    <n v="517021.3"/>
    <x v="0"/>
    <n v="85.33"/>
    <n v="3.524"/>
    <n v="213.93241219999999"/>
    <n v="8.1769999999999996"/>
  </r>
  <r>
    <x v="36"/>
    <x v="74"/>
    <n v="489059.93"/>
    <x v="0"/>
    <n v="84.71"/>
    <n v="3.48"/>
    <n v="214.02455560000001"/>
    <n v="8.1769999999999996"/>
  </r>
  <r>
    <x v="36"/>
    <x v="75"/>
    <n v="498749.62"/>
    <x v="0"/>
    <n v="85.63"/>
    <n v="3.5750000000000002"/>
    <n v="214.1083654"/>
    <n v="8.1769999999999996"/>
  </r>
  <r>
    <x v="36"/>
    <x v="76"/>
    <n v="505543.53"/>
    <x v="0"/>
    <n v="83.31"/>
    <n v="3.6509999999999998"/>
    <n v="214.17134160000001"/>
    <n v="8.1769999999999996"/>
  </r>
  <r>
    <x v="36"/>
    <x v="77"/>
    <n v="504974.95"/>
    <x v="0"/>
    <n v="84.99"/>
    <n v="3.6819999999999999"/>
    <n v="214.23431769999999"/>
    <n v="8.1769999999999996"/>
  </r>
  <r>
    <x v="36"/>
    <x v="78"/>
    <n v="510787.46"/>
    <x v="0"/>
    <n v="86.71"/>
    <n v="3.6840000000000002"/>
    <n v="214.2972939"/>
    <n v="8.1769999999999996"/>
  </r>
  <r>
    <x v="36"/>
    <x v="79"/>
    <n v="502504.39"/>
    <x v="0"/>
    <n v="87.64"/>
    <n v="3.6379999999999999"/>
    <n v="214.36027010000001"/>
    <n v="8.1769999999999996"/>
  </r>
  <r>
    <x v="36"/>
    <x v="80"/>
    <n v="506897.98"/>
    <x v="0"/>
    <n v="87.24"/>
    <n v="3.5539999999999998"/>
    <n v="214.42399349999999"/>
    <n v="8.1769999999999996"/>
  </r>
  <r>
    <x v="36"/>
    <x v="81"/>
    <n v="527947.21"/>
    <x v="0"/>
    <n v="86.02"/>
    <n v="3.5230000000000001"/>
    <n v="214.4878416"/>
    <n v="8.1769999999999996"/>
  </r>
  <r>
    <x v="36"/>
    <x v="82"/>
    <n v="530367.82999999996"/>
    <x v="0"/>
    <n v="87.5"/>
    <n v="3.5329999999999999"/>
    <n v="214.5516896"/>
    <n v="8.1769999999999996"/>
  </r>
  <r>
    <x v="36"/>
    <x v="83"/>
    <n v="506273.74"/>
    <x v="1"/>
    <n v="77.94"/>
    <n v="3.5459999999999998"/>
    <n v="214.61553760000001"/>
    <n v="8.1769999999999996"/>
  </r>
  <r>
    <x v="36"/>
    <x v="84"/>
    <n v="513341.94"/>
    <x v="0"/>
    <n v="82.06"/>
    <n v="3.5259999999999998"/>
    <n v="214.79341109999999"/>
    <n v="8.1769999999999996"/>
  </r>
  <r>
    <x v="36"/>
    <x v="85"/>
    <n v="516556.94"/>
    <x v="0"/>
    <n v="78.349999999999994"/>
    <n v="3.4670000000000001"/>
    <n v="215.12331850000001"/>
    <n v="8.1769999999999996"/>
  </r>
  <r>
    <x v="36"/>
    <x v="86"/>
    <n v="516402.1"/>
    <x v="0"/>
    <n v="81.52"/>
    <n v="3.355"/>
    <n v="215.45322590000001"/>
    <n v="8.1769999999999996"/>
  </r>
  <r>
    <x v="36"/>
    <x v="87"/>
    <n v="522816.85"/>
    <x v="0"/>
    <n v="71.2"/>
    <n v="3.2850000000000001"/>
    <n v="215.7831333"/>
    <n v="7.7160000000000002"/>
  </r>
  <r>
    <x v="36"/>
    <x v="88"/>
    <n v="513636.01"/>
    <x v="0"/>
    <n v="74.16"/>
    <n v="3.274"/>
    <n v="216.08852580000001"/>
    <n v="7.7160000000000002"/>
  </r>
  <r>
    <x v="36"/>
    <x v="89"/>
    <n v="522784.33"/>
    <x v="0"/>
    <n v="67.89"/>
    <n v="3.3530000000000002"/>
    <n v="216.24682870000001"/>
    <n v="7.7160000000000002"/>
  </r>
  <r>
    <x v="36"/>
    <x v="90"/>
    <n v="517355.44"/>
    <x v="0"/>
    <n v="71.31"/>
    <n v="3.3719999999999999"/>
    <n v="216.40513150000001"/>
    <n v="7.7160000000000002"/>
  </r>
  <r>
    <x v="36"/>
    <x v="91"/>
    <n v="555925.6"/>
    <x v="0"/>
    <n v="58.97"/>
    <n v="3.3319999999999999"/>
    <n v="216.56343440000001"/>
    <n v="7.7160000000000002"/>
  </r>
  <r>
    <x v="36"/>
    <x v="92"/>
    <n v="501268.78"/>
    <x v="0"/>
    <n v="63.5"/>
    <n v="3.2970000000000002"/>
    <n v="216.7217373"/>
    <n v="7.7160000000000002"/>
  </r>
  <r>
    <x v="36"/>
    <x v="93"/>
    <n v="527495.09"/>
    <x v="0"/>
    <n v="66.28"/>
    <n v="3.3079999999999998"/>
    <n v="216.93958610000001"/>
    <n v="7.7160000000000002"/>
  </r>
  <r>
    <x v="36"/>
    <x v="94"/>
    <n v="522554.04"/>
    <x v="1"/>
    <n v="66.41"/>
    <n v="3.2360000000000002"/>
    <n v="217.18125330000001"/>
    <n v="7.7160000000000002"/>
  </r>
  <r>
    <x v="36"/>
    <x v="95"/>
    <n v="527117.81000000006"/>
    <x v="0"/>
    <n v="53.57"/>
    <n v="3.1720000000000002"/>
    <n v="217.4229206"/>
    <n v="7.7160000000000002"/>
  </r>
  <r>
    <x v="36"/>
    <x v="96"/>
    <n v="537224.52"/>
    <x v="0"/>
    <n v="50.64"/>
    <n v="3.1579999999999999"/>
    <n v="217.66458779999999"/>
    <n v="7.7160000000000002"/>
  </r>
  <r>
    <x v="36"/>
    <x v="97"/>
    <n v="533905.67000000004"/>
    <x v="0"/>
    <n v="58.31"/>
    <n v="3.1589999999999998"/>
    <n v="217.87813389999999"/>
    <n v="7.7160000000000002"/>
  </r>
  <r>
    <x v="36"/>
    <x v="98"/>
    <n v="605791.46"/>
    <x v="0"/>
    <n v="55.41"/>
    <n v="3.1120000000000001"/>
    <n v="218.05418510000001"/>
    <n v="7.7160000000000002"/>
  </r>
  <r>
    <x v="36"/>
    <x v="99"/>
    <n v="451327.61"/>
    <x v="1"/>
    <n v="48.26"/>
    <n v="3.129"/>
    <n v="218.2302364"/>
    <n v="7.7160000000000002"/>
  </r>
  <r>
    <x v="36"/>
    <x v="100"/>
    <n v="558343.56999999995"/>
    <x v="0"/>
    <n v="57.18"/>
    <n v="3.157"/>
    <n v="218.40628760000001"/>
    <n v="7.2439999999999998"/>
  </r>
  <r>
    <x v="36"/>
    <x v="101"/>
    <n v="546221.4"/>
    <x v="0"/>
    <n v="56.28"/>
    <n v="3.2610000000000001"/>
    <n v="218.5823389"/>
    <n v="7.2439999999999998"/>
  </r>
  <r>
    <x v="36"/>
    <x v="102"/>
    <n v="543894.06999999995"/>
    <x v="0"/>
    <n v="58.9"/>
    <n v="3.2679999999999998"/>
    <n v="218.6755292"/>
    <n v="7.2439999999999998"/>
  </r>
  <r>
    <x v="36"/>
    <x v="103"/>
    <n v="514116.58"/>
    <x v="0"/>
    <n v="62.73"/>
    <n v="3.29"/>
    <n v="218.7687195"/>
    <n v="7.2439999999999998"/>
  </r>
  <r>
    <x v="36"/>
    <x v="104"/>
    <n v="555424.24"/>
    <x v="0"/>
    <n v="61.33"/>
    <n v="3.36"/>
    <n v="218.8619099"/>
    <n v="7.2439999999999998"/>
  </r>
  <r>
    <x v="36"/>
    <x v="105"/>
    <n v="527041.46"/>
    <x v="1"/>
    <n v="54.49"/>
    <n v="3.4089999999999998"/>
    <n v="218.9551002"/>
    <n v="7.2439999999999998"/>
  </r>
  <r>
    <x v="36"/>
    <x v="106"/>
    <n v="541071.29"/>
    <x v="0"/>
    <n v="54.38"/>
    <n v="3.51"/>
    <n v="219.1148297"/>
    <n v="7.2439999999999998"/>
  </r>
  <r>
    <x v="36"/>
    <x v="107"/>
    <n v="518696.89"/>
    <x v="0"/>
    <n v="62.21"/>
    <n v="3.5550000000000002"/>
    <n v="219.3244636"/>
    <n v="7.2439999999999998"/>
  </r>
  <r>
    <x v="36"/>
    <x v="108"/>
    <n v="525559.17000000004"/>
    <x v="0"/>
    <n v="64.540000000000006"/>
    <n v="3.63"/>
    <n v="219.5340975"/>
    <n v="7.2439999999999998"/>
  </r>
  <r>
    <x v="36"/>
    <x v="109"/>
    <n v="535937.25"/>
    <x v="0"/>
    <n v="63.19"/>
    <n v="3.669"/>
    <n v="219.7437314"/>
    <n v="7.2439999999999998"/>
  </r>
  <r>
    <x v="36"/>
    <x v="110"/>
    <n v="484588.34"/>
    <x v="0"/>
    <n v="67.48"/>
    <n v="3.734"/>
    <n v="219.8956335"/>
    <n v="7.2439999999999998"/>
  </r>
  <r>
    <x v="36"/>
    <x v="111"/>
    <n v="520887.23"/>
    <x v="0"/>
    <n v="69.180000000000007"/>
    <n v="3.7869999999999999"/>
    <n v="219.97055990000001"/>
    <n v="7.2439999999999998"/>
  </r>
  <r>
    <x v="36"/>
    <x v="112"/>
    <n v="533734.93999999994"/>
    <x v="0"/>
    <n v="70.48"/>
    <n v="3.8450000000000002"/>
    <n v="220.0454862"/>
    <n v="7.2439999999999998"/>
  </r>
  <r>
    <x v="36"/>
    <x v="113"/>
    <n v="564848.78"/>
    <x v="0"/>
    <n v="73.95"/>
    <n v="3.891"/>
    <n v="220.12041249999999"/>
    <n v="6.9889999999999999"/>
  </r>
  <r>
    <x v="36"/>
    <x v="114"/>
    <n v="506973.17"/>
    <x v="0"/>
    <n v="72.540000000000006"/>
    <n v="3.891"/>
    <n v="220.1953389"/>
    <n v="6.9889999999999999"/>
  </r>
  <r>
    <x v="36"/>
    <x v="115"/>
    <n v="523483.19"/>
    <x v="0"/>
    <n v="70.87"/>
    <n v="3.8769999999999998"/>
    <n v="220.24839370000001"/>
    <n v="6.9889999999999999"/>
  </r>
  <r>
    <x v="36"/>
    <x v="116"/>
    <n v="528807.44999999995"/>
    <x v="0"/>
    <n v="70.06"/>
    <n v="3.8140000000000001"/>
    <n v="220.30144849999999"/>
    <n v="6.9889999999999999"/>
  </r>
  <r>
    <x v="36"/>
    <x v="117"/>
    <n v="535311.64"/>
    <x v="0"/>
    <n v="77.17"/>
    <n v="3.7490000000000001"/>
    <n v="220.3545033"/>
    <n v="6.9889999999999999"/>
  </r>
  <r>
    <x v="36"/>
    <x v="118"/>
    <n v="527983.04"/>
    <x v="0"/>
    <n v="76.55"/>
    <n v="3.6880000000000002"/>
    <n v="220.40755809999999"/>
    <n v="6.9889999999999999"/>
  </r>
  <r>
    <x v="36"/>
    <x v="119"/>
    <n v="534847.96"/>
    <x v="0"/>
    <n v="73.7"/>
    <n v="3.63"/>
    <n v="220.42521489999999"/>
    <n v="6.9889999999999999"/>
  </r>
  <r>
    <x v="36"/>
    <x v="120"/>
    <n v="540625.79"/>
    <x v="0"/>
    <n v="78.94"/>
    <n v="3.5609999999999999"/>
    <n v="220.42871239999999"/>
    <n v="6.9889999999999999"/>
  </r>
  <r>
    <x v="36"/>
    <x v="121"/>
    <n v="531811.85"/>
    <x v="0"/>
    <n v="80.739999999999995"/>
    <n v="3.5009999999999999"/>
    <n v="220.4322099"/>
    <n v="6.9889999999999999"/>
  </r>
  <r>
    <x v="36"/>
    <x v="122"/>
    <n v="528940.78"/>
    <x v="0"/>
    <n v="81.5"/>
    <n v="3.452"/>
    <n v="220.43570729999999"/>
    <n v="6.9889999999999999"/>
  </r>
  <r>
    <x v="36"/>
    <x v="123"/>
    <n v="508573.16"/>
    <x v="0"/>
    <n v="82.15"/>
    <n v="3.3929999999999998"/>
    <n v="220.4494148"/>
    <n v="6.9889999999999999"/>
  </r>
  <r>
    <x v="36"/>
    <x v="124"/>
    <n v="484032.75"/>
    <x v="0"/>
    <n v="80.400000000000006"/>
    <n v="3.3460000000000001"/>
    <n v="220.4886472"/>
    <n v="6.9889999999999999"/>
  </r>
  <r>
    <x v="36"/>
    <x v="125"/>
    <n v="508309.81"/>
    <x v="0"/>
    <n v="86.68"/>
    <n v="3.286"/>
    <n v="220.52787960000001"/>
    <n v="6.9889999999999999"/>
  </r>
  <r>
    <x v="36"/>
    <x v="126"/>
    <n v="519498.32"/>
    <x v="0"/>
    <n v="81.52"/>
    <n v="3.2269999999999999"/>
    <n v="220.56711200000001"/>
    <n v="6.6230000000000002"/>
  </r>
  <r>
    <x v="36"/>
    <x v="127"/>
    <n v="506005.47"/>
    <x v="0"/>
    <n v="78.150000000000006"/>
    <n v="3.2559999999999998"/>
    <n v="220.60634440000001"/>
    <n v="6.6230000000000002"/>
  </r>
  <r>
    <x v="36"/>
    <x v="128"/>
    <n v="503744.56"/>
    <x v="0"/>
    <n v="81.760000000000005"/>
    <n v="3.3109999999999999"/>
    <n v="220.61487489999999"/>
    <n v="6.6230000000000002"/>
  </r>
  <r>
    <x v="36"/>
    <x v="129"/>
    <n v="514489.17"/>
    <x v="0"/>
    <n v="84"/>
    <n v="3.407"/>
    <n v="220.6234054"/>
    <n v="6.6230000000000002"/>
  </r>
  <r>
    <x v="36"/>
    <x v="130"/>
    <n v="521959.28"/>
    <x v="0"/>
    <n v="85.56"/>
    <n v="3.4169999999999998"/>
    <n v="220.63193580000001"/>
    <n v="6.6230000000000002"/>
  </r>
  <r>
    <x v="36"/>
    <x v="131"/>
    <n v="500964.59"/>
    <x v="0"/>
    <n v="84.41"/>
    <n v="3.4940000000000002"/>
    <n v="220.64046630000001"/>
    <n v="6.6230000000000002"/>
  </r>
  <r>
    <x v="36"/>
    <x v="132"/>
    <n v="509633.71"/>
    <x v="0"/>
    <n v="85.89"/>
    <n v="3.5710000000000002"/>
    <n v="220.71996089999999"/>
    <n v="6.6230000000000002"/>
  </r>
  <r>
    <x v="36"/>
    <x v="133"/>
    <n v="522665.04"/>
    <x v="0"/>
    <n v="81.260000000000005"/>
    <n v="3.62"/>
    <n v="220.85267870000001"/>
    <n v="6.6230000000000002"/>
  </r>
  <r>
    <x v="36"/>
    <x v="134"/>
    <n v="538344.1"/>
    <x v="0"/>
    <n v="84.79"/>
    <n v="3.6379999999999999"/>
    <n v="220.98539640000001"/>
    <n v="6.6230000000000002"/>
  </r>
  <r>
    <x v="36"/>
    <x v="135"/>
    <n v="526838.14"/>
    <x v="1"/>
    <n v="84.19"/>
    <n v="3.73"/>
    <n v="221.11811420000001"/>
    <n v="6.6230000000000002"/>
  </r>
  <r>
    <x v="36"/>
    <x v="136"/>
    <n v="514651.74"/>
    <x v="0"/>
    <n v="78.16"/>
    <n v="3.7170000000000001"/>
    <n v="221.26012069999999"/>
    <n v="6.6230000000000002"/>
  </r>
  <r>
    <x v="36"/>
    <x v="137"/>
    <n v="521320.98"/>
    <x v="0"/>
    <n v="75.98"/>
    <n v="3.7210000000000001"/>
    <n v="221.45786039999999"/>
    <n v="6.6230000000000002"/>
  </r>
  <r>
    <x v="36"/>
    <x v="138"/>
    <n v="527953.14"/>
    <x v="0"/>
    <n v="79.489999999999995"/>
    <n v="3.6659999999999999"/>
    <n v="221.65559999999999"/>
    <n v="6.6230000000000002"/>
  </r>
  <r>
    <x v="36"/>
    <x v="139"/>
    <n v="546122.37"/>
    <x v="0"/>
    <n v="73.569999999999993"/>
    <n v="3.617"/>
    <n v="221.8533396"/>
    <n v="6.2279999999999998"/>
  </r>
  <r>
    <x v="36"/>
    <x v="140"/>
    <n v="521810.75"/>
    <x v="0"/>
    <n v="71.28"/>
    <n v="3.601"/>
    <n v="222.0510793"/>
    <n v="6.2279999999999998"/>
  </r>
  <r>
    <x v="36"/>
    <x v="141"/>
    <n v="551969.1"/>
    <x v="0"/>
    <n v="74.06"/>
    <n v="3.5939999999999999"/>
    <n v="222.0951719"/>
    <n v="6.2279999999999998"/>
  </r>
  <r>
    <x v="36"/>
    <x v="142"/>
    <n v="534738.43000000005"/>
    <x v="0"/>
    <n v="74.39"/>
    <n v="3.5059999999999998"/>
    <n v="222.11365660000001"/>
    <n v="6.2279999999999998"/>
  </r>
  <r>
    <x v="37"/>
    <x v="0"/>
    <n v="358496.14"/>
    <x v="0"/>
    <n v="49.47"/>
    <n v="2.9620000000000002"/>
    <n v="126.4420645"/>
    <n v="13.975"/>
  </r>
  <r>
    <x v="37"/>
    <x v="1"/>
    <n v="342214.9"/>
    <x v="1"/>
    <n v="47.87"/>
    <n v="2.9460000000000002"/>
    <n v="126.49625810000001"/>
    <n v="13.975"/>
  </r>
  <r>
    <x v="37"/>
    <x v="2"/>
    <n v="327237.92"/>
    <x v="0"/>
    <n v="54.83"/>
    <n v="2.915"/>
    <n v="126.5262857"/>
    <n v="13.975"/>
  </r>
  <r>
    <x v="37"/>
    <x v="3"/>
    <n v="334222.73"/>
    <x v="0"/>
    <n v="50.23"/>
    <n v="2.8250000000000002"/>
    <n v="126.5522857"/>
    <n v="13.975"/>
  </r>
  <r>
    <x v="37"/>
    <x v="4"/>
    <n v="372239.89"/>
    <x v="0"/>
    <n v="53.77"/>
    <n v="2.9870000000000001"/>
    <n v="126.5782857"/>
    <n v="13.975"/>
  </r>
  <r>
    <x v="37"/>
    <x v="5"/>
    <n v="342023.92"/>
    <x v="0"/>
    <n v="50.11"/>
    <n v="2.9249999999999998"/>
    <n v="126.60428570000001"/>
    <n v="13.975"/>
  </r>
  <r>
    <x v="37"/>
    <x v="6"/>
    <n v="333025.46999999997"/>
    <x v="0"/>
    <n v="59.57"/>
    <n v="3.0539999999999998"/>
    <n v="126.6066452"/>
    <n v="13.975"/>
  </r>
  <r>
    <x v="37"/>
    <x v="7"/>
    <n v="335858.11"/>
    <x v="0"/>
    <n v="60.06"/>
    <n v="3.0830000000000002"/>
    <n v="126.6050645"/>
    <n v="13.975"/>
  </r>
  <r>
    <x v="37"/>
    <x v="8"/>
    <n v="368929.55"/>
    <x v="0"/>
    <n v="59.84"/>
    <n v="3.0859999999999999"/>
    <n v="126.6034839"/>
    <n v="14.099"/>
  </r>
  <r>
    <x v="37"/>
    <x v="9"/>
    <n v="341630.46"/>
    <x v="0"/>
    <n v="59.25"/>
    <n v="3.09"/>
    <n v="126.6019032"/>
    <n v="14.099"/>
  </r>
  <r>
    <x v="37"/>
    <x v="10"/>
    <n v="337723.49"/>
    <x v="0"/>
    <n v="64.95"/>
    <n v="3.109"/>
    <n v="126.5621"/>
    <n v="14.099"/>
  </r>
  <r>
    <x v="37"/>
    <x v="11"/>
    <n v="335121.82"/>
    <x v="0"/>
    <n v="64.55"/>
    <n v="3.05"/>
    <n v="126.4713333"/>
    <n v="14.099"/>
  </r>
  <r>
    <x v="37"/>
    <x v="12"/>
    <n v="337979.65"/>
    <x v="0"/>
    <n v="67.38"/>
    <n v="3.105"/>
    <n v="126.3805667"/>
    <n v="14.099"/>
  </r>
  <r>
    <x v="37"/>
    <x v="13"/>
    <n v="383657.44"/>
    <x v="0"/>
    <n v="70.150000000000006"/>
    <n v="3.1269999999999998"/>
    <n v="126.2898"/>
    <n v="14.099"/>
  </r>
  <r>
    <x v="37"/>
    <x v="14"/>
    <n v="346174.3"/>
    <x v="0"/>
    <n v="68.44"/>
    <n v="3.145"/>
    <n v="126.2085484"/>
    <n v="14.099"/>
  </r>
  <r>
    <x v="37"/>
    <x v="15"/>
    <n v="340497.08"/>
    <x v="0"/>
    <n v="76.2"/>
    <n v="3.12"/>
    <n v="126.1843871"/>
    <n v="14.099"/>
  </r>
  <r>
    <x v="37"/>
    <x v="16"/>
    <n v="326469.43"/>
    <x v="0"/>
    <n v="67.84"/>
    <n v="3.0579999999999998"/>
    <n v="126.16022580000001"/>
    <n v="14.099"/>
  </r>
  <r>
    <x v="37"/>
    <x v="17"/>
    <n v="376184.88"/>
    <x v="0"/>
    <n v="81.39"/>
    <n v="2.9409999999999998"/>
    <n v="126.1360645"/>
    <n v="14.099"/>
  </r>
  <r>
    <x v="37"/>
    <x v="18"/>
    <n v="354828.65"/>
    <x v="0"/>
    <n v="90.84"/>
    <n v="2.9489999999999998"/>
    <n v="126.1119032"/>
    <n v="14.099"/>
  </r>
  <r>
    <x v="37"/>
    <x v="19"/>
    <n v="335691.85"/>
    <x v="0"/>
    <n v="81.06"/>
    <n v="3.0430000000000001"/>
    <n v="126.114"/>
    <n v="14.099"/>
  </r>
  <r>
    <x v="37"/>
    <x v="20"/>
    <n v="322046.76"/>
    <x v="0"/>
    <n v="87.27"/>
    <n v="3.0840000000000001"/>
    <n v="126.1266"/>
    <n v="14.099"/>
  </r>
  <r>
    <x v="37"/>
    <x v="21"/>
    <n v="361181.48"/>
    <x v="0"/>
    <n v="91.98"/>
    <n v="3.105"/>
    <n v="126.1392"/>
    <n v="14.18"/>
  </r>
  <r>
    <x v="37"/>
    <x v="22"/>
    <n v="343850.34"/>
    <x v="0"/>
    <n v="90.37"/>
    <n v="3.1"/>
    <n v="126.15179999999999"/>
    <n v="14.18"/>
  </r>
  <r>
    <x v="37"/>
    <x v="23"/>
    <n v="338277.71"/>
    <x v="0"/>
    <n v="97.18"/>
    <n v="3.0939999999999999"/>
    <n v="126.1498065"/>
    <n v="14.18"/>
  </r>
  <r>
    <x v="37"/>
    <x v="24"/>
    <n v="328336.84999999998"/>
    <x v="0"/>
    <n v="99.22"/>
    <n v="3.1120000000000001"/>
    <n v="126.1283548"/>
    <n v="14.18"/>
  </r>
  <r>
    <x v="37"/>
    <x v="25"/>
    <n v="336378.38"/>
    <x v="0"/>
    <n v="96.31"/>
    <n v="3.0169999999999999"/>
    <n v="126.1069032"/>
    <n v="14.18"/>
  </r>
  <r>
    <x v="37"/>
    <x v="26"/>
    <n v="378574.44"/>
    <x v="0"/>
    <n v="92.95"/>
    <n v="3.1230000000000002"/>
    <n v="126.0854516"/>
    <n v="14.18"/>
  </r>
  <r>
    <x v="37"/>
    <x v="27"/>
    <n v="341400.72"/>
    <x v="0"/>
    <n v="87.01"/>
    <n v="3.1589999999999998"/>
    <n v="126.06399999999999"/>
    <n v="14.18"/>
  </r>
  <r>
    <x v="37"/>
    <x v="28"/>
    <n v="329139.73"/>
    <x v="0"/>
    <n v="92.81"/>
    <n v="3.0409999999999999"/>
    <n v="126.0766452"/>
    <n v="14.18"/>
  </r>
  <r>
    <x v="37"/>
    <x v="29"/>
    <n v="322868.56"/>
    <x v="0"/>
    <n v="93.19"/>
    <n v="3.129"/>
    <n v="126.0892903"/>
    <n v="14.18"/>
  </r>
  <r>
    <x v="37"/>
    <x v="30"/>
    <n v="377096.55"/>
    <x v="0"/>
    <n v="83.12"/>
    <n v="3.0870000000000002"/>
    <n v="126.1019355"/>
    <n v="14.18"/>
  </r>
  <r>
    <x v="37"/>
    <x v="31"/>
    <n v="336227.69"/>
    <x v="1"/>
    <n v="83.63"/>
    <n v="3.044"/>
    <n v="126.1145806"/>
    <n v="14.18"/>
  </r>
  <r>
    <x v="37"/>
    <x v="32"/>
    <n v="336253.19"/>
    <x v="0"/>
    <n v="82.45"/>
    <n v="3.028"/>
    <n v="126.1454667"/>
    <n v="14.18"/>
  </r>
  <r>
    <x v="37"/>
    <x v="33"/>
    <n v="330604.90000000002"/>
    <x v="0"/>
    <n v="81.77"/>
    <n v="2.9390000000000001"/>
    <n v="126.1900333"/>
    <n v="14.18"/>
  </r>
  <r>
    <x v="37"/>
    <x v="34"/>
    <n v="360256.58"/>
    <x v="0"/>
    <n v="85.2"/>
    <n v="3.0009999999999999"/>
    <n v="126.2346"/>
    <n v="14.313000000000001"/>
  </r>
  <r>
    <x v="37"/>
    <x v="35"/>
    <n v="351271.36"/>
    <x v="0"/>
    <n v="71.819999999999993"/>
    <n v="3.0129999999999999"/>
    <n v="126.2791667"/>
    <n v="14.313000000000001"/>
  </r>
  <r>
    <x v="37"/>
    <x v="36"/>
    <n v="337743.26"/>
    <x v="0"/>
    <n v="75"/>
    <n v="2.976"/>
    <n v="126.32667739999999"/>
    <n v="14.313000000000001"/>
  </r>
  <r>
    <x v="37"/>
    <x v="37"/>
    <n v="339042.18"/>
    <x v="0"/>
    <n v="68.849999999999994"/>
    <n v="3.0139999999999998"/>
    <n v="126.3815484"/>
    <n v="14.313000000000001"/>
  </r>
  <r>
    <x v="37"/>
    <x v="38"/>
    <n v="341219.63"/>
    <x v="0"/>
    <n v="61.09"/>
    <n v="3.016"/>
    <n v="126.43641940000001"/>
    <n v="14.313000000000001"/>
  </r>
  <r>
    <x v="37"/>
    <x v="39"/>
    <n v="380870.09"/>
    <x v="0"/>
    <n v="65.489999999999995"/>
    <n v="3.129"/>
    <n v="126.4912903"/>
    <n v="14.313000000000001"/>
  </r>
  <r>
    <x v="37"/>
    <x v="40"/>
    <n v="340147.20000000001"/>
    <x v="0"/>
    <n v="57.79"/>
    <n v="3.13"/>
    <n v="126.54616129999999"/>
    <n v="14.313000000000001"/>
  </r>
  <r>
    <x v="37"/>
    <x v="41"/>
    <n v="348593.99"/>
    <x v="0"/>
    <n v="58.18"/>
    <n v="3.161"/>
    <n v="126.60720000000001"/>
    <n v="14.313000000000001"/>
  </r>
  <r>
    <x v="37"/>
    <x v="42"/>
    <n v="360857.98"/>
    <x v="1"/>
    <n v="47.66"/>
    <n v="3.1619999999999999"/>
    <n v="126.66926669999999"/>
    <n v="14.313000000000001"/>
  </r>
  <r>
    <x v="37"/>
    <x v="43"/>
    <n v="351925.36"/>
    <x v="0"/>
    <n v="43.33"/>
    <n v="3.0409999999999999"/>
    <n v="126.7313333"/>
    <n v="14.313000000000001"/>
  </r>
  <r>
    <x v="37"/>
    <x v="44"/>
    <n v="355965.23"/>
    <x v="0"/>
    <n v="50.01"/>
    <n v="3.2029999999999998"/>
    <n v="126.79340000000001"/>
    <n v="14.313000000000001"/>
  </r>
  <r>
    <x v="37"/>
    <x v="45"/>
    <n v="334441.15000000002"/>
    <x v="0"/>
    <n v="52.77"/>
    <n v="3.2360000000000002"/>
    <n v="126.8794839"/>
    <n v="14.313000000000001"/>
  </r>
  <r>
    <x v="37"/>
    <x v="46"/>
    <n v="369106.72"/>
    <x v="0"/>
    <n v="52.02"/>
    <n v="3.2360000000000002"/>
    <n v="126.9835806"/>
    <n v="14.313000000000001"/>
  </r>
  <r>
    <x v="37"/>
    <x v="47"/>
    <n v="303908.81"/>
    <x v="1"/>
    <n v="45.64"/>
    <n v="3.1480000000000001"/>
    <n v="127.0876774"/>
    <n v="14.313000000000001"/>
  </r>
  <r>
    <x v="37"/>
    <x v="48"/>
    <n v="386344.54"/>
    <x v="0"/>
    <n v="37.64"/>
    <n v="3.2869999999999999"/>
    <n v="127.1917742"/>
    <n v="14.021000000000001"/>
  </r>
  <r>
    <x v="37"/>
    <x v="49"/>
    <n v="356138.79"/>
    <x v="0"/>
    <n v="43.15"/>
    <n v="3.3119999999999998"/>
    <n v="127.30093549999999"/>
    <n v="14.021000000000001"/>
  </r>
  <r>
    <x v="37"/>
    <x v="50"/>
    <n v="341098.08"/>
    <x v="0"/>
    <n v="53.53"/>
    <n v="3.2229999999999999"/>
    <n v="127.4404839"/>
    <n v="14.021000000000001"/>
  </r>
  <r>
    <x v="37"/>
    <x v="51"/>
    <n v="357557.16"/>
    <x v="0"/>
    <n v="50.74"/>
    <n v="3.3420000000000001"/>
    <n v="127.5800323"/>
    <n v="14.021000000000001"/>
  </r>
  <r>
    <x v="37"/>
    <x v="52"/>
    <n v="402341.76"/>
    <x v="0"/>
    <n v="45.14"/>
    <n v="3.3479999999999999"/>
    <n v="127.7195806"/>
    <n v="14.021000000000001"/>
  </r>
  <r>
    <x v="37"/>
    <x v="53"/>
    <n v="377672.46"/>
    <x v="1"/>
    <n v="51.3"/>
    <n v="3.3809999999999998"/>
    <n v="127.859129"/>
    <n v="14.021000000000001"/>
  </r>
  <r>
    <x v="37"/>
    <x v="54"/>
    <n v="364606.7"/>
    <x v="0"/>
    <n v="53.35"/>
    <n v="3.43"/>
    <n v="127.99525"/>
    <n v="14.021000000000001"/>
  </r>
  <r>
    <x v="37"/>
    <x v="55"/>
    <n v="354232.34"/>
    <x v="0"/>
    <n v="48.45"/>
    <n v="3.53"/>
    <n v="128.13"/>
    <n v="14.021000000000001"/>
  </r>
  <r>
    <x v="37"/>
    <x v="56"/>
    <n v="405429.43"/>
    <x v="0"/>
    <n v="51.72"/>
    <n v="3.6739999999999999"/>
    <n v="128.26474999999999"/>
    <n v="14.021000000000001"/>
  </r>
  <r>
    <x v="37"/>
    <x v="57"/>
    <n v="357897.18"/>
    <x v="0"/>
    <n v="57.75"/>
    <n v="3.8180000000000001"/>
    <n v="128.39949999999999"/>
    <n v="14.021000000000001"/>
  </r>
  <r>
    <x v="37"/>
    <x v="58"/>
    <n v="349459.95"/>
    <x v="0"/>
    <n v="64.209999999999994"/>
    <n v="3.6920000000000002"/>
    <n v="128.5121935"/>
    <n v="14.021000000000001"/>
  </r>
  <r>
    <x v="37"/>
    <x v="59"/>
    <n v="351541.62"/>
    <x v="0"/>
    <n v="54.4"/>
    <n v="3.9089999999999998"/>
    <n v="128.61606449999999"/>
    <n v="14.021000000000001"/>
  </r>
  <r>
    <x v="37"/>
    <x v="60"/>
    <n v="382098.13"/>
    <x v="0"/>
    <n v="63.63"/>
    <n v="3.7719999999999998"/>
    <n v="128.71993549999999"/>
    <n v="13.736000000000001"/>
  </r>
  <r>
    <x v="37"/>
    <x v="61"/>
    <n v="392152.3"/>
    <x v="0"/>
    <n v="64.47"/>
    <n v="4.0030000000000001"/>
    <n v="128.82380649999999"/>
    <n v="13.736000000000001"/>
  </r>
  <r>
    <x v="37"/>
    <x v="62"/>
    <n v="362758.94"/>
    <x v="0"/>
    <n v="57.63"/>
    <n v="3.8679999999999999"/>
    <n v="128.9107333"/>
    <n v="13.736000000000001"/>
  </r>
  <r>
    <x v="37"/>
    <x v="63"/>
    <n v="362952.34"/>
    <x v="0"/>
    <n v="72.12"/>
    <n v="4.1340000000000003"/>
    <n v="128.95529999999999"/>
    <n v="13.736000000000001"/>
  </r>
  <r>
    <x v="37"/>
    <x v="64"/>
    <n v="344225.99"/>
    <x v="0"/>
    <n v="68.27"/>
    <n v="4.1509999999999998"/>
    <n v="128.99986670000001"/>
    <n v="13.736000000000001"/>
  </r>
  <r>
    <x v="37"/>
    <x v="65"/>
    <n v="422186.65"/>
    <x v="0"/>
    <n v="68.400000000000006"/>
    <n v="4.1929999999999996"/>
    <n v="129.04443330000001"/>
    <n v="13.736000000000001"/>
  </r>
  <r>
    <x v="37"/>
    <x v="66"/>
    <n v="366977.79"/>
    <x v="0"/>
    <n v="70.930000000000007"/>
    <n v="4.202"/>
    <n v="129.089"/>
    <n v="13.736000000000001"/>
  </r>
  <r>
    <x v="37"/>
    <x v="67"/>
    <n v="365730.76"/>
    <x v="0"/>
    <n v="66.59"/>
    <n v="4.1689999999999996"/>
    <n v="129.07567739999999"/>
    <n v="13.736000000000001"/>
  </r>
  <r>
    <x v="37"/>
    <x v="68"/>
    <n v="356886.1"/>
    <x v="0"/>
    <n v="76.67"/>
    <n v="4.0869999999999997"/>
    <n v="129.06235480000001"/>
    <n v="13.736000000000001"/>
  </r>
  <r>
    <x v="37"/>
    <x v="69"/>
    <n v="396826.06"/>
    <x v="0"/>
    <n v="71.81"/>
    <n v="4.0309999999999997"/>
    <n v="129.04903229999999"/>
    <n v="13.736000000000001"/>
  </r>
  <r>
    <x v="37"/>
    <x v="70"/>
    <n v="381763.02"/>
    <x v="0"/>
    <n v="78.72"/>
    <n v="3.9809999999999999"/>
    <n v="129.03570970000001"/>
    <n v="13.736000000000001"/>
  </r>
  <r>
    <x v="37"/>
    <x v="71"/>
    <n v="356797"/>
    <x v="0"/>
    <n v="86.84"/>
    <n v="3.9350000000000001"/>
    <n v="129.04320000000001"/>
    <n v="13.736000000000001"/>
  </r>
  <r>
    <x v="37"/>
    <x v="72"/>
    <n v="354078.95"/>
    <x v="0"/>
    <n v="88.95"/>
    <n v="3.8980000000000001"/>
    <n v="129.06630000000001"/>
    <n v="13.736000000000001"/>
  </r>
  <r>
    <x v="37"/>
    <x v="73"/>
    <n v="387334.04"/>
    <x v="0"/>
    <n v="89.85"/>
    <n v="3.8420000000000001"/>
    <n v="129.08940000000001"/>
    <n v="13.503"/>
  </r>
  <r>
    <x v="37"/>
    <x v="74"/>
    <n v="399699.17"/>
    <x v="0"/>
    <n v="89.9"/>
    <n v="3.7050000000000001"/>
    <n v="129.11250000000001"/>
    <n v="13.503"/>
  </r>
  <r>
    <x v="37"/>
    <x v="75"/>
    <n v="367181.71"/>
    <x v="0"/>
    <n v="88.1"/>
    <n v="3.6920000000000002"/>
    <n v="129.13383870000001"/>
    <n v="13.503"/>
  </r>
  <r>
    <x v="37"/>
    <x v="76"/>
    <n v="365562.67"/>
    <x v="0"/>
    <n v="91.17"/>
    <n v="3.794"/>
    <n v="129.1507742"/>
    <n v="13.503"/>
  </r>
  <r>
    <x v="37"/>
    <x v="77"/>
    <n v="355131.33"/>
    <x v="0"/>
    <n v="93.29"/>
    <n v="3.8050000000000002"/>
    <n v="129.16770969999999"/>
    <n v="13.503"/>
  </r>
  <r>
    <x v="37"/>
    <x v="78"/>
    <n v="437631.44"/>
    <x v="0"/>
    <n v="90.61"/>
    <n v="3.8029999999999999"/>
    <n v="129.18464520000001"/>
    <n v="13.503"/>
  </r>
  <r>
    <x v="37"/>
    <x v="79"/>
    <n v="387844.05"/>
    <x v="0"/>
    <n v="91.04"/>
    <n v="3.7010000000000001"/>
    <n v="129.2015806"/>
    <n v="13.503"/>
  </r>
  <r>
    <x v="37"/>
    <x v="80"/>
    <n v="362224.7"/>
    <x v="0"/>
    <n v="91.74"/>
    <n v="3.7429999999999999"/>
    <n v="129.24058059999999"/>
    <n v="13.503"/>
  </r>
  <r>
    <x v="37"/>
    <x v="81"/>
    <n v="365672.55"/>
    <x v="0"/>
    <n v="94.61"/>
    <n v="3.74"/>
    <n v="129.28325810000001"/>
    <n v="13.503"/>
  </r>
  <r>
    <x v="37"/>
    <x v="82"/>
    <n v="416953.51"/>
    <x v="0"/>
    <n v="93.66"/>
    <n v="3.798"/>
    <n v="129.32593550000001"/>
    <n v="13.503"/>
  </r>
  <r>
    <x v="37"/>
    <x v="83"/>
    <n v="397771.68"/>
    <x v="1"/>
    <n v="88"/>
    <n v="3.9129999999999998"/>
    <n v="129.36861289999999"/>
    <n v="13.503"/>
  </r>
  <r>
    <x v="37"/>
    <x v="84"/>
    <n v="408188.88"/>
    <x v="0"/>
    <n v="76.36"/>
    <n v="3.9180000000000001"/>
    <n v="129.4306"/>
    <n v="13.503"/>
  </r>
  <r>
    <x v="37"/>
    <x v="85"/>
    <n v="394665.28"/>
    <x v="0"/>
    <n v="82.95"/>
    <n v="3.7890000000000001"/>
    <n v="129.51833329999999"/>
    <n v="13.503"/>
  </r>
  <r>
    <x v="37"/>
    <x v="86"/>
    <n v="366819.84000000003"/>
    <x v="0"/>
    <n v="83.26"/>
    <n v="3.8769999999999998"/>
    <n v="129.60606670000001"/>
    <n v="13.503"/>
  </r>
  <r>
    <x v="37"/>
    <x v="87"/>
    <n v="449516.29"/>
    <x v="0"/>
    <n v="70.44"/>
    <n v="3.827"/>
    <n v="129.69380000000001"/>
    <n v="12.89"/>
  </r>
  <r>
    <x v="37"/>
    <x v="88"/>
    <n v="400430.78"/>
    <x v="0"/>
    <n v="67.31"/>
    <n v="3.8050000000000002"/>
    <n v="129.77064519999999"/>
    <n v="12.89"/>
  </r>
  <r>
    <x v="37"/>
    <x v="89"/>
    <n v="402709.17"/>
    <x v="0"/>
    <n v="73.05"/>
    <n v="3.8420000000000001"/>
    <n v="129.78216130000001"/>
    <n v="12.89"/>
  </r>
  <r>
    <x v="37"/>
    <x v="90"/>
    <n v="378539.17"/>
    <x v="0"/>
    <n v="67.41"/>
    <n v="3.7269999999999999"/>
    <n v="129.79367740000001"/>
    <n v="12.89"/>
  </r>
  <r>
    <x v="37"/>
    <x v="91"/>
    <n v="436970.1"/>
    <x v="0"/>
    <n v="59.77"/>
    <n v="3.8279999999999998"/>
    <n v="129.8051935"/>
    <n v="12.89"/>
  </r>
  <r>
    <x v="37"/>
    <x v="92"/>
    <n v="411116.95"/>
    <x v="0"/>
    <n v="48.76"/>
    <n v="3.8239999999999998"/>
    <n v="129.81670969999999"/>
    <n v="12.89"/>
  </r>
  <r>
    <x v="37"/>
    <x v="93"/>
    <n v="392003.13"/>
    <x v="0"/>
    <n v="54.2"/>
    <n v="3.8130000000000002"/>
    <n v="129.8268333"/>
    <n v="12.89"/>
  </r>
  <r>
    <x v="37"/>
    <x v="94"/>
    <n v="393715.71"/>
    <x v="1"/>
    <n v="53.25"/>
    <n v="3.6219999999999999"/>
    <n v="129.8364"/>
    <n v="12.89"/>
  </r>
  <r>
    <x v="37"/>
    <x v="95"/>
    <n v="411252.02"/>
    <x v="0"/>
    <n v="52.5"/>
    <n v="3.7010000000000001"/>
    <n v="129.84596669999999"/>
    <n v="12.89"/>
  </r>
  <r>
    <x v="37"/>
    <x v="96"/>
    <n v="435401.64"/>
    <x v="0"/>
    <n v="42.17"/>
    <n v="3.6440000000000001"/>
    <n v="129.85553329999999"/>
    <n v="12.89"/>
  </r>
  <r>
    <x v="37"/>
    <x v="97"/>
    <n v="404283.84"/>
    <x v="0"/>
    <n v="43.29"/>
    <n v="3.6"/>
    <n v="129.8980645"/>
    <n v="12.89"/>
  </r>
  <r>
    <x v="37"/>
    <x v="98"/>
    <n v="419717.41"/>
    <x v="0"/>
    <n v="45.4"/>
    <n v="3.5409999999999999"/>
    <n v="129.98454839999999"/>
    <n v="12.89"/>
  </r>
  <r>
    <x v="37"/>
    <x v="99"/>
    <n v="342667.35"/>
    <x v="1"/>
    <n v="44.64"/>
    <n v="3.4279999999999999"/>
    <n v="130.07103230000001"/>
    <n v="12.89"/>
  </r>
  <r>
    <x v="37"/>
    <x v="100"/>
    <n v="478483.20000000001"/>
    <x v="0"/>
    <n v="50.43"/>
    <n v="3.5990000000000002"/>
    <n v="130.15751610000001"/>
    <n v="12.186999999999999"/>
  </r>
  <r>
    <x v="37"/>
    <x v="101"/>
    <n v="423260.82"/>
    <x v="0"/>
    <n v="48.07"/>
    <n v="3.657"/>
    <n v="130.244"/>
    <n v="12.186999999999999"/>
  </r>
  <r>
    <x v="37"/>
    <x v="102"/>
    <n v="405215.91"/>
    <x v="0"/>
    <n v="46.2"/>
    <n v="3.66"/>
    <n v="130.27922580000001"/>
    <n v="12.186999999999999"/>
  </r>
  <r>
    <x v="37"/>
    <x v="103"/>
    <n v="412882.31"/>
    <x v="0"/>
    <n v="50.43"/>
    <n v="3.6749999999999998"/>
    <n v="130.31445160000001"/>
    <n v="12.186999999999999"/>
  </r>
  <r>
    <x v="37"/>
    <x v="104"/>
    <n v="457711.68"/>
    <x v="0"/>
    <n v="50.58"/>
    <n v="3.702"/>
    <n v="130.34967739999999"/>
    <n v="12.186999999999999"/>
  </r>
  <r>
    <x v="37"/>
    <x v="105"/>
    <n v="469787.38"/>
    <x v="1"/>
    <n v="52.27"/>
    <n v="3.722"/>
    <n v="130.3849032"/>
    <n v="12.186999999999999"/>
  </r>
  <r>
    <x v="37"/>
    <x v="106"/>
    <n v="415513.97"/>
    <x v="0"/>
    <n v="51.8"/>
    <n v="3.7810000000000001"/>
    <n v="130.45462069999999"/>
    <n v="12.186999999999999"/>
  </r>
  <r>
    <x v="37"/>
    <x v="107"/>
    <n v="409411.61"/>
    <x v="0"/>
    <n v="53.13"/>
    <n v="3.95"/>
    <n v="130.55020690000001"/>
    <n v="12.186999999999999"/>
  </r>
  <r>
    <x v="37"/>
    <x v="108"/>
    <n v="471115.38"/>
    <x v="0"/>
    <n v="52.27"/>
    <n v="4.1779999999999999"/>
    <n v="130.64579309999999"/>
    <n v="12.186999999999999"/>
  </r>
  <r>
    <x v="37"/>
    <x v="109"/>
    <n v="452792.53"/>
    <x v="0"/>
    <n v="54.54"/>
    <n v="4.25"/>
    <n v="130.74137930000001"/>
    <n v="12.186999999999999"/>
  </r>
  <r>
    <x v="37"/>
    <x v="110"/>
    <n v="428465.11"/>
    <x v="0"/>
    <n v="64.44"/>
    <n v="4.2729999999999997"/>
    <n v="130.82619349999999"/>
    <n v="12.186999999999999"/>
  </r>
  <r>
    <x v="37"/>
    <x v="111"/>
    <n v="412456.48"/>
    <x v="0"/>
    <n v="56.26"/>
    <n v="4.0380000000000003"/>
    <n v="130.89664519999999"/>
    <n v="12.186999999999999"/>
  </r>
  <r>
    <x v="37"/>
    <x v="112"/>
    <n v="408679.36"/>
    <x v="0"/>
    <n v="64.36"/>
    <n v="4.2939999999999996"/>
    <n v="130.96709680000001"/>
    <n v="12.186999999999999"/>
  </r>
  <r>
    <x v="37"/>
    <x v="113"/>
    <n v="499267.66"/>
    <x v="0"/>
    <n v="64.05"/>
    <n v="4.1210000000000004"/>
    <n v="131.03754839999999"/>
    <n v="11.627000000000001"/>
  </r>
  <r>
    <x v="37"/>
    <x v="114"/>
    <n v="435790.74"/>
    <x v="0"/>
    <n v="64.28"/>
    <n v="4.2539999999999996"/>
    <n v="131.108"/>
    <n v="11.627000000000001"/>
  </r>
  <r>
    <x v="37"/>
    <x v="115"/>
    <n v="401615.8"/>
    <x v="0"/>
    <n v="66.73"/>
    <n v="4.2220000000000004"/>
    <n v="131.11733330000001"/>
    <n v="11.627000000000001"/>
  </r>
  <r>
    <x v="37"/>
    <x v="116"/>
    <n v="419964.77"/>
    <x v="0"/>
    <n v="77.989999999999995"/>
    <n v="4.1929999999999996"/>
    <n v="131.12666669999999"/>
    <n v="11.627000000000001"/>
  </r>
  <r>
    <x v="37"/>
    <x v="117"/>
    <n v="491755.69"/>
    <x v="0"/>
    <n v="76.03"/>
    <n v="4.1710000000000003"/>
    <n v="131.136"/>
    <n v="11.627000000000001"/>
  </r>
  <r>
    <x v="37"/>
    <x v="118"/>
    <n v="429914.6"/>
    <x v="0"/>
    <n v="77.27"/>
    <n v="4.1859999999999999"/>
    <n v="131.1453333"/>
    <n v="11.627000000000001"/>
  </r>
  <r>
    <x v="37"/>
    <x v="119"/>
    <n v="412314.71"/>
    <x v="0"/>
    <n v="84.51"/>
    <n v="4.1100000000000003"/>
    <n v="131.09832259999999"/>
    <n v="11.627000000000001"/>
  </r>
  <r>
    <x v="37"/>
    <x v="120"/>
    <n v="422810.12"/>
    <x v="0"/>
    <n v="83.84"/>
    <n v="4.2930000000000001"/>
    <n v="131.02877419999999"/>
    <n v="11.627000000000001"/>
  </r>
  <r>
    <x v="37"/>
    <x v="121"/>
    <n v="435579.7"/>
    <x v="0"/>
    <n v="78.11"/>
    <n v="4.2770000000000001"/>
    <n v="130.95922580000001"/>
    <n v="11.627000000000001"/>
  </r>
  <r>
    <x v="37"/>
    <x v="122"/>
    <n v="448110.25"/>
    <x v="0"/>
    <n v="84.83"/>
    <n v="4.1029999999999998"/>
    <n v="130.88967740000001"/>
    <n v="11.627000000000001"/>
  </r>
  <r>
    <x v="37"/>
    <x v="123"/>
    <n v="430222.07"/>
    <x v="0"/>
    <n v="85.94"/>
    <n v="4.1440000000000001"/>
    <n v="130.82953330000001"/>
    <n v="11.627000000000001"/>
  </r>
  <r>
    <x v="37"/>
    <x v="124"/>
    <n v="405938.35"/>
    <x v="0"/>
    <n v="91.61"/>
    <n v="4.0140000000000002"/>
    <n v="130.7929"/>
    <n v="11.627000000000001"/>
  </r>
  <r>
    <x v="37"/>
    <x v="125"/>
    <n v="404634.36"/>
    <x v="0"/>
    <n v="90.47"/>
    <n v="3.875"/>
    <n v="130.7562667"/>
    <n v="11.627000000000001"/>
  </r>
  <r>
    <x v="37"/>
    <x v="126"/>
    <n v="471086.22"/>
    <x v="0"/>
    <n v="89.13"/>
    <n v="3.7650000000000001"/>
    <n v="130.7196333"/>
    <n v="10.926"/>
  </r>
  <r>
    <x v="37"/>
    <x v="127"/>
    <n v="416036.75"/>
    <x v="0"/>
    <n v="95.61"/>
    <n v="3.7229999999999999"/>
    <n v="130.68299999999999"/>
    <n v="10.926"/>
  </r>
  <r>
    <x v="37"/>
    <x v="128"/>
    <n v="441683.74"/>
    <x v="0"/>
    <n v="85.53"/>
    <n v="3.726"/>
    <n v="130.70129030000001"/>
    <n v="10.926"/>
  </r>
  <r>
    <x v="37"/>
    <x v="129"/>
    <n v="407186.47"/>
    <x v="0"/>
    <n v="93.47"/>
    <n v="3.7690000000000001"/>
    <n v="130.7195806"/>
    <n v="10.926"/>
  </r>
  <r>
    <x v="37"/>
    <x v="130"/>
    <n v="469311.17"/>
    <x v="0"/>
    <n v="88.16"/>
    <n v="3.76"/>
    <n v="130.73787100000001"/>
    <n v="10.926"/>
  </r>
  <r>
    <x v="37"/>
    <x v="131"/>
    <n v="436690.13"/>
    <x v="0"/>
    <n v="95.91"/>
    <n v="3.8109999999999999"/>
    <n v="130.7561613"/>
    <n v="10.926"/>
  </r>
  <r>
    <x v="37"/>
    <x v="132"/>
    <n v="411866.46"/>
    <x v="0"/>
    <n v="94.87"/>
    <n v="4.0019999999999998"/>
    <n v="130.79096770000001"/>
    <n v="10.926"/>
  </r>
  <r>
    <x v="37"/>
    <x v="133"/>
    <n v="397428.22"/>
    <x v="0"/>
    <n v="85.32"/>
    <n v="4.0549999999999997"/>
    <n v="130.8381613"/>
    <n v="10.926"/>
  </r>
  <r>
    <x v="37"/>
    <x v="134"/>
    <n v="424904.95"/>
    <x v="0"/>
    <n v="89.78"/>
    <n v="4.093"/>
    <n v="130.88535479999999"/>
    <n v="10.926"/>
  </r>
  <r>
    <x v="37"/>
    <x v="135"/>
    <n v="490274.82"/>
    <x v="1"/>
    <n v="88.52"/>
    <n v="4.1239999999999997"/>
    <n v="130.9325484"/>
    <n v="10.926"/>
  </r>
  <r>
    <x v="37"/>
    <x v="136"/>
    <n v="430944.39"/>
    <x v="0"/>
    <n v="83.64"/>
    <n v="4.133"/>
    <n v="130.97766669999999"/>
    <n v="10.926"/>
  </r>
  <r>
    <x v="37"/>
    <x v="137"/>
    <n v="409600.98"/>
    <x v="0"/>
    <n v="82.97"/>
    <n v="4.125"/>
    <n v="131.01033330000001"/>
    <n v="10.926"/>
  </r>
  <r>
    <x v="37"/>
    <x v="138"/>
    <n v="398468.08"/>
    <x v="0"/>
    <n v="81.22"/>
    <n v="3.9660000000000002"/>
    <n v="131.04300000000001"/>
    <n v="10.926"/>
  </r>
  <r>
    <x v="37"/>
    <x v="139"/>
    <n v="458479.01"/>
    <x v="0"/>
    <n v="81.61"/>
    <n v="3.9660000000000002"/>
    <n v="131.0756667"/>
    <n v="10.199"/>
  </r>
  <r>
    <x v="37"/>
    <x v="140"/>
    <n v="437320.66"/>
    <x v="0"/>
    <n v="71.739999999999995"/>
    <n v="4.468"/>
    <n v="131.1083333"/>
    <n v="10.199"/>
  </r>
  <r>
    <x v="37"/>
    <x v="141"/>
    <n v="428806.46"/>
    <x v="0"/>
    <n v="68.66"/>
    <n v="4.4489999999999998"/>
    <n v="131.14996769999999"/>
    <n v="10.199"/>
  </r>
  <r>
    <x v="37"/>
    <x v="142"/>
    <n v="417290.38"/>
    <x v="0"/>
    <n v="65.95"/>
    <n v="4.3010000000000002"/>
    <n v="131.19309680000001"/>
    <n v="10.199"/>
  </r>
  <r>
    <x v="38"/>
    <x v="0"/>
    <n v="1230596.8"/>
    <x v="0"/>
    <n v="44.3"/>
    <n v="2.5720000000000001"/>
    <n v="209.85296629999999"/>
    <n v="8.5540000000000003"/>
  </r>
  <r>
    <x v="38"/>
    <x v="1"/>
    <n v="1266229.07"/>
    <x v="1"/>
    <n v="44.58"/>
    <n v="2.548"/>
    <n v="209.9970208"/>
    <n v="8.5540000000000003"/>
  </r>
  <r>
    <x v="38"/>
    <x v="2"/>
    <n v="1230591.97"/>
    <x v="0"/>
    <n v="43.96"/>
    <n v="2.5139999999999998"/>
    <n v="210.04510239999999"/>
    <n v="8.5540000000000003"/>
  </r>
  <r>
    <x v="38"/>
    <x v="3"/>
    <n v="1168582.02"/>
    <x v="0"/>
    <n v="49.79"/>
    <n v="2.5609999999999999"/>
    <n v="210.07718850000001"/>
    <n v="8.5540000000000003"/>
  </r>
  <r>
    <x v="38"/>
    <x v="4"/>
    <n v="1266254.21"/>
    <x v="0"/>
    <n v="50.93"/>
    <n v="2.625"/>
    <n v="210.10927459999999"/>
    <n v="8.5540000000000003"/>
  </r>
  <r>
    <x v="38"/>
    <x v="5"/>
    <n v="1244391.83"/>
    <x v="0"/>
    <n v="61.88"/>
    <n v="2.6669999999999998"/>
    <n v="210.14136070000001"/>
    <n v="8.5540000000000003"/>
  </r>
  <r>
    <x v="38"/>
    <x v="6"/>
    <n v="1301590.1299999999"/>
    <x v="0"/>
    <n v="58.62"/>
    <n v="2.72"/>
    <n v="209.98032079999999"/>
    <n v="8.5540000000000003"/>
  </r>
  <r>
    <x v="38"/>
    <x v="7"/>
    <n v="1235094.6599999999"/>
    <x v="0"/>
    <n v="54.83"/>
    <n v="2.7320000000000002"/>
    <n v="209.78709319999999"/>
    <n v="8.5540000000000003"/>
  </r>
  <r>
    <x v="38"/>
    <x v="8"/>
    <n v="1463942.62"/>
    <x v="0"/>
    <n v="63.31"/>
    <n v="2.7189999999999999"/>
    <n v="209.59386559999999"/>
    <n v="8.4640000000000004"/>
  </r>
  <r>
    <x v="38"/>
    <x v="9"/>
    <n v="1327035.27"/>
    <x v="0"/>
    <n v="68.150000000000006"/>
    <n v="2.77"/>
    <n v="209.40063799999999"/>
    <n v="8.4640000000000004"/>
  </r>
  <r>
    <x v="38"/>
    <x v="10"/>
    <n v="1242874.98"/>
    <x v="0"/>
    <n v="66.33"/>
    <n v="2.8079999999999998"/>
    <n v="209.2691428"/>
    <n v="8.4640000000000004"/>
  </r>
  <r>
    <x v="38"/>
    <x v="11"/>
    <n v="1280231.8500000001"/>
    <x v="0"/>
    <n v="67.64"/>
    <n v="2.7949999999999999"/>
    <n v="209.2199574"/>
    <n v="8.4640000000000004"/>
  </r>
  <r>
    <x v="38"/>
    <x v="12"/>
    <n v="1263836.5900000001"/>
    <x v="0"/>
    <n v="70.03"/>
    <n v="2.78"/>
    <n v="209.170772"/>
    <n v="8.4640000000000004"/>
  </r>
  <r>
    <x v="38"/>
    <x v="13"/>
    <n v="1355704.21"/>
    <x v="0"/>
    <n v="74.86"/>
    <n v="2.835"/>
    <n v="209.12158669999999"/>
    <n v="8.4640000000000004"/>
  </r>
  <r>
    <x v="38"/>
    <x v="14"/>
    <n v="1226997.7"/>
    <x v="0"/>
    <n v="77.489999999999995"/>
    <n v="2.8540000000000001"/>
    <n v="209.11853600000001"/>
    <n v="8.4640000000000004"/>
  </r>
  <r>
    <x v="38"/>
    <x v="15"/>
    <n v="1350673.98"/>
    <x v="0"/>
    <n v="76.67"/>
    <n v="2.8260000000000001"/>
    <n v="209.39229370000001"/>
    <n v="8.4640000000000004"/>
  </r>
  <r>
    <x v="38"/>
    <x v="16"/>
    <n v="1365541.59"/>
    <x v="0"/>
    <n v="80.22"/>
    <n v="2.7589999999999999"/>
    <n v="209.66605139999999"/>
    <n v="8.4640000000000004"/>
  </r>
  <r>
    <x v="38"/>
    <x v="17"/>
    <n v="1512207.95"/>
    <x v="0"/>
    <n v="79.83"/>
    <n v="2.7050000000000001"/>
    <n v="209.93980909999999"/>
    <n v="8.4640000000000004"/>
  </r>
  <r>
    <x v="38"/>
    <x v="18"/>
    <n v="1371405.33"/>
    <x v="0"/>
    <n v="81.78"/>
    <n v="2.6680000000000001"/>
    <n v="210.2135668"/>
    <n v="8.4640000000000004"/>
  </r>
  <r>
    <x v="38"/>
    <x v="19"/>
    <n v="1368312.45"/>
    <x v="0"/>
    <n v="83.96"/>
    <n v="2.637"/>
    <n v="210.2108417"/>
    <n v="8.4640000000000004"/>
  </r>
  <r>
    <x v="38"/>
    <x v="20"/>
    <n v="1280414.8"/>
    <x v="0"/>
    <n v="83.24"/>
    <n v="2.653"/>
    <n v="210.09752330000001"/>
    <n v="8.4640000000000004"/>
  </r>
  <r>
    <x v="38"/>
    <x v="21"/>
    <n v="1352547.7"/>
    <x v="0"/>
    <n v="81.349999999999994"/>
    <n v="2.669"/>
    <n v="209.984205"/>
    <n v="8.36"/>
  </r>
  <r>
    <x v="38"/>
    <x v="22"/>
    <n v="1330473.47"/>
    <x v="0"/>
    <n v="81.099999999999994"/>
    <n v="2.6419999999999999"/>
    <n v="209.8708867"/>
    <n v="8.36"/>
  </r>
  <r>
    <x v="38"/>
    <x v="23"/>
    <n v="1339811.68"/>
    <x v="0"/>
    <n v="83.86"/>
    <n v="2.6230000000000002"/>
    <n v="209.8630532"/>
    <n v="8.36"/>
  </r>
  <r>
    <x v="38"/>
    <x v="24"/>
    <n v="1314651.83"/>
    <x v="0"/>
    <n v="82.2"/>
    <n v="2.6080000000000001"/>
    <n v="209.99586629999999"/>
    <n v="8.36"/>
  </r>
  <r>
    <x v="38"/>
    <x v="25"/>
    <n v="1308222.24"/>
    <x v="0"/>
    <n v="80.989999999999995"/>
    <n v="2.64"/>
    <n v="210.12867940000001"/>
    <n v="8.36"/>
  </r>
  <r>
    <x v="38"/>
    <x v="26"/>
    <n v="1409989.67"/>
    <x v="0"/>
    <n v="84.92"/>
    <n v="2.6269999999999998"/>
    <n v="210.2614925"/>
    <n v="8.36"/>
  </r>
  <r>
    <x v="38"/>
    <x v="27"/>
    <n v="1371465.66"/>
    <x v="0"/>
    <n v="85.66"/>
    <n v="2.6920000000000002"/>
    <n v="210.3943056"/>
    <n v="8.36"/>
  </r>
  <r>
    <x v="38"/>
    <x v="28"/>
    <n v="1471816.52"/>
    <x v="0"/>
    <n v="85.73"/>
    <n v="2.6640000000000001"/>
    <n v="210.3617581"/>
    <n v="8.36"/>
  </r>
  <r>
    <x v="38"/>
    <x v="29"/>
    <n v="1417515.93"/>
    <x v="0"/>
    <n v="84.31"/>
    <n v="2.6190000000000002"/>
    <n v="210.32921060000001"/>
    <n v="8.36"/>
  </r>
  <r>
    <x v="38"/>
    <x v="30"/>
    <n v="1345167.61"/>
    <x v="0"/>
    <n v="82.13"/>
    <n v="2.577"/>
    <n v="210.29666309999999"/>
    <n v="8.36"/>
  </r>
  <r>
    <x v="38"/>
    <x v="31"/>
    <n v="1279666.47"/>
    <x v="1"/>
    <n v="79.94"/>
    <n v="2.5649999999999999"/>
    <n v="210.2641156"/>
    <n v="8.36"/>
  </r>
  <r>
    <x v="38"/>
    <x v="32"/>
    <n v="1252915.43"/>
    <x v="0"/>
    <n v="81.83"/>
    <n v="2.5819999999999999"/>
    <n v="210.29245040000001"/>
    <n v="8.36"/>
  </r>
  <r>
    <x v="38"/>
    <x v="33"/>
    <n v="1199449.54"/>
    <x v="0"/>
    <n v="78.5"/>
    <n v="2.6240000000000001"/>
    <n v="210.3664469"/>
    <n v="8.36"/>
  </r>
  <r>
    <x v="38"/>
    <x v="34"/>
    <n v="1219583.9099999999"/>
    <x v="0"/>
    <n v="72.739999999999995"/>
    <n v="2.6030000000000002"/>
    <n v="210.4404433"/>
    <n v="8.4760000000000009"/>
  </r>
  <r>
    <x v="38"/>
    <x v="35"/>
    <n v="1286598.5900000001"/>
    <x v="0"/>
    <n v="64.8"/>
    <n v="2.633"/>
    <n v="210.51443979999999"/>
    <n v="8.4760000000000009"/>
  </r>
  <r>
    <x v="38"/>
    <x v="36"/>
    <n v="1238742"/>
    <x v="0"/>
    <n v="69.959999999999994"/>
    <n v="2.72"/>
    <n v="210.5805944"/>
    <n v="8.4760000000000009"/>
  </r>
  <r>
    <x v="38"/>
    <x v="37"/>
    <n v="1261109.01"/>
    <x v="0"/>
    <n v="71.73"/>
    <n v="2.7250000000000001"/>
    <n v="210.62714439999999"/>
    <n v="8.4760000000000009"/>
  </r>
  <r>
    <x v="38"/>
    <x v="38"/>
    <n v="1294769.08"/>
    <x v="0"/>
    <n v="75.14"/>
    <n v="2.7160000000000002"/>
    <n v="210.67369439999999"/>
    <n v="8.4760000000000009"/>
  </r>
  <r>
    <x v="38"/>
    <x v="39"/>
    <n v="1293707.19"/>
    <x v="0"/>
    <n v="61.62"/>
    <n v="2.6890000000000001"/>
    <n v="210.72024440000001"/>
    <n v="8.4760000000000009"/>
  </r>
  <r>
    <x v="38"/>
    <x v="40"/>
    <n v="1291398.71"/>
    <x v="0"/>
    <n v="62.21"/>
    <n v="2.7280000000000002"/>
    <n v="210.76679440000001"/>
    <n v="8.4760000000000009"/>
  </r>
  <r>
    <x v="38"/>
    <x v="41"/>
    <n v="1370659.54"/>
    <x v="0"/>
    <n v="55.5"/>
    <n v="2.7709999999999999"/>
    <n v="210.65429"/>
    <n v="8.4760000000000009"/>
  </r>
  <r>
    <x v="38"/>
    <x v="42"/>
    <n v="2149355.2000000002"/>
    <x v="1"/>
    <n v="67.75"/>
    <n v="2.7349999999999999"/>
    <n v="210.5152765"/>
    <n v="8.4760000000000009"/>
  </r>
  <r>
    <x v="38"/>
    <x v="43"/>
    <n v="1431910.98"/>
    <x v="0"/>
    <n v="53.55"/>
    <n v="2.7080000000000002"/>
    <n v="210.37626299999999"/>
    <n v="8.4760000000000009"/>
  </r>
  <r>
    <x v="38"/>
    <x v="44"/>
    <n v="1630564.48"/>
    <x v="0"/>
    <n v="50.81"/>
    <n v="2.843"/>
    <n v="210.2372494"/>
    <n v="8.4760000000000009"/>
  </r>
  <r>
    <x v="38"/>
    <x v="45"/>
    <n v="1842172.46"/>
    <x v="0"/>
    <n v="55.31"/>
    <n v="2.8690000000000002"/>
    <n v="210.1787224"/>
    <n v="8.4760000000000009"/>
  </r>
  <r>
    <x v="38"/>
    <x v="46"/>
    <n v="2495489.25"/>
    <x v="0"/>
    <n v="58.86"/>
    <n v="2.8860000000000001"/>
    <n v="210.1805602"/>
    <n v="8.4760000000000009"/>
  </r>
  <r>
    <x v="38"/>
    <x v="47"/>
    <n v="1230012.1599999999"/>
    <x v="1"/>
    <n v="52.45"/>
    <n v="2.9430000000000001"/>
    <n v="210.18239800000001"/>
    <n v="8.4760000000000009"/>
  </r>
  <r>
    <x v="38"/>
    <x v="48"/>
    <n v="1224475.1200000001"/>
    <x v="0"/>
    <n v="52.74"/>
    <n v="2.976"/>
    <n v="210.18423580000001"/>
    <n v="8.3949999999999996"/>
  </r>
  <r>
    <x v="38"/>
    <x v="49"/>
    <n v="1193199.3899999999"/>
    <x v="0"/>
    <n v="41.74"/>
    <n v="2.9830000000000001"/>
    <n v="210.2379731"/>
    <n v="8.3949999999999996"/>
  </r>
  <r>
    <x v="38"/>
    <x v="50"/>
    <n v="1243370.74"/>
    <x v="0"/>
    <n v="50.25"/>
    <n v="3.016"/>
    <n v="210.60310720000001"/>
    <n v="8.3949999999999996"/>
  </r>
  <r>
    <x v="38"/>
    <x v="51"/>
    <n v="1158698.44"/>
    <x v="0"/>
    <n v="47.94"/>
    <n v="3.01"/>
    <n v="210.96824119999999"/>
    <n v="8.3949999999999996"/>
  </r>
  <r>
    <x v="38"/>
    <x v="52"/>
    <n v="1343773.94"/>
    <x v="0"/>
    <n v="45.96"/>
    <n v="2.9889999999999999"/>
    <n v="211.3333753"/>
    <n v="8.3949999999999996"/>
  </r>
  <r>
    <x v="38"/>
    <x v="53"/>
    <n v="1227893.8899999999"/>
    <x v="1"/>
    <n v="40.340000000000003"/>
    <n v="3.0219999999999998"/>
    <n v="211.69850930000001"/>
    <n v="8.3949999999999996"/>
  </r>
  <r>
    <x v="38"/>
    <x v="54"/>
    <n v="1335233.74"/>
    <x v="0"/>
    <n v="58.2"/>
    <n v="3.0449999999999999"/>
    <n v="212.00635220000001"/>
    <n v="8.3949999999999996"/>
  </r>
  <r>
    <x v="38"/>
    <x v="55"/>
    <n v="1240921.19"/>
    <x v="0"/>
    <n v="67.77"/>
    <n v="3.0649999999999999"/>
    <n v="212.2912786"/>
    <n v="8.3949999999999996"/>
  </r>
  <r>
    <x v="38"/>
    <x v="56"/>
    <n v="1316385.43"/>
    <x v="0"/>
    <n v="63.56"/>
    <n v="3.2879999999999998"/>
    <n v="212.57620499999999"/>
    <n v="8.3949999999999996"/>
  </r>
  <r>
    <x v="38"/>
    <x v="57"/>
    <n v="1283716.81"/>
    <x v="0"/>
    <n v="58.35"/>
    <n v="3.4590000000000001"/>
    <n v="212.86113130000001"/>
    <n v="8.3949999999999996"/>
  </r>
  <r>
    <x v="38"/>
    <x v="58"/>
    <n v="1348410.05"/>
    <x v="0"/>
    <n v="65.28"/>
    <n v="3.488"/>
    <n v="213.10967869999999"/>
    <n v="8.3949999999999996"/>
  </r>
  <r>
    <x v="38"/>
    <x v="59"/>
    <n v="1284334.79"/>
    <x v="0"/>
    <n v="71.17"/>
    <n v="3.4729999999999999"/>
    <n v="213.3436744"/>
    <n v="8.3949999999999996"/>
  </r>
  <r>
    <x v="38"/>
    <x v="60"/>
    <n v="1316849.3600000001"/>
    <x v="0"/>
    <n v="66.569999999999993"/>
    <n v="3.524"/>
    <n v="213.57767010000001"/>
    <n v="8.3000000000000007"/>
  </r>
  <r>
    <x v="38"/>
    <x v="61"/>
    <n v="1350646.16"/>
    <x v="0"/>
    <n v="69.45"/>
    <n v="3.6219999999999999"/>
    <n v="213.81166579999999"/>
    <n v="8.3000000000000007"/>
  </r>
  <r>
    <x v="38"/>
    <x v="62"/>
    <n v="1348031.55"/>
    <x v="0"/>
    <n v="73.19"/>
    <n v="3.7429999999999999"/>
    <n v="214.026217"/>
    <n v="8.3000000000000007"/>
  </r>
  <r>
    <x v="38"/>
    <x v="63"/>
    <n v="1563140.85"/>
    <x v="0"/>
    <n v="74.98"/>
    <n v="3.8069999999999999"/>
    <n v="214.1921572"/>
    <n v="8.3000000000000007"/>
  </r>
  <r>
    <x v="38"/>
    <x v="64"/>
    <n v="1379651.87"/>
    <x v="0"/>
    <n v="76.47"/>
    <n v="3.81"/>
    <n v="214.35809739999999"/>
    <n v="8.3000000000000007"/>
  </r>
  <r>
    <x v="38"/>
    <x v="65"/>
    <n v="1370920.87"/>
    <x v="0"/>
    <n v="68.75"/>
    <n v="3.9060000000000001"/>
    <n v="214.52403760000001"/>
    <n v="8.3000000000000007"/>
  </r>
  <r>
    <x v="38"/>
    <x v="66"/>
    <n v="1325022.77"/>
    <x v="0"/>
    <n v="77.39"/>
    <n v="3.899"/>
    <n v="214.68997780000001"/>
    <n v="8.3000000000000007"/>
  </r>
  <r>
    <x v="38"/>
    <x v="67"/>
    <n v="1373907.21"/>
    <x v="0"/>
    <n v="73.31"/>
    <n v="3.907"/>
    <n v="214.46541199999999"/>
    <n v="8.3000000000000007"/>
  </r>
  <r>
    <x v="38"/>
    <x v="68"/>
    <n v="1406124.14"/>
    <x v="0"/>
    <n v="82.1"/>
    <n v="3.786"/>
    <n v="214.24084619999999"/>
    <n v="8.3000000000000007"/>
  </r>
  <r>
    <x v="38"/>
    <x v="69"/>
    <n v="1541745.59"/>
    <x v="0"/>
    <n v="83.59"/>
    <n v="3.6989999999999998"/>
    <n v="214.01628049999999"/>
    <n v="8.3000000000000007"/>
  </r>
  <r>
    <x v="38"/>
    <x v="70"/>
    <n v="1442092.08"/>
    <x v="0"/>
    <n v="82.75"/>
    <n v="3.6480000000000001"/>
    <n v="213.7917147"/>
    <n v="8.3000000000000007"/>
  </r>
  <r>
    <x v="38"/>
    <x v="71"/>
    <n v="1451392.67"/>
    <x v="0"/>
    <n v="85.21"/>
    <n v="3.637"/>
    <n v="213.74812560000001"/>
    <n v="8.3000000000000007"/>
  </r>
  <r>
    <x v="38"/>
    <x v="72"/>
    <n v="1363167.95"/>
    <x v="0"/>
    <n v="84.06"/>
    <n v="3.5939999999999999"/>
    <n v="213.84026890000001"/>
    <n v="8.3000000000000007"/>
  </r>
  <r>
    <x v="38"/>
    <x v="73"/>
    <n v="1429829.36"/>
    <x v="0"/>
    <n v="84.93"/>
    <n v="3.524"/>
    <n v="213.93241219999999"/>
    <n v="8.1769999999999996"/>
  </r>
  <r>
    <x v="38"/>
    <x v="74"/>
    <n v="1414564.53"/>
    <x v="0"/>
    <n v="84.33"/>
    <n v="3.48"/>
    <n v="214.02455560000001"/>
    <n v="8.1769999999999996"/>
  </r>
  <r>
    <x v="38"/>
    <x v="75"/>
    <n v="1380257.12"/>
    <x v="0"/>
    <n v="85.96"/>
    <n v="3.5750000000000002"/>
    <n v="214.1083654"/>
    <n v="8.1769999999999996"/>
  </r>
  <r>
    <x v="38"/>
    <x v="76"/>
    <n v="1416005.59"/>
    <x v="0"/>
    <n v="84.6"/>
    <n v="3.6509999999999998"/>
    <n v="214.17134160000001"/>
    <n v="8.1769999999999996"/>
  </r>
  <r>
    <x v="38"/>
    <x v="77"/>
    <n v="1426418.53"/>
    <x v="0"/>
    <n v="86.24"/>
    <n v="3.6819999999999999"/>
    <n v="214.23431769999999"/>
    <n v="8.1769999999999996"/>
  </r>
  <r>
    <x v="38"/>
    <x v="78"/>
    <n v="1518790.89"/>
    <x v="0"/>
    <n v="87.73"/>
    <n v="3.6840000000000002"/>
    <n v="214.2972939"/>
    <n v="8.1769999999999996"/>
  </r>
  <r>
    <x v="38"/>
    <x v="79"/>
    <n v="1514055.97"/>
    <x v="0"/>
    <n v="88.27"/>
    <n v="3.6379999999999999"/>
    <n v="214.36027010000001"/>
    <n v="8.1769999999999996"/>
  </r>
  <r>
    <x v="38"/>
    <x v="80"/>
    <n v="1629066.9"/>
    <x v="0"/>
    <n v="87.93"/>
    <n v="3.5539999999999998"/>
    <n v="214.42399349999999"/>
    <n v="8.1769999999999996"/>
  </r>
  <r>
    <x v="38"/>
    <x v="81"/>
    <n v="1573898.63"/>
    <x v="0"/>
    <n v="86.49"/>
    <n v="3.5230000000000001"/>
    <n v="214.4878416"/>
    <n v="8.1769999999999996"/>
  </r>
  <r>
    <x v="38"/>
    <x v="82"/>
    <n v="1465089.85"/>
    <x v="0"/>
    <n v="88.65"/>
    <n v="3.5329999999999999"/>
    <n v="214.5516896"/>
    <n v="8.1769999999999996"/>
  </r>
  <r>
    <x v="38"/>
    <x v="83"/>
    <n v="1429345.86"/>
    <x v="1"/>
    <n v="79.150000000000006"/>
    <n v="3.5459999999999998"/>
    <n v="214.61553760000001"/>
    <n v="8.1769999999999996"/>
  </r>
  <r>
    <x v="38"/>
    <x v="84"/>
    <n v="1372500.63"/>
    <x v="0"/>
    <n v="83.11"/>
    <n v="3.5259999999999998"/>
    <n v="214.79341109999999"/>
    <n v="8.1769999999999996"/>
  </r>
  <r>
    <x v="38"/>
    <x v="85"/>
    <n v="1338657.95"/>
    <x v="0"/>
    <n v="78.75"/>
    <n v="3.4670000000000001"/>
    <n v="215.12331850000001"/>
    <n v="8.1769999999999996"/>
  </r>
  <r>
    <x v="38"/>
    <x v="86"/>
    <n v="1311775.83"/>
    <x v="0"/>
    <n v="81.510000000000005"/>
    <n v="3.355"/>
    <n v="215.45322590000001"/>
    <n v="8.1769999999999996"/>
  </r>
  <r>
    <x v="38"/>
    <x v="87"/>
    <n v="1443884.39"/>
    <x v="0"/>
    <n v="71.680000000000007"/>
    <n v="3.2850000000000001"/>
    <n v="215.7831333"/>
    <n v="7.7160000000000002"/>
  </r>
  <r>
    <x v="38"/>
    <x v="88"/>
    <n v="1384721.84"/>
    <x v="0"/>
    <n v="73.790000000000006"/>
    <n v="3.274"/>
    <n v="216.08852580000001"/>
    <n v="7.7160000000000002"/>
  </r>
  <r>
    <x v="38"/>
    <x v="89"/>
    <n v="1465283.29"/>
    <x v="0"/>
    <n v="67.650000000000006"/>
    <n v="3.3530000000000002"/>
    <n v="216.24682870000001"/>
    <n v="7.7160000000000002"/>
  </r>
  <r>
    <x v="38"/>
    <x v="90"/>
    <n v="1472663.1"/>
    <x v="0"/>
    <n v="71.05"/>
    <n v="3.3719999999999999"/>
    <n v="216.40513150000001"/>
    <n v="7.7160000000000002"/>
  </r>
  <r>
    <x v="38"/>
    <x v="91"/>
    <n v="1553629.59"/>
    <x v="0"/>
    <n v="58.04"/>
    <n v="3.3319999999999999"/>
    <n v="216.56343440000001"/>
    <n v="7.7160000000000002"/>
  </r>
  <r>
    <x v="38"/>
    <x v="92"/>
    <n v="1456957.38"/>
    <x v="0"/>
    <n v="63.11"/>
    <n v="3.2970000000000002"/>
    <n v="216.7217373"/>
    <n v="7.7160000000000002"/>
  </r>
  <r>
    <x v="38"/>
    <x v="93"/>
    <n v="1510397.27"/>
    <x v="0"/>
    <n v="66.09"/>
    <n v="3.3079999999999998"/>
    <n v="216.93958610000001"/>
    <n v="7.7160000000000002"/>
  </r>
  <r>
    <x v="38"/>
    <x v="94"/>
    <n v="2338832.4"/>
    <x v="1"/>
    <n v="66.36"/>
    <n v="3.2360000000000002"/>
    <n v="217.18125330000001"/>
    <n v="7.7160000000000002"/>
  </r>
  <r>
    <x v="38"/>
    <x v="95"/>
    <n v="1632894.58"/>
    <x v="0"/>
    <n v="53.14"/>
    <n v="3.1720000000000002"/>
    <n v="217.4229206"/>
    <n v="7.7160000000000002"/>
  </r>
  <r>
    <x v="38"/>
    <x v="96"/>
    <n v="1781528.77"/>
    <x v="0"/>
    <n v="49.36"/>
    <n v="3.1579999999999999"/>
    <n v="217.66458779999999"/>
    <n v="7.7160000000000002"/>
  </r>
  <r>
    <x v="38"/>
    <x v="97"/>
    <n v="1991824.05"/>
    <x v="0"/>
    <n v="58.58"/>
    <n v="3.1589999999999998"/>
    <n v="217.87813389999999"/>
    <n v="7.7160000000000002"/>
  </r>
  <r>
    <x v="38"/>
    <x v="98"/>
    <n v="2554482.84"/>
    <x v="0"/>
    <n v="54.62"/>
    <n v="3.1120000000000001"/>
    <n v="218.05418510000001"/>
    <n v="7.7160000000000002"/>
  </r>
  <r>
    <x v="38"/>
    <x v="99"/>
    <n v="1537139.56"/>
    <x v="1"/>
    <n v="47.6"/>
    <n v="3.129"/>
    <n v="218.2302364"/>
    <n v="7.7160000000000002"/>
  </r>
  <r>
    <x v="38"/>
    <x v="100"/>
    <n v="1478537.93"/>
    <x v="0"/>
    <n v="55.83"/>
    <n v="3.157"/>
    <n v="218.40628760000001"/>
    <n v="7.2439999999999998"/>
  </r>
  <r>
    <x v="38"/>
    <x v="101"/>
    <n v="1369125.37"/>
    <x v="0"/>
    <n v="54.66"/>
    <n v="3.2610000000000001"/>
    <n v="218.5823389"/>
    <n v="7.2439999999999998"/>
  </r>
  <r>
    <x v="38"/>
    <x v="102"/>
    <n v="1394841.03"/>
    <x v="0"/>
    <n v="58.04"/>
    <n v="3.2679999999999998"/>
    <n v="218.6755292"/>
    <n v="7.2439999999999998"/>
  </r>
  <r>
    <x v="38"/>
    <x v="103"/>
    <n v="1320301.6100000001"/>
    <x v="0"/>
    <n v="60.65"/>
    <n v="3.29"/>
    <n v="218.7687195"/>
    <n v="7.2439999999999998"/>
  </r>
  <r>
    <x v="38"/>
    <x v="104"/>
    <n v="1396150.15"/>
    <x v="0"/>
    <n v="60.69"/>
    <n v="3.36"/>
    <n v="218.8619099"/>
    <n v="7.2439999999999998"/>
  </r>
  <r>
    <x v="38"/>
    <x v="105"/>
    <n v="1442988.44"/>
    <x v="1"/>
    <n v="52.89"/>
    <n v="3.4089999999999998"/>
    <n v="218.9551002"/>
    <n v="7.2439999999999998"/>
  </r>
  <r>
    <x v="38"/>
    <x v="106"/>
    <n v="1511041.69"/>
    <x v="0"/>
    <n v="52.75"/>
    <n v="3.51"/>
    <n v="219.1148297"/>
    <n v="7.2439999999999998"/>
  </r>
  <r>
    <x v="38"/>
    <x v="107"/>
    <n v="1412065.04"/>
    <x v="0"/>
    <n v="61.1"/>
    <n v="3.5550000000000002"/>
    <n v="219.3244636"/>
    <n v="7.2439999999999998"/>
  </r>
  <r>
    <x v="38"/>
    <x v="108"/>
    <n v="1453047.02"/>
    <x v="0"/>
    <n v="64.05"/>
    <n v="3.63"/>
    <n v="219.5340975"/>
    <n v="7.2439999999999998"/>
  </r>
  <r>
    <x v="38"/>
    <x v="109"/>
    <n v="1470764.35"/>
    <x v="0"/>
    <n v="61.64"/>
    <n v="3.669"/>
    <n v="219.7437314"/>
    <n v="7.2439999999999998"/>
  </r>
  <r>
    <x v="38"/>
    <x v="110"/>
    <n v="1522421.07"/>
    <x v="0"/>
    <n v="65.81"/>
    <n v="3.734"/>
    <n v="219.8956335"/>
    <n v="7.2439999999999998"/>
  </r>
  <r>
    <x v="38"/>
    <x v="111"/>
    <n v="1469593.37"/>
    <x v="0"/>
    <n v="67.91"/>
    <n v="3.7869999999999999"/>
    <n v="219.97055990000001"/>
    <n v="7.2439999999999998"/>
  </r>
  <r>
    <x v="38"/>
    <x v="112"/>
    <n v="1499727.02"/>
    <x v="0"/>
    <n v="69.11"/>
    <n v="3.8450000000000002"/>
    <n v="220.0454862"/>
    <n v="7.2439999999999998"/>
  </r>
  <r>
    <x v="38"/>
    <x v="113"/>
    <n v="1764847.94"/>
    <x v="0"/>
    <n v="73.489999999999995"/>
    <n v="3.891"/>
    <n v="220.12041249999999"/>
    <n v="6.9889999999999999"/>
  </r>
  <r>
    <x v="38"/>
    <x v="114"/>
    <n v="1580732.73"/>
    <x v="0"/>
    <n v="71.59"/>
    <n v="3.891"/>
    <n v="220.1953389"/>
    <n v="6.9889999999999999"/>
  </r>
  <r>
    <x v="38"/>
    <x v="115"/>
    <n v="1433391.04"/>
    <x v="0"/>
    <n v="70.040000000000006"/>
    <n v="3.8769999999999998"/>
    <n v="220.24839370000001"/>
    <n v="6.9889999999999999"/>
  </r>
  <r>
    <x v="38"/>
    <x v="116"/>
    <n v="1456997.2"/>
    <x v="0"/>
    <n v="69.11"/>
    <n v="3.8140000000000001"/>
    <n v="220.30144849999999"/>
    <n v="6.9889999999999999"/>
  </r>
  <r>
    <x v="38"/>
    <x v="117"/>
    <n v="1512227.34"/>
    <x v="0"/>
    <n v="77.150000000000006"/>
    <n v="3.7490000000000001"/>
    <n v="220.3545033"/>
    <n v="6.9889999999999999"/>
  </r>
  <r>
    <x v="38"/>
    <x v="118"/>
    <n v="1470792.41"/>
    <x v="0"/>
    <n v="75.52"/>
    <n v="3.6880000000000002"/>
    <n v="220.40755809999999"/>
    <n v="6.9889999999999999"/>
  </r>
  <r>
    <x v="38"/>
    <x v="119"/>
    <n v="1522978.54"/>
    <x v="0"/>
    <n v="72.36"/>
    <n v="3.63"/>
    <n v="220.42521489999999"/>
    <n v="6.9889999999999999"/>
  </r>
  <r>
    <x v="38"/>
    <x v="120"/>
    <n v="1596036.66"/>
    <x v="0"/>
    <n v="78.31"/>
    <n v="3.5609999999999999"/>
    <n v="220.42871239999999"/>
    <n v="6.9889999999999999"/>
  </r>
  <r>
    <x v="38"/>
    <x v="121"/>
    <n v="1640476.77"/>
    <x v="0"/>
    <n v="80.33"/>
    <n v="3.5009999999999999"/>
    <n v="220.4322099"/>
    <n v="6.9889999999999999"/>
  </r>
  <r>
    <x v="38"/>
    <x v="122"/>
    <n v="1623442.24"/>
    <x v="0"/>
    <n v="81.12"/>
    <n v="3.452"/>
    <n v="220.43570729999999"/>
    <n v="6.9889999999999999"/>
  </r>
  <r>
    <x v="38"/>
    <x v="123"/>
    <n v="1587499.82"/>
    <x v="0"/>
    <n v="81.33"/>
    <n v="3.3929999999999998"/>
    <n v="220.4494148"/>
    <n v="6.9889999999999999"/>
  </r>
  <r>
    <x v="38"/>
    <x v="124"/>
    <n v="1532316.79"/>
    <x v="0"/>
    <n v="79.84"/>
    <n v="3.3460000000000001"/>
    <n v="220.4886472"/>
    <n v="6.9889999999999999"/>
  </r>
  <r>
    <x v="38"/>
    <x v="125"/>
    <n v="1492388.98"/>
    <x v="0"/>
    <n v="85.72"/>
    <n v="3.286"/>
    <n v="220.52787960000001"/>
    <n v="6.9889999999999999"/>
  </r>
  <r>
    <x v="38"/>
    <x v="126"/>
    <n v="1659221.99"/>
    <x v="0"/>
    <n v="81.05"/>
    <n v="3.2269999999999999"/>
    <n v="220.56711200000001"/>
    <n v="6.6230000000000002"/>
  </r>
  <r>
    <x v="38"/>
    <x v="127"/>
    <n v="1471261.76"/>
    <x v="0"/>
    <n v="78.16"/>
    <n v="3.2559999999999998"/>
    <n v="220.60634440000001"/>
    <n v="6.6230000000000002"/>
  </r>
  <r>
    <x v="38"/>
    <x v="128"/>
    <n v="1582168.27"/>
    <x v="0"/>
    <n v="80.319999999999993"/>
    <n v="3.3109999999999999"/>
    <n v="220.61487489999999"/>
    <n v="6.6230000000000002"/>
  </r>
  <r>
    <x v="38"/>
    <x v="129"/>
    <n v="1487797.54"/>
    <x v="0"/>
    <n v="82.89"/>
    <n v="3.407"/>
    <n v="220.6234054"/>
    <n v="6.6230000000000002"/>
  </r>
  <r>
    <x v="38"/>
    <x v="130"/>
    <n v="1608277.74"/>
    <x v="0"/>
    <n v="84.05"/>
    <n v="3.4169999999999998"/>
    <n v="220.63193580000001"/>
    <n v="6.6230000000000002"/>
  </r>
  <r>
    <x v="38"/>
    <x v="131"/>
    <n v="1641867.92"/>
    <x v="0"/>
    <n v="83.47"/>
    <n v="3.4940000000000002"/>
    <n v="220.64046630000001"/>
    <n v="6.6230000000000002"/>
  </r>
  <r>
    <x v="38"/>
    <x v="132"/>
    <n v="1720221.91"/>
    <x v="0"/>
    <n v="84.72"/>
    <n v="3.5710000000000002"/>
    <n v="220.71996089999999"/>
    <n v="6.6230000000000002"/>
  </r>
  <r>
    <x v="38"/>
    <x v="133"/>
    <n v="1724669.75"/>
    <x v="0"/>
    <n v="80.489999999999995"/>
    <n v="3.62"/>
    <n v="220.85267870000001"/>
    <n v="6.6230000000000002"/>
  </r>
  <r>
    <x v="38"/>
    <x v="134"/>
    <n v="1710923.94"/>
    <x v="0"/>
    <n v="83.72"/>
    <n v="3.6379999999999999"/>
    <n v="220.98539640000001"/>
    <n v="6.6230000000000002"/>
  </r>
  <r>
    <x v="38"/>
    <x v="135"/>
    <n v="1609811.75"/>
    <x v="1"/>
    <n v="83.71"/>
    <n v="3.73"/>
    <n v="221.11811420000001"/>
    <n v="6.6230000000000002"/>
  </r>
  <r>
    <x v="38"/>
    <x v="136"/>
    <n v="1447614.08"/>
    <x v="0"/>
    <n v="76.709999999999994"/>
    <n v="3.7170000000000001"/>
    <n v="221.26012069999999"/>
    <n v="6.6230000000000002"/>
  </r>
  <r>
    <x v="38"/>
    <x v="137"/>
    <n v="1555672.51"/>
    <x v="0"/>
    <n v="73.58"/>
    <n v="3.7210000000000001"/>
    <n v="221.45786039999999"/>
    <n v="6.6230000000000002"/>
  </r>
  <r>
    <x v="38"/>
    <x v="138"/>
    <n v="1495607.07"/>
    <x v="0"/>
    <n v="78.040000000000006"/>
    <n v="3.6659999999999999"/>
    <n v="221.65559999999999"/>
    <n v="6.6230000000000002"/>
  </r>
  <r>
    <x v="38"/>
    <x v="139"/>
    <n v="1574408.67"/>
    <x v="0"/>
    <n v="72.05"/>
    <n v="3.617"/>
    <n v="221.8533396"/>
    <n v="6.2279999999999998"/>
  </r>
  <r>
    <x v="38"/>
    <x v="140"/>
    <n v="1494417.07"/>
    <x v="0"/>
    <n v="69.88"/>
    <n v="3.601"/>
    <n v="222.0510793"/>
    <n v="6.2279999999999998"/>
  </r>
  <r>
    <x v="38"/>
    <x v="141"/>
    <n v="1577486.33"/>
    <x v="0"/>
    <n v="71.45"/>
    <n v="3.5939999999999999"/>
    <n v="222.0951719"/>
    <n v="6.2279999999999998"/>
  </r>
  <r>
    <x v="38"/>
    <x v="142"/>
    <n v="1569502"/>
    <x v="0"/>
    <n v="72.900000000000006"/>
    <n v="3.5059999999999998"/>
    <n v="222.11365660000001"/>
    <n v="6.2279999999999998"/>
  </r>
  <r>
    <x v="39"/>
    <x v="0"/>
    <n v="1001943.8"/>
    <x v="0"/>
    <n v="14.48"/>
    <n v="2.7879999999999998"/>
    <n v="131.5279032"/>
    <n v="5.8920000000000003"/>
  </r>
  <r>
    <x v="39"/>
    <x v="1"/>
    <n v="955338.29"/>
    <x v="1"/>
    <n v="20.84"/>
    <n v="2.7709999999999999"/>
    <n v="131.58661290000001"/>
    <n v="5.8920000000000003"/>
  </r>
  <r>
    <x v="39"/>
    <x v="2"/>
    <n v="916289.2"/>
    <x v="0"/>
    <n v="27.84"/>
    <n v="2.7469999999999999"/>
    <n v="131.637"/>
    <n v="5.8920000000000003"/>
  </r>
  <r>
    <x v="39"/>
    <x v="3"/>
    <n v="863917.41"/>
    <x v="0"/>
    <n v="33.32"/>
    <n v="2.7530000000000001"/>
    <n v="131.68600000000001"/>
    <n v="5.8920000000000003"/>
  </r>
  <r>
    <x v="39"/>
    <x v="4"/>
    <n v="990152.28"/>
    <x v="0"/>
    <n v="34.78"/>
    <n v="2.766"/>
    <n v="131.73500000000001"/>
    <n v="5.8920000000000003"/>
  </r>
  <r>
    <x v="39"/>
    <x v="5"/>
    <n v="899352.4"/>
    <x v="0"/>
    <n v="35.1"/>
    <n v="2.8050000000000002"/>
    <n v="131.78399999999999"/>
    <n v="5.8920000000000003"/>
  </r>
  <r>
    <x v="39"/>
    <x v="6"/>
    <n v="894865.3"/>
    <x v="0"/>
    <n v="40.54"/>
    <n v="2.8340000000000001"/>
    <n v="131.8242903"/>
    <n v="5.8920000000000003"/>
  </r>
  <r>
    <x v="39"/>
    <x v="7"/>
    <n v="873354.58"/>
    <x v="0"/>
    <n v="39.51"/>
    <n v="2.831"/>
    <n v="131.86312899999999"/>
    <n v="5.8920000000000003"/>
  </r>
  <r>
    <x v="39"/>
    <x v="8"/>
    <n v="1041202.13"/>
    <x v="0"/>
    <n v="41.39"/>
    <n v="2.8260000000000001"/>
    <n v="131.9019677"/>
    <n v="5.4349999999999996"/>
  </r>
  <r>
    <x v="39"/>
    <x v="9"/>
    <n v="919839.19"/>
    <x v="0"/>
    <n v="54.31"/>
    <n v="2.8490000000000002"/>
    <n v="131.94080650000001"/>
    <n v="5.4349999999999996"/>
  </r>
  <r>
    <x v="39"/>
    <x v="10"/>
    <n v="882636.96"/>
    <x v="0"/>
    <n v="43.3"/>
    <n v="2.8849999999999998"/>
    <n v="131.98089999999999"/>
    <n v="5.4349999999999996"/>
  </r>
  <r>
    <x v="39"/>
    <x v="11"/>
    <n v="844958.49"/>
    <x v="0"/>
    <n v="45.85"/>
    <n v="2.895"/>
    <n v="132.0226667"/>
    <n v="5.4349999999999996"/>
  </r>
  <r>
    <x v="39"/>
    <x v="12"/>
    <n v="816838.31"/>
    <x v="0"/>
    <n v="46.5"/>
    <n v="2.9350000000000001"/>
    <n v="132.06443329999999"/>
    <n v="5.4349999999999996"/>
  </r>
  <r>
    <x v="39"/>
    <x v="13"/>
    <n v="1009797.06"/>
    <x v="0"/>
    <n v="60.05"/>
    <n v="2.9809999999999999"/>
    <n v="132.1062"/>
    <n v="5.4349999999999996"/>
  </r>
  <r>
    <x v="39"/>
    <x v="14"/>
    <n v="907262.47"/>
    <x v="0"/>
    <n v="45.5"/>
    <n v="2.9830000000000001"/>
    <n v="132.152129"/>
    <n v="5.4349999999999996"/>
  </r>
  <r>
    <x v="39"/>
    <x v="15"/>
    <n v="885613.91"/>
    <x v="0"/>
    <n v="56.75"/>
    <n v="2.9609999999999999"/>
    <n v="132.2230323"/>
    <n v="5.4349999999999996"/>
  </r>
  <r>
    <x v="39"/>
    <x v="16"/>
    <n v="1008483.07"/>
    <x v="0"/>
    <n v="67.88"/>
    <n v="2.9060000000000001"/>
    <n v="132.2939355"/>
    <n v="5.4349999999999996"/>
  </r>
  <r>
    <x v="39"/>
    <x v="17"/>
    <n v="1052429.03"/>
    <x v="0"/>
    <n v="65.7"/>
    <n v="2.8570000000000002"/>
    <n v="132.36483870000001"/>
    <n v="5.4349999999999996"/>
  </r>
  <r>
    <x v="39"/>
    <x v="18"/>
    <n v="1007574.67"/>
    <x v="0"/>
    <n v="59.42"/>
    <n v="2.83"/>
    <n v="132.43574190000001"/>
    <n v="5.4349999999999996"/>
  </r>
  <r>
    <x v="39"/>
    <x v="19"/>
    <n v="973105.3"/>
    <x v="0"/>
    <n v="60.97"/>
    <n v="2.8050000000000002"/>
    <n v="132.47333330000001"/>
    <n v="5.4349999999999996"/>
  </r>
  <r>
    <x v="39"/>
    <x v="20"/>
    <n v="940405.03"/>
    <x v="0"/>
    <n v="69.72"/>
    <n v="2.81"/>
    <n v="132.49760000000001"/>
    <n v="5.4349999999999996"/>
  </r>
  <r>
    <x v="39"/>
    <x v="21"/>
    <n v="1087578.78"/>
    <x v="0"/>
    <n v="65.47"/>
    <n v="2.8149999999999999"/>
    <n v="132.5218667"/>
    <n v="5.3259999999999996"/>
  </r>
  <r>
    <x v="39"/>
    <x v="22"/>
    <n v="1058250.9099999999"/>
    <x v="0"/>
    <n v="76.67"/>
    <n v="2.806"/>
    <n v="132.54613330000001"/>
    <n v="5.3259999999999996"/>
  </r>
  <r>
    <x v="39"/>
    <x v="23"/>
    <n v="959229.09"/>
    <x v="0"/>
    <n v="74.25"/>
    <n v="2.7959999999999998"/>
    <n v="132.5667742"/>
    <n v="5.3259999999999996"/>
  </r>
  <r>
    <x v="39"/>
    <x v="24"/>
    <n v="922341.82"/>
    <x v="0"/>
    <n v="71.790000000000006"/>
    <n v="2.7839999999999998"/>
    <n v="132.5825806"/>
    <n v="5.3259999999999996"/>
  </r>
  <r>
    <x v="39"/>
    <x v="25"/>
    <n v="953393.02"/>
    <x v="0"/>
    <n v="71.349999999999994"/>
    <n v="2.7919999999999998"/>
    <n v="132.5983871"/>
    <n v="5.3259999999999996"/>
  </r>
  <r>
    <x v="39"/>
    <x v="26"/>
    <n v="1057295.8700000001"/>
    <x v="0"/>
    <n v="69.16"/>
    <n v="2.7919999999999998"/>
    <n v="132.6141935"/>
    <n v="5.3259999999999996"/>
  </r>
  <r>
    <x v="39"/>
    <x v="27"/>
    <n v="924011.76"/>
    <x v="0"/>
    <n v="67.47"/>
    <n v="2.81"/>
    <n v="132.63"/>
    <n v="5.3259999999999996"/>
  </r>
  <r>
    <x v="39"/>
    <x v="28"/>
    <n v="932397"/>
    <x v="0"/>
    <n v="67.05"/>
    <n v="2.7959999999999998"/>
    <n v="132.66161289999999"/>
    <n v="5.3259999999999996"/>
  </r>
  <r>
    <x v="39"/>
    <x v="29"/>
    <n v="922328.02"/>
    <x v="0"/>
    <n v="62.57"/>
    <n v="2.77"/>
    <n v="132.69322579999999"/>
    <n v="5.3259999999999996"/>
  </r>
  <r>
    <x v="39"/>
    <x v="30"/>
    <n v="976453.34"/>
    <x v="0"/>
    <n v="70.66"/>
    <n v="2.7349999999999999"/>
    <n v="132.72483869999999"/>
    <n v="5.3259999999999996"/>
  </r>
  <r>
    <x v="39"/>
    <x v="31"/>
    <n v="967310.82"/>
    <x v="1"/>
    <n v="62.75"/>
    <n v="2.7170000000000001"/>
    <n v="132.75645159999999"/>
    <n v="5.3259999999999996"/>
  </r>
  <r>
    <x v="39"/>
    <x v="32"/>
    <n v="855046.95"/>
    <x v="0"/>
    <n v="55.34"/>
    <n v="2.7160000000000002"/>
    <n v="132.76706669999999"/>
    <n v="5.3259999999999996"/>
  </r>
  <r>
    <x v="39"/>
    <x v="33"/>
    <n v="844373.31"/>
    <x v="0"/>
    <n v="55.63"/>
    <n v="2.718"/>
    <n v="132.76193330000001"/>
    <n v="5.3259999999999996"/>
  </r>
  <r>
    <x v="39"/>
    <x v="34"/>
    <n v="891152.33"/>
    <x v="0"/>
    <n v="62.01"/>
    <n v="2.7170000000000001"/>
    <n v="132.7568"/>
    <n v="5.2869999999999999"/>
  </r>
  <r>
    <x v="39"/>
    <x v="35"/>
    <n v="972405.38"/>
    <x v="0"/>
    <n v="52.02"/>
    <n v="2.7759999999999998"/>
    <n v="132.75166669999999"/>
    <n v="5.2869999999999999"/>
  </r>
  <r>
    <x v="39"/>
    <x v="36"/>
    <n v="917883.17"/>
    <x v="0"/>
    <n v="44.56"/>
    <n v="2.8780000000000001"/>
    <n v="132.7633548"/>
    <n v="5.2869999999999999"/>
  </r>
  <r>
    <x v="39"/>
    <x v="37"/>
    <n v="882180.91"/>
    <x v="0"/>
    <n v="41.25"/>
    <n v="2.919"/>
    <n v="132.8170968"/>
    <n v="5.2869999999999999"/>
  </r>
  <r>
    <x v="39"/>
    <x v="38"/>
    <n v="875038.84"/>
    <x v="0"/>
    <n v="47.1"/>
    <n v="2.9380000000000002"/>
    <n v="132.87083870000001"/>
    <n v="5.2869999999999999"/>
  </r>
  <r>
    <x v="39"/>
    <x v="39"/>
    <n v="968270.66"/>
    <x v="0"/>
    <n v="36.450000000000003"/>
    <n v="2.9380000000000002"/>
    <n v="132.92458060000001"/>
    <n v="5.2869999999999999"/>
  </r>
  <r>
    <x v="39"/>
    <x v="40"/>
    <n v="935481.32"/>
    <x v="0"/>
    <n v="38.5"/>
    <n v="2.9609999999999999"/>
    <n v="132.97832260000001"/>
    <n v="5.2869999999999999"/>
  </r>
  <r>
    <x v="39"/>
    <x v="41"/>
    <n v="852452.93"/>
    <x v="0"/>
    <n v="40.520000000000003"/>
    <n v="3.03"/>
    <n v="132.91720000000001"/>
    <n v="5.2869999999999999"/>
  </r>
  <r>
    <x v="39"/>
    <x v="42"/>
    <n v="1166142.8500000001"/>
    <x v="1"/>
    <n v="32.94"/>
    <n v="3.07"/>
    <n v="132.8369333"/>
    <n v="5.2869999999999999"/>
  </r>
  <r>
    <x v="39"/>
    <x v="43"/>
    <n v="1000582.06"/>
    <x v="0"/>
    <n v="33.6"/>
    <n v="3.0649999999999999"/>
    <n v="132.75666670000001"/>
    <n v="5.2869999999999999"/>
  </r>
  <r>
    <x v="39"/>
    <x v="44"/>
    <n v="1111215.72"/>
    <x v="0"/>
    <n v="21.64"/>
    <n v="3.1320000000000001"/>
    <n v="132.6764"/>
    <n v="5.2869999999999999"/>
  </r>
  <r>
    <x v="39"/>
    <x v="45"/>
    <n v="1179036.3"/>
    <x v="0"/>
    <n v="23.01"/>
    <n v="3.1389999999999998"/>
    <n v="132.6804516"/>
    <n v="5.2869999999999999"/>
  </r>
  <r>
    <x v="39"/>
    <x v="46"/>
    <n v="1648829.18"/>
    <x v="0"/>
    <n v="24.18"/>
    <n v="3.15"/>
    <n v="132.74774189999999"/>
    <n v="5.2869999999999999"/>
  </r>
  <r>
    <x v="39"/>
    <x v="47"/>
    <n v="811318.3"/>
    <x v="1"/>
    <n v="19.29"/>
    <n v="3.177"/>
    <n v="132.81503230000001"/>
    <n v="5.2869999999999999"/>
  </r>
  <r>
    <x v="39"/>
    <x v="48"/>
    <n v="894280.19"/>
    <x v="0"/>
    <n v="24.05"/>
    <n v="3.1930000000000001"/>
    <n v="132.88232260000001"/>
    <n v="5.1139999999999999"/>
  </r>
  <r>
    <x v="39"/>
    <x v="49"/>
    <n v="771315.62"/>
    <x v="0"/>
    <n v="18.55"/>
    <n v="3.2149999999999999"/>
    <n v="132.9510645"/>
    <n v="5.1139999999999999"/>
  </r>
  <r>
    <x v="39"/>
    <x v="50"/>
    <n v="764014.75"/>
    <x v="0"/>
    <n v="14.64"/>
    <n v="3.2320000000000002"/>
    <n v="133.02851609999999"/>
    <n v="5.1139999999999999"/>
  </r>
  <r>
    <x v="39"/>
    <x v="51"/>
    <n v="775910.43"/>
    <x v="0"/>
    <n v="9.51"/>
    <n v="3.2429999999999999"/>
    <n v="133.10596770000001"/>
    <n v="5.1139999999999999"/>
  </r>
  <r>
    <x v="39"/>
    <x v="52"/>
    <n v="904261.65"/>
    <x v="0"/>
    <n v="13.29"/>
    <n v="3.24"/>
    <n v="133.18341939999999"/>
    <n v="5.1139999999999999"/>
  </r>
  <r>
    <x v="39"/>
    <x v="53"/>
    <n v="931939.52"/>
    <x v="1"/>
    <n v="16.87"/>
    <n v="3.2549999999999999"/>
    <n v="133.26087100000001"/>
    <n v="5.1139999999999999"/>
  </r>
  <r>
    <x v="39"/>
    <x v="54"/>
    <n v="968694.45"/>
    <x v="0"/>
    <n v="21.82"/>
    <n v="3.2629999999999999"/>
    <n v="133.37014289999999"/>
    <n v="5.1139999999999999"/>
  </r>
  <r>
    <x v="39"/>
    <x v="55"/>
    <n v="888869.27"/>
    <x v="0"/>
    <n v="16.5"/>
    <n v="3.2810000000000001"/>
    <n v="133.4921429"/>
    <n v="5.1139999999999999"/>
  </r>
  <r>
    <x v="39"/>
    <x v="56"/>
    <n v="977070.62"/>
    <x v="0"/>
    <n v="18.489999999999998"/>
    <n v="3.4369999999999998"/>
    <n v="133.61414289999999"/>
    <n v="5.1139999999999999"/>
  </r>
  <r>
    <x v="39"/>
    <x v="57"/>
    <n v="860255.58"/>
    <x v="0"/>
    <n v="30.53"/>
    <n v="3.6"/>
    <n v="133.7361429"/>
    <n v="5.1139999999999999"/>
  </r>
  <r>
    <x v="39"/>
    <x v="58"/>
    <n v="871024.26"/>
    <x v="0"/>
    <n v="35.76"/>
    <n v="3.6339999999999999"/>
    <n v="133.8492258"/>
    <n v="5.1139999999999999"/>
  </r>
  <r>
    <x v="39"/>
    <x v="59"/>
    <n v="834621.39"/>
    <x v="0"/>
    <n v="28.89"/>
    <n v="3.6240000000000001"/>
    <n v="133.95874190000001"/>
    <n v="5.1139999999999999"/>
  </r>
  <r>
    <x v="39"/>
    <x v="60"/>
    <n v="841889.08"/>
    <x v="0"/>
    <n v="28.6"/>
    <n v="3.6379999999999999"/>
    <n v="134.06825810000001"/>
    <n v="4.7809999999999997"/>
  </r>
  <r>
    <x v="39"/>
    <x v="61"/>
    <n v="947753.32"/>
    <x v="0"/>
    <n v="34.770000000000003"/>
    <n v="3.72"/>
    <n v="134.17777419999999"/>
    <n v="4.7809999999999997"/>
  </r>
  <r>
    <x v="39"/>
    <x v="62"/>
    <n v="874446.32"/>
    <x v="0"/>
    <n v="43.69"/>
    <n v="3.823"/>
    <n v="134.2784667"/>
    <n v="4.7809999999999997"/>
  </r>
  <r>
    <x v="39"/>
    <x v="63"/>
    <n v="965056.4"/>
    <x v="0"/>
    <n v="39.32"/>
    <n v="3.919"/>
    <n v="134.3571"/>
    <n v="4.7809999999999997"/>
  </r>
  <r>
    <x v="39"/>
    <x v="64"/>
    <n v="847246.5"/>
    <x v="0"/>
    <n v="52.68"/>
    <n v="3.988"/>
    <n v="134.43573330000001"/>
    <n v="4.7809999999999997"/>
  </r>
  <r>
    <x v="39"/>
    <x v="65"/>
    <n v="1016752.55"/>
    <x v="0"/>
    <n v="50.81"/>
    <n v="4.0780000000000003"/>
    <n v="134.51436670000001"/>
    <n v="4.7809999999999997"/>
  </r>
  <r>
    <x v="39"/>
    <x v="66"/>
    <n v="903864.02"/>
    <x v="0"/>
    <n v="54.09"/>
    <n v="4.0949999999999998"/>
    <n v="134.59299999999999"/>
    <n v="4.7809999999999997"/>
  </r>
  <r>
    <x v="39"/>
    <x v="67"/>
    <n v="907110.83"/>
    <x v="0"/>
    <n v="56.38"/>
    <n v="4.101"/>
    <n v="134.68038709999999"/>
    <n v="4.7809999999999997"/>
  </r>
  <r>
    <x v="39"/>
    <x v="68"/>
    <n v="972373.81"/>
    <x v="0"/>
    <n v="63.11"/>
    <n v="4.0339999999999998"/>
    <n v="134.76777419999999"/>
    <n v="4.7809999999999997"/>
  </r>
  <r>
    <x v="39"/>
    <x v="69"/>
    <n v="1075687.74"/>
    <x v="0"/>
    <n v="66.16"/>
    <n v="3.9729999999999999"/>
    <n v="134.85516129999999"/>
    <n v="4.7809999999999997"/>
  </r>
  <r>
    <x v="39"/>
    <x v="70"/>
    <n v="984336.04"/>
    <x v="0"/>
    <n v="64.19"/>
    <n v="3.9239999999999999"/>
    <n v="134.94254839999999"/>
    <n v="4.7809999999999997"/>
  </r>
  <r>
    <x v="39"/>
    <x v="71"/>
    <n v="971422.67"/>
    <x v="0"/>
    <n v="59.16"/>
    <n v="3.8730000000000002"/>
    <n v="135.08373330000001"/>
    <n v="4.7809999999999997"/>
  </r>
  <r>
    <x v="39"/>
    <x v="72"/>
    <n v="977103.64"/>
    <x v="0"/>
    <n v="62.59"/>
    <n v="3.851"/>
    <n v="135.26526670000001"/>
    <n v="4.7809999999999997"/>
  </r>
  <r>
    <x v="39"/>
    <x v="73"/>
    <n v="1048866.3"/>
    <x v="0"/>
    <n v="65.25"/>
    <n v="3.8149999999999999"/>
    <n v="135.4468"/>
    <n v="4.5839999999999996"/>
  </r>
  <r>
    <x v="39"/>
    <x v="74"/>
    <n v="1107366.06"/>
    <x v="0"/>
    <n v="67.86"/>
    <n v="3.7839999999999998"/>
    <n v="135.62833330000001"/>
    <n v="4.5839999999999996"/>
  </r>
  <r>
    <x v="39"/>
    <x v="75"/>
    <n v="953252.14"/>
    <x v="0"/>
    <n v="68.900000000000006"/>
    <n v="3.827"/>
    <n v="135.7837419"/>
    <n v="4.5839999999999996"/>
  </r>
  <r>
    <x v="39"/>
    <x v="76"/>
    <n v="980642.1"/>
    <x v="0"/>
    <n v="73.34"/>
    <n v="3.8820000000000001"/>
    <n v="135.87383869999999"/>
    <n v="4.5839999999999996"/>
  </r>
  <r>
    <x v="39"/>
    <x v="77"/>
    <n v="929096.9"/>
    <x v="0"/>
    <n v="67.45"/>
    <n v="3.8980000000000001"/>
    <n v="135.96393549999999"/>
    <n v="4.5839999999999996"/>
  </r>
  <r>
    <x v="39"/>
    <x v="78"/>
    <n v="1063818.2"/>
    <x v="0"/>
    <n v="68.099999999999994"/>
    <n v="3.903"/>
    <n v="136.05403229999999"/>
    <n v="4.5839999999999996"/>
  </r>
  <r>
    <x v="39"/>
    <x v="79"/>
    <n v="955506.95"/>
    <x v="0"/>
    <n v="68.3"/>
    <n v="3.88"/>
    <n v="136.14412899999999"/>
    <n v="4.5839999999999996"/>
  </r>
  <r>
    <x v="39"/>
    <x v="80"/>
    <n v="943237.12"/>
    <x v="0"/>
    <n v="64.05"/>
    <n v="3.82"/>
    <n v="136.18312900000001"/>
    <n v="4.5839999999999996"/>
  </r>
  <r>
    <x v="39"/>
    <x v="81"/>
    <n v="969611.3"/>
    <x v="0"/>
    <n v="65.010000000000005"/>
    <n v="3.7959999999999998"/>
    <n v="136.21361289999999"/>
    <n v="4.5839999999999996"/>
  </r>
  <r>
    <x v="39"/>
    <x v="82"/>
    <n v="957298.26"/>
    <x v="0"/>
    <n v="63.79"/>
    <n v="3.7839999999999998"/>
    <n v="136.24409679999999"/>
    <n v="4.5839999999999996"/>
  </r>
  <r>
    <x v="39"/>
    <x v="83"/>
    <n v="1021391.99"/>
    <x v="1"/>
    <n v="64.83"/>
    <n v="3.8090000000000002"/>
    <n v="136.27458060000001"/>
    <n v="4.5839999999999996"/>
  </r>
  <r>
    <x v="39"/>
    <x v="84"/>
    <n v="890661.79"/>
    <x v="0"/>
    <n v="58.28"/>
    <n v="3.8090000000000002"/>
    <n v="136.31450000000001"/>
    <n v="4.5839999999999996"/>
  </r>
  <r>
    <x v="39"/>
    <x v="85"/>
    <n v="876583.98"/>
    <x v="0"/>
    <n v="54.09"/>
    <n v="3.758"/>
    <n v="136.36699999999999"/>
    <n v="4.5839999999999996"/>
  </r>
  <r>
    <x v="39"/>
    <x v="86"/>
    <n v="912857.1"/>
    <x v="0"/>
    <n v="63.45"/>
    <n v="3.6840000000000002"/>
    <n v="136.4195"/>
    <n v="4.5839999999999996"/>
  </r>
  <r>
    <x v="39"/>
    <x v="87"/>
    <n v="1070389.98"/>
    <x v="0"/>
    <n v="50.21"/>
    <n v="3.633"/>
    <n v="136.47200000000001"/>
    <n v="4.42"/>
  </r>
  <r>
    <x v="39"/>
    <x v="88"/>
    <n v="936751.68"/>
    <x v="0"/>
    <n v="53.9"/>
    <n v="3.5830000000000002"/>
    <n v="136.51509680000001"/>
    <n v="4.42"/>
  </r>
  <r>
    <x v="39"/>
    <x v="89"/>
    <n v="942319.65"/>
    <x v="0"/>
    <n v="51.61"/>
    <n v="3.6179999999999999"/>
    <n v="136.5017742"/>
    <n v="4.42"/>
  </r>
  <r>
    <x v="39"/>
    <x v="90"/>
    <n v="941675.95"/>
    <x v="0"/>
    <n v="42.09"/>
    <n v="3.6040000000000001"/>
    <n v="136.48845159999999"/>
    <n v="4.42"/>
  </r>
  <r>
    <x v="39"/>
    <x v="91"/>
    <n v="1011321.18"/>
    <x v="0"/>
    <n v="35.4"/>
    <n v="3.5859999999999999"/>
    <n v="136.47512900000001"/>
    <n v="4.42"/>
  </r>
  <r>
    <x v="39"/>
    <x v="92"/>
    <n v="1037687.07"/>
    <x v="0"/>
    <n v="40.75"/>
    <n v="3.57"/>
    <n v="136.46180649999999"/>
    <n v="4.42"/>
  </r>
  <r>
    <x v="39"/>
    <x v="93"/>
    <n v="905399.99"/>
    <x v="0"/>
    <n v="41.85"/>
    <n v="3.5710000000000002"/>
    <n v="136.46666669999999"/>
    <n v="4.42"/>
  </r>
  <r>
    <x v="39"/>
    <x v="94"/>
    <n v="1230011.95"/>
    <x v="1"/>
    <n v="32.76"/>
    <n v="3.536"/>
    <n v="136.47880000000001"/>
    <n v="4.42"/>
  </r>
  <r>
    <x v="39"/>
    <x v="95"/>
    <n v="1059676.6200000001"/>
    <x v="0"/>
    <n v="38.51"/>
    <n v="3.5009999999999999"/>
    <n v="136.49093329999999"/>
    <n v="4.42"/>
  </r>
  <r>
    <x v="39"/>
    <x v="96"/>
    <n v="1158708.98"/>
    <x v="0"/>
    <n v="34.479999999999997"/>
    <n v="3.47"/>
    <n v="136.50306670000001"/>
    <n v="4.42"/>
  </r>
  <r>
    <x v="39"/>
    <x v="97"/>
    <n v="1198670.19"/>
    <x v="0"/>
    <n v="29.53"/>
    <n v="3.4449999999999998"/>
    <n v="136.53351610000001"/>
    <n v="4.42"/>
  </r>
  <r>
    <x v="39"/>
    <x v="98"/>
    <n v="1601585.7"/>
    <x v="0"/>
    <n v="24.46"/>
    <n v="3.4129999999999998"/>
    <n v="136.58838710000001"/>
    <n v="4.42"/>
  </r>
  <r>
    <x v="39"/>
    <x v="99"/>
    <n v="908853.15"/>
    <x v="1"/>
    <n v="18.75"/>
    <n v="3.4020000000000001"/>
    <n v="136.6432581"/>
    <n v="4.42"/>
  </r>
  <r>
    <x v="39"/>
    <x v="100"/>
    <n v="954576.86"/>
    <x v="0"/>
    <n v="23.29"/>
    <n v="3.4390000000000001"/>
    <n v="136.69812899999999"/>
    <n v="4.2610000000000001"/>
  </r>
  <r>
    <x v="39"/>
    <x v="101"/>
    <n v="780607.52"/>
    <x v="0"/>
    <n v="25.9"/>
    <n v="3.5230000000000001"/>
    <n v="136.75299999999999"/>
    <n v="4.2610000000000001"/>
  </r>
  <r>
    <x v="39"/>
    <x v="102"/>
    <n v="811365.42"/>
    <x v="0"/>
    <n v="14.02"/>
    <n v="3.5419999999999998"/>
    <n v="136.85641939999999"/>
    <n v="4.2610000000000001"/>
  </r>
  <r>
    <x v="39"/>
    <x v="103"/>
    <n v="770157.29"/>
    <x v="0"/>
    <n v="22.91"/>
    <n v="3.5680000000000001"/>
    <n v="136.95983870000001"/>
    <n v="4.2610000000000001"/>
  </r>
  <r>
    <x v="39"/>
    <x v="104"/>
    <n v="979552.34"/>
    <x v="0"/>
    <n v="27.86"/>
    <n v="3.633"/>
    <n v="137.06325810000001"/>
    <n v="4.2610000000000001"/>
  </r>
  <r>
    <x v="39"/>
    <x v="105"/>
    <n v="999785.48"/>
    <x v="1"/>
    <n v="23.92"/>
    <n v="3.6549999999999998"/>
    <n v="137.1666774"/>
    <n v="4.2610000000000001"/>
  </r>
  <r>
    <x v="39"/>
    <x v="106"/>
    <n v="975500.87"/>
    <x v="0"/>
    <n v="25.56"/>
    <n v="3.7029999999999998"/>
    <n v="137.25831030000001"/>
    <n v="4.2610000000000001"/>
  </r>
  <r>
    <x v="39"/>
    <x v="107"/>
    <n v="919301.81"/>
    <x v="0"/>
    <n v="29.88"/>
    <n v="3.7509999999999999"/>
    <n v="137.34110340000001"/>
    <n v="4.2610000000000001"/>
  </r>
  <r>
    <x v="39"/>
    <x v="108"/>
    <n v="927732.02"/>
    <x v="0"/>
    <n v="23.79"/>
    <n v="3.827"/>
    <n v="137.42389660000001"/>
    <n v="4.2610000000000001"/>
  </r>
  <r>
    <x v="39"/>
    <x v="109"/>
    <n v="954233.87"/>
    <x v="0"/>
    <n v="30.58"/>
    <n v="3.8759999999999999"/>
    <n v="137.50668970000001"/>
    <n v="4.2610000000000001"/>
  </r>
  <r>
    <x v="39"/>
    <x v="110"/>
    <n v="891154.18"/>
    <x v="0"/>
    <n v="37.130000000000003"/>
    <n v="3.867"/>
    <n v="137.58438709999999"/>
    <n v="4.2610000000000001"/>
  </r>
  <r>
    <x v="39"/>
    <x v="111"/>
    <n v="844490.86"/>
    <x v="0"/>
    <n v="52.27"/>
    <n v="3.8889999999999998"/>
    <n v="137.65529029999999"/>
    <n v="4.2610000000000001"/>
  </r>
  <r>
    <x v="39"/>
    <x v="112"/>
    <n v="871945.64"/>
    <x v="0"/>
    <n v="36.25"/>
    <n v="3.9209999999999998"/>
    <n v="137.72619349999999"/>
    <n v="4.2610000000000001"/>
  </r>
  <r>
    <x v="39"/>
    <x v="113"/>
    <n v="1132064.23"/>
    <x v="0"/>
    <n v="36.54"/>
    <n v="3.9569999999999999"/>
    <n v="137.79709679999999"/>
    <n v="4.125"/>
  </r>
  <r>
    <x v="39"/>
    <x v="114"/>
    <n v="857811.17"/>
    <x v="0"/>
    <n v="40.65"/>
    <n v="4.0250000000000004"/>
    <n v="137.86799999999999"/>
    <n v="4.125"/>
  </r>
  <r>
    <x v="39"/>
    <x v="115"/>
    <n v="896979.93"/>
    <x v="0"/>
    <n v="55.3"/>
    <n v="4.0460000000000003"/>
    <n v="137.92306669999999"/>
    <n v="4.125"/>
  </r>
  <r>
    <x v="39"/>
    <x v="116"/>
    <n v="875372.91"/>
    <x v="0"/>
    <n v="47.51"/>
    <n v="4.0229999999999997"/>
    <n v="137.9781333"/>
    <n v="4.125"/>
  </r>
  <r>
    <x v="39"/>
    <x v="117"/>
    <n v="993311.59"/>
    <x v="0"/>
    <n v="44.47"/>
    <n v="3.9910000000000001"/>
    <n v="138.03319999999999"/>
    <n v="4.125"/>
  </r>
  <r>
    <x v="39"/>
    <x v="118"/>
    <n v="967729.35"/>
    <x v="0"/>
    <n v="52.06"/>
    <n v="3.9470000000000001"/>
    <n v="138.08826669999999"/>
    <n v="4.125"/>
  </r>
  <r>
    <x v="39"/>
    <x v="119"/>
    <n v="896295.41"/>
    <x v="0"/>
    <n v="57.59"/>
    <n v="3.899"/>
    <n v="138.1065806"/>
    <n v="4.125"/>
  </r>
  <r>
    <x v="39"/>
    <x v="120"/>
    <n v="991054.49"/>
    <x v="0"/>
    <n v="65.25"/>
    <n v="3.85"/>
    <n v="138.11019350000001"/>
    <n v="4.125"/>
  </r>
  <r>
    <x v="39"/>
    <x v="121"/>
    <n v="1037464.27"/>
    <x v="0"/>
    <n v="64.75"/>
    <n v="3.798"/>
    <n v="138.11380650000001"/>
    <n v="4.125"/>
  </r>
  <r>
    <x v="39"/>
    <x v="122"/>
    <n v="1079386.8799999999"/>
    <x v="0"/>
    <n v="55.78"/>
    <n v="3.746"/>
    <n v="138.11741939999999"/>
    <n v="4.125"/>
  </r>
  <r>
    <x v="39"/>
    <x v="123"/>
    <n v="977950.28"/>
    <x v="0"/>
    <n v="63.39"/>
    <n v="3.6829999999999998"/>
    <n v="138.12953329999999"/>
    <n v="4.125"/>
  </r>
  <r>
    <x v="39"/>
    <x v="124"/>
    <n v="1033552.18"/>
    <x v="0"/>
    <n v="69.319999999999993"/>
    <n v="3.629"/>
    <n v="138.16290000000001"/>
    <n v="4.125"/>
  </r>
  <r>
    <x v="39"/>
    <x v="125"/>
    <n v="988764.84"/>
    <x v="0"/>
    <n v="64.42"/>
    <n v="3.577"/>
    <n v="138.1962667"/>
    <n v="4.125"/>
  </r>
  <r>
    <x v="39"/>
    <x v="126"/>
    <n v="1182901.56"/>
    <x v="0"/>
    <n v="69.08"/>
    <n v="3.5379999999999998"/>
    <n v="138.22963329999999"/>
    <n v="4.1559999999999997"/>
  </r>
  <r>
    <x v="39"/>
    <x v="127"/>
    <n v="979848.71"/>
    <x v="0"/>
    <n v="67.48"/>
    <n v="3.5609999999999999"/>
    <n v="138.26300000000001"/>
    <n v="4.1559999999999997"/>
  </r>
  <r>
    <x v="39"/>
    <x v="128"/>
    <n v="968502.38"/>
    <x v="0"/>
    <n v="70.45"/>
    <n v="3.61"/>
    <n v="138.2331935"/>
    <n v="4.1559999999999997"/>
  </r>
  <r>
    <x v="39"/>
    <x v="129"/>
    <n v="954396.85"/>
    <x v="0"/>
    <n v="67.88"/>
    <n v="3.7010000000000001"/>
    <n v="138.20338709999999"/>
    <n v="4.1559999999999997"/>
  </r>
  <r>
    <x v="39"/>
    <x v="130"/>
    <n v="1068346.76"/>
    <x v="0"/>
    <n v="70.150000000000006"/>
    <n v="3.698"/>
    <n v="138.17358060000001"/>
    <n v="4.1559999999999997"/>
  </r>
  <r>
    <x v="39"/>
    <x v="131"/>
    <n v="1007906.43"/>
    <x v="0"/>
    <n v="70.09"/>
    <n v="3.7719999999999998"/>
    <n v="138.1437742"/>
    <n v="4.1559999999999997"/>
  </r>
  <r>
    <x v="39"/>
    <x v="132"/>
    <n v="969387.48"/>
    <x v="0"/>
    <n v="69.41"/>
    <n v="3.84"/>
    <n v="138.18570969999999"/>
    <n v="4.1559999999999997"/>
  </r>
  <r>
    <x v="39"/>
    <x v="133"/>
    <n v="945318.47"/>
    <x v="0"/>
    <n v="63.91"/>
    <n v="3.8740000000000001"/>
    <n v="138.2814516"/>
    <n v="4.1559999999999997"/>
  </r>
  <r>
    <x v="39"/>
    <x v="134"/>
    <n v="987264.67"/>
    <x v="0"/>
    <n v="66.11"/>
    <n v="3.8839999999999999"/>
    <n v="138.3771935"/>
    <n v="4.1559999999999997"/>
  </r>
  <r>
    <x v="39"/>
    <x v="135"/>
    <n v="1088248.3999999999"/>
    <x v="1"/>
    <n v="65.06"/>
    <n v="3.9209999999999998"/>
    <n v="138.47293550000001"/>
    <n v="4.1559999999999997"/>
  </r>
  <r>
    <x v="39"/>
    <x v="136"/>
    <n v="901709.82"/>
    <x v="0"/>
    <n v="59.38"/>
    <n v="3.988"/>
    <n v="138.56729999999999"/>
    <n v="4.1559999999999997"/>
  </r>
  <r>
    <x v="39"/>
    <x v="137"/>
    <n v="899768.4"/>
    <x v="0"/>
    <n v="54.12"/>
    <n v="4.056"/>
    <n v="138.6534"/>
    <n v="4.1559999999999997"/>
  </r>
  <r>
    <x v="39"/>
    <x v="138"/>
    <n v="919595.44"/>
    <x v="0"/>
    <n v="50.98"/>
    <n v="4.0179999999999998"/>
    <n v="138.73949999999999"/>
    <n v="4.1559999999999997"/>
  </r>
  <r>
    <x v="39"/>
    <x v="139"/>
    <n v="1069112"/>
    <x v="0"/>
    <n v="57.21"/>
    <n v="4.0270000000000001"/>
    <n v="138.82560000000001"/>
    <n v="4.1449999999999996"/>
  </r>
  <r>
    <x v="39"/>
    <x v="140"/>
    <n v="982523.26"/>
    <x v="0"/>
    <n v="47.35"/>
    <n v="4.0289999999999999"/>
    <n v="138.9117"/>
    <n v="4.1449999999999996"/>
  </r>
  <r>
    <x v="39"/>
    <x v="141"/>
    <n v="918170.5"/>
    <x v="0"/>
    <n v="46.33"/>
    <n v="4"/>
    <n v="138.83361289999999"/>
    <n v="4.1449999999999996"/>
  </r>
  <r>
    <x v="39"/>
    <x v="142"/>
    <n v="921264.52"/>
    <x v="0"/>
    <n v="49.65"/>
    <n v="3.9169999999999998"/>
    <n v="138.72816130000001"/>
    <n v="4.1449999999999996"/>
  </r>
  <r>
    <x v="40"/>
    <x v="0"/>
    <n v="1086533.18"/>
    <x v="0"/>
    <n v="30.27"/>
    <n v="2.58"/>
    <n v="189.38169740000001"/>
    <n v="7.5410000000000004"/>
  </r>
  <r>
    <x v="40"/>
    <x v="1"/>
    <n v="1075656.3400000001"/>
    <x v="1"/>
    <n v="23.04"/>
    <n v="2.5720000000000001"/>
    <n v="189.46427249999999"/>
    <n v="7.5410000000000004"/>
  </r>
  <r>
    <x v="40"/>
    <x v="2"/>
    <n v="1052034.74"/>
    <x v="0"/>
    <n v="24.13"/>
    <n v="2.5499999999999998"/>
    <n v="189.53409980000001"/>
    <n v="7.5410000000000004"/>
  </r>
  <r>
    <x v="40"/>
    <x v="3"/>
    <n v="991941.73"/>
    <x v="0"/>
    <n v="21.84"/>
    <n v="2.5859999999999999"/>
    <n v="189.6018023"/>
    <n v="7.5410000000000004"/>
  </r>
  <r>
    <x v="40"/>
    <x v="4"/>
    <n v="1063557.49"/>
    <x v="0"/>
    <n v="32.49"/>
    <n v="2.62"/>
    <n v="189.66950489999999"/>
    <n v="7.5410000000000004"/>
  </r>
  <r>
    <x v="40"/>
    <x v="5"/>
    <n v="1023997.71"/>
    <x v="0"/>
    <n v="33.4"/>
    <n v="2.6840000000000002"/>
    <n v="189.73720750000001"/>
    <n v="7.5410000000000004"/>
  </r>
  <r>
    <x v="40"/>
    <x v="6"/>
    <n v="1006597.69"/>
    <x v="0"/>
    <n v="36.700000000000003"/>
    <n v="2.6920000000000002"/>
    <n v="189.734262"/>
    <n v="7.5410000000000004"/>
  </r>
  <r>
    <x v="40"/>
    <x v="7"/>
    <n v="1015196.46"/>
    <x v="0"/>
    <n v="32.299999999999997"/>
    <n v="2.7170000000000001"/>
    <n v="189.71954170000001"/>
    <n v="7.5410000000000004"/>
  </r>
  <r>
    <x v="40"/>
    <x v="8"/>
    <n v="1168826.3899999999"/>
    <x v="0"/>
    <n v="41.31"/>
    <n v="2.7250000000000001"/>
    <n v="189.70482150000001"/>
    <n v="7.3630000000000004"/>
  </r>
  <r>
    <x v="40"/>
    <x v="9"/>
    <n v="1082158.21"/>
    <x v="0"/>
    <n v="37.299999999999997"/>
    <n v="2.75"/>
    <n v="189.69010119999999"/>
    <n v="7.3630000000000004"/>
  </r>
  <r>
    <x v="40"/>
    <x v="10"/>
    <n v="1043388.79"/>
    <x v="0"/>
    <n v="46.79"/>
    <n v="2.7650000000000001"/>
    <n v="189.66288449999999"/>
    <n v="7.3630000000000004"/>
  </r>
  <r>
    <x v="40"/>
    <x v="11"/>
    <n v="1067340.74"/>
    <x v="0"/>
    <n v="45.29"/>
    <n v="2.7759999999999998"/>
    <n v="189.6190057"/>
    <n v="7.3630000000000004"/>
  </r>
  <r>
    <x v="40"/>
    <x v="12"/>
    <n v="1063960.1100000001"/>
    <x v="0"/>
    <n v="40.200000000000003"/>
    <n v="2.766"/>
    <n v="189.57512700000001"/>
    <n v="7.3630000000000004"/>
  </r>
  <r>
    <x v="40"/>
    <x v="13"/>
    <n v="1175738.22"/>
    <x v="0"/>
    <n v="41.5"/>
    <n v="2.7709999999999999"/>
    <n v="189.53124829999999"/>
    <n v="7.3630000000000004"/>
  </r>
  <r>
    <x v="40"/>
    <x v="14"/>
    <n v="1116439.02"/>
    <x v="0"/>
    <n v="40.229999999999997"/>
    <n v="2.7879999999999998"/>
    <n v="189.49041159999999"/>
    <n v="7.3630000000000004"/>
  </r>
  <r>
    <x v="40"/>
    <x v="15"/>
    <n v="1163234.33"/>
    <x v="0"/>
    <n v="50.59"/>
    <n v="2.7759999999999998"/>
    <n v="189.467827"/>
    <n v="7.3630000000000004"/>
  </r>
  <r>
    <x v="40"/>
    <x v="16"/>
    <n v="1246654.24"/>
    <x v="0"/>
    <n v="56.97"/>
    <n v="2.7370000000000001"/>
    <n v="189.44524250000001"/>
    <n v="7.3630000000000004"/>
  </r>
  <r>
    <x v="40"/>
    <x v="17"/>
    <n v="1305068.1000000001"/>
    <x v="0"/>
    <n v="60.13"/>
    <n v="2.7"/>
    <n v="189.42265800000001"/>
    <n v="7.3630000000000004"/>
  </r>
  <r>
    <x v="40"/>
    <x v="18"/>
    <n v="1217199.3899999999"/>
    <x v="0"/>
    <n v="63.36"/>
    <n v="2.6840000000000002"/>
    <n v="189.4000734"/>
    <n v="7.3630000000000004"/>
  </r>
  <r>
    <x v="40"/>
    <x v="19"/>
    <n v="1202963.06"/>
    <x v="0"/>
    <n v="54.9"/>
    <n v="2.6739999999999999"/>
    <n v="189.41852589999999"/>
    <n v="7.3630000000000004"/>
  </r>
  <r>
    <x v="40"/>
    <x v="20"/>
    <n v="1174209.52"/>
    <x v="0"/>
    <n v="66"/>
    <n v="2.7149999999999999"/>
    <n v="189.4533931"/>
    <n v="7.3630000000000004"/>
  </r>
  <r>
    <x v="40"/>
    <x v="21"/>
    <n v="1273279.79"/>
    <x v="0"/>
    <n v="69.39"/>
    <n v="2.7280000000000002"/>
    <n v="189.48826030000001"/>
    <n v="7.335"/>
  </r>
  <r>
    <x v="40"/>
    <x v="22"/>
    <n v="1176079.5900000001"/>
    <x v="0"/>
    <n v="60.93"/>
    <n v="2.7109999999999999"/>
    <n v="189.52312760000001"/>
    <n v="7.335"/>
  </r>
  <r>
    <x v="40"/>
    <x v="23"/>
    <n v="1179788.3799999999"/>
    <x v="0"/>
    <n v="69.06"/>
    <n v="2.6989999999999998"/>
    <n v="189.6125456"/>
    <n v="7.335"/>
  </r>
  <r>
    <x v="40"/>
    <x v="24"/>
    <n v="1192213.8700000001"/>
    <x v="0"/>
    <n v="70.77"/>
    <n v="2.6909999999999998"/>
    <n v="189.774698"/>
    <n v="7.335"/>
  </r>
  <r>
    <x v="40"/>
    <x v="25"/>
    <n v="1211136.6299999999"/>
    <x v="0"/>
    <n v="70.069999999999993"/>
    <n v="2.69"/>
    <n v="189.9368504"/>
    <n v="7.335"/>
  </r>
  <r>
    <x v="40"/>
    <x v="26"/>
    <n v="1338132.72"/>
    <x v="0"/>
    <n v="69.209999999999994"/>
    <n v="2.69"/>
    <n v="190.09900279999999"/>
    <n v="7.335"/>
  </r>
  <r>
    <x v="40"/>
    <x v="27"/>
    <n v="1285976.53"/>
    <x v="0"/>
    <n v="70.239999999999995"/>
    <n v="2.7229999999999999"/>
    <n v="190.26115519999999"/>
    <n v="7.335"/>
  </r>
  <r>
    <x v="40"/>
    <x v="28"/>
    <n v="1353838.39"/>
    <x v="0"/>
    <n v="66.19"/>
    <n v="2.7320000000000002"/>
    <n v="190.29482369999999"/>
    <n v="7.335"/>
  </r>
  <r>
    <x v="40"/>
    <x v="29"/>
    <n v="1173131.6299999999"/>
    <x v="0"/>
    <n v="70.59"/>
    <n v="2.7309999999999999"/>
    <n v="190.3284922"/>
    <n v="7.335"/>
  </r>
  <r>
    <x v="40"/>
    <x v="30"/>
    <n v="1223355.5"/>
    <x v="0"/>
    <n v="64.13"/>
    <n v="2.7730000000000001"/>
    <n v="190.3621607"/>
    <n v="7.335"/>
  </r>
  <r>
    <x v="40"/>
    <x v="31"/>
    <n v="1172672.27"/>
    <x v="1"/>
    <n v="63.3"/>
    <n v="2.78"/>
    <n v="190.3958293"/>
    <n v="7.335"/>
  </r>
  <r>
    <x v="40"/>
    <x v="32"/>
    <n v="1111170.9099999999"/>
    <x v="0"/>
    <n v="62.4"/>
    <n v="2.8"/>
    <n v="190.46882869999999"/>
    <n v="7.335"/>
  </r>
  <r>
    <x v="40"/>
    <x v="33"/>
    <n v="1110941.78"/>
    <x v="0"/>
    <n v="60.11"/>
    <n v="2.7930000000000001"/>
    <n v="190.5713264"/>
    <n v="7.335"/>
  </r>
  <r>
    <x v="40"/>
    <x v="34"/>
    <n v="1109216.3500000001"/>
    <x v="0"/>
    <n v="62.67"/>
    <n v="2.7589999999999999"/>
    <n v="190.67382409999999"/>
    <n v="7.508"/>
  </r>
  <r>
    <x v="40"/>
    <x v="35"/>
    <n v="1162042.24"/>
    <x v="0"/>
    <n v="57.1"/>
    <n v="2.7450000000000001"/>
    <n v="190.77632180000001"/>
    <n v="7.508"/>
  </r>
  <r>
    <x v="40"/>
    <x v="36"/>
    <n v="1133913.33"/>
    <x v="0"/>
    <n v="49.91"/>
    <n v="2.762"/>
    <n v="190.8623087"/>
    <n v="7.508"/>
  </r>
  <r>
    <x v="40"/>
    <x v="37"/>
    <n v="1156003.7"/>
    <x v="0"/>
    <n v="48.09"/>
    <n v="2.762"/>
    <n v="190.9070184"/>
    <n v="7.508"/>
  </r>
  <r>
    <x v="40"/>
    <x v="38"/>
    <n v="1144854.56"/>
    <x v="0"/>
    <n v="42.16"/>
    <n v="2.7480000000000002"/>
    <n v="190.951728"/>
    <n v="7.508"/>
  </r>
  <r>
    <x v="40"/>
    <x v="39"/>
    <n v="1163878.49"/>
    <x v="0"/>
    <n v="46.74"/>
    <n v="2.7290000000000001"/>
    <n v="190.9964377"/>
    <n v="7.508"/>
  </r>
  <r>
    <x v="40"/>
    <x v="40"/>
    <n v="1175326.23"/>
    <x v="0"/>
    <n v="38.99"/>
    <n v="2.7370000000000001"/>
    <n v="191.0411474"/>
    <n v="7.508"/>
  </r>
  <r>
    <x v="40"/>
    <x v="41"/>
    <n v="1172155.28"/>
    <x v="0"/>
    <n v="31.34"/>
    <n v="2.758"/>
    <n v="191.03121719999999"/>
    <n v="7.508"/>
  </r>
  <r>
    <x v="40"/>
    <x v="42"/>
    <n v="1866681.57"/>
    <x v="1"/>
    <n v="25.3"/>
    <n v="2.742"/>
    <n v="191.0121805"/>
    <n v="7.508"/>
  </r>
  <r>
    <x v="40"/>
    <x v="43"/>
    <n v="1220115.75"/>
    <x v="0"/>
    <n v="33"/>
    <n v="2.7120000000000002"/>
    <n v="190.99314369999999"/>
    <n v="7.508"/>
  </r>
  <r>
    <x v="40"/>
    <x v="44"/>
    <n v="1434908.13"/>
    <x v="0"/>
    <n v="33.9"/>
    <n v="2.7280000000000002"/>
    <n v="190.97410690000001"/>
    <n v="7.508"/>
  </r>
  <r>
    <x v="40"/>
    <x v="45"/>
    <n v="1627904.68"/>
    <x v="0"/>
    <n v="31.51"/>
    <n v="2.778"/>
    <n v="191.0303376"/>
    <n v="7.508"/>
  </r>
  <r>
    <x v="40"/>
    <x v="46"/>
    <n v="2225016.73"/>
    <x v="0"/>
    <n v="29.81"/>
    <n v="2.7810000000000001"/>
    <n v="191.14301889999999"/>
    <n v="7.508"/>
  </r>
  <r>
    <x v="40"/>
    <x v="47"/>
    <n v="1001790.16"/>
    <x v="1"/>
    <n v="25.19"/>
    <n v="2.8290000000000002"/>
    <n v="191.25570020000001"/>
    <n v="7.508"/>
  </r>
  <r>
    <x v="40"/>
    <x v="48"/>
    <n v="1153596.53"/>
    <x v="0"/>
    <n v="23.76"/>
    <n v="2.8820000000000001"/>
    <n v="191.3683815"/>
    <n v="7.2409999999999997"/>
  </r>
  <r>
    <x v="40"/>
    <x v="49"/>
    <n v="1052609.1599999999"/>
    <x v="0"/>
    <n v="22.44"/>
    <n v="2.911"/>
    <n v="191.47849389999999"/>
    <n v="7.2409999999999997"/>
  </r>
  <r>
    <x v="40"/>
    <x v="50"/>
    <n v="1088025.8"/>
    <x v="0"/>
    <n v="32.700000000000003"/>
    <n v="2.9729999999999999"/>
    <n v="191.57319240000001"/>
    <n v="7.2409999999999997"/>
  </r>
  <r>
    <x v="40"/>
    <x v="51"/>
    <n v="1026439.93"/>
    <x v="0"/>
    <n v="32.229999999999997"/>
    <n v="3.008"/>
    <n v="191.667891"/>
    <n v="7.2409999999999997"/>
  </r>
  <r>
    <x v="40"/>
    <x v="52"/>
    <n v="1179420.5"/>
    <x v="0"/>
    <n v="14.56"/>
    <n v="3.0110000000000001"/>
    <n v="191.76258949999999"/>
    <n v="7.2409999999999997"/>
  </r>
  <r>
    <x v="40"/>
    <x v="53"/>
    <n v="1150003.3600000001"/>
    <x v="1"/>
    <n v="16.809999999999999"/>
    <n v="3.0369999999999999"/>
    <n v="191.85728810000001"/>
    <n v="7.2409999999999997"/>
  </r>
  <r>
    <x v="40"/>
    <x v="54"/>
    <n v="1203399.6399999999"/>
    <x v="0"/>
    <n v="39.39"/>
    <n v="3.0510000000000002"/>
    <n v="191.9178331"/>
    <n v="7.2409999999999997"/>
  </r>
  <r>
    <x v="40"/>
    <x v="55"/>
    <n v="1099714.93"/>
    <x v="0"/>
    <n v="26.1"/>
    <n v="3.101"/>
    <n v="191.9647167"/>
    <n v="7.2409999999999997"/>
  </r>
  <r>
    <x v="40"/>
    <x v="56"/>
    <n v="1229257.7"/>
    <x v="0"/>
    <n v="34.99"/>
    <n v="3.2320000000000002"/>
    <n v="192.01160039999999"/>
    <n v="7.2409999999999997"/>
  </r>
  <r>
    <x v="40"/>
    <x v="57"/>
    <n v="1159089.6000000001"/>
    <x v="0"/>
    <n v="31.6"/>
    <n v="3.3719999999999999"/>
    <n v="192.05848399999999"/>
    <n v="7.2409999999999997"/>
  </r>
  <r>
    <x v="40"/>
    <x v="58"/>
    <n v="1115504.26"/>
    <x v="0"/>
    <n v="40.19"/>
    <n v="3.4060000000000001"/>
    <n v="192.12379809999999"/>
    <n v="7.2409999999999997"/>
  </r>
  <r>
    <x v="40"/>
    <x v="59"/>
    <n v="1140578.1599999999"/>
    <x v="0"/>
    <n v="41.11"/>
    <n v="3.4140000000000001"/>
    <n v="192.1964844"/>
    <n v="7.2409999999999997"/>
  </r>
  <r>
    <x v="40"/>
    <x v="60"/>
    <n v="1179125.48"/>
    <x v="0"/>
    <n v="38.159999999999997"/>
    <n v="3.4609999999999999"/>
    <n v="192.26917069999999"/>
    <n v="6.9340000000000002"/>
  </r>
  <r>
    <x v="40"/>
    <x v="61"/>
    <n v="1206252.1200000001"/>
    <x v="0"/>
    <n v="42.87"/>
    <n v="3.532"/>
    <n v="192.3418571"/>
    <n v="6.9340000000000002"/>
  </r>
  <r>
    <x v="40"/>
    <x v="62"/>
    <n v="1192982.07"/>
    <x v="0"/>
    <n v="39.94"/>
    <n v="3.6110000000000002"/>
    <n v="192.42259540000001"/>
    <n v="6.9340000000000002"/>
  </r>
  <r>
    <x v="40"/>
    <x v="63"/>
    <n v="1304481.75"/>
    <x v="0"/>
    <n v="42.86"/>
    <n v="3.6360000000000001"/>
    <n v="192.5234638"/>
    <n v="6.9340000000000002"/>
  </r>
  <r>
    <x v="40"/>
    <x v="64"/>
    <n v="1178841.05"/>
    <x v="0"/>
    <n v="39.81"/>
    <n v="3.6629999999999998"/>
    <n v="192.6243322"/>
    <n v="6.9340000000000002"/>
  </r>
  <r>
    <x v="40"/>
    <x v="65"/>
    <n v="1244956.9099999999"/>
    <x v="0"/>
    <n v="41.2"/>
    <n v="3.7349999999999999"/>
    <n v="192.72520059999999"/>
    <n v="6.9340000000000002"/>
  </r>
  <r>
    <x v="40"/>
    <x v="66"/>
    <n v="1270025.74"/>
    <x v="0"/>
    <n v="50.29"/>
    <n v="3.7669999999999999"/>
    <n v="192.82606899999999"/>
    <n v="6.9340000000000002"/>
  </r>
  <r>
    <x v="40"/>
    <x v="67"/>
    <n v="1244542.33"/>
    <x v="0"/>
    <n v="41.11"/>
    <n v="3.8279999999999998"/>
    <n v="192.83131700000001"/>
    <n v="6.9340000000000002"/>
  </r>
  <r>
    <x v="40"/>
    <x v="68"/>
    <n v="1278304.33"/>
    <x v="0"/>
    <n v="50.56"/>
    <n v="3.7949999999999999"/>
    <n v="192.8365651"/>
    <n v="6.9340000000000002"/>
  </r>
  <r>
    <x v="40"/>
    <x v="69"/>
    <n v="1297584.95"/>
    <x v="0"/>
    <n v="54.81"/>
    <n v="3.7629999999999999"/>
    <n v="192.8418131"/>
    <n v="6.9340000000000002"/>
  </r>
  <r>
    <x v="40"/>
    <x v="70"/>
    <n v="1311690.1100000001"/>
    <x v="0"/>
    <n v="61.1"/>
    <n v="3.7349999999999999"/>
    <n v="192.84706120000001"/>
    <n v="6.9340000000000002"/>
  </r>
  <r>
    <x v="40"/>
    <x v="71"/>
    <n v="1289151.8400000001"/>
    <x v="0"/>
    <n v="62.3"/>
    <n v="3.6970000000000001"/>
    <n v="192.90347589999999"/>
    <n v="6.9340000000000002"/>
  </r>
  <r>
    <x v="40"/>
    <x v="72"/>
    <n v="1244381.98"/>
    <x v="0"/>
    <n v="59.54"/>
    <n v="3.661"/>
    <n v="192.9982655"/>
    <n v="6.9340000000000002"/>
  </r>
  <r>
    <x v="40"/>
    <x v="73"/>
    <n v="1333347.78"/>
    <x v="0"/>
    <n v="67.010000000000005"/>
    <n v="3.597"/>
    <n v="193.09305520000001"/>
    <n v="6.9009999999999998"/>
  </r>
  <r>
    <x v="40"/>
    <x v="74"/>
    <n v="1338862.58"/>
    <x v="0"/>
    <n v="68.489999999999995"/>
    <n v="3.54"/>
    <n v="193.18784479999999"/>
    <n v="6.9009999999999998"/>
  </r>
  <r>
    <x v="40"/>
    <x v="75"/>
    <n v="1245772.7"/>
    <x v="0"/>
    <n v="68.180000000000007"/>
    <n v="3.532"/>
    <n v="193.3125484"/>
    <n v="6.9009999999999998"/>
  </r>
  <r>
    <x v="40"/>
    <x v="76"/>
    <n v="1292830.93"/>
    <x v="0"/>
    <n v="74.11"/>
    <n v="3.5449999999999999"/>
    <n v="193.51203670000001"/>
    <n v="6.9009999999999998"/>
  </r>
  <r>
    <x v="40"/>
    <x v="77"/>
    <n v="1248330.1000000001"/>
    <x v="0"/>
    <n v="71.3"/>
    <n v="3.5470000000000002"/>
    <n v="193.71152499999999"/>
    <n v="6.9009999999999998"/>
  </r>
  <r>
    <x v="40"/>
    <x v="78"/>
    <n v="1402233.69"/>
    <x v="0"/>
    <n v="72.19"/>
    <n v="3.5539999999999998"/>
    <n v="193.91101330000001"/>
    <n v="6.9009999999999998"/>
  </r>
  <r>
    <x v="40"/>
    <x v="79"/>
    <n v="1356689.88"/>
    <x v="0"/>
    <n v="67.650000000000006"/>
    <n v="3.5419999999999998"/>
    <n v="194.11050169999999"/>
    <n v="6.9009999999999998"/>
  </r>
  <r>
    <x v="40"/>
    <x v="80"/>
    <n v="1412959.97"/>
    <x v="0"/>
    <n v="70.55"/>
    <n v="3.4990000000000001"/>
    <n v="194.25006339999999"/>
    <n v="6.9009999999999998"/>
  </r>
  <r>
    <x v="40"/>
    <x v="81"/>
    <n v="1328740.71"/>
    <x v="0"/>
    <n v="71.61"/>
    <n v="3.4849999999999999"/>
    <n v="194.37963740000001"/>
    <n v="6.9009999999999998"/>
  </r>
  <r>
    <x v="40"/>
    <x v="82"/>
    <n v="1283849.3799999999"/>
    <x v="0"/>
    <n v="70.37"/>
    <n v="3.5110000000000001"/>
    <n v="194.5092113"/>
    <n v="6.9009999999999998"/>
  </r>
  <r>
    <x v="40"/>
    <x v="83"/>
    <n v="1280958.97"/>
    <x v="1"/>
    <n v="58.31"/>
    <n v="3.5659999999999998"/>
    <n v="194.6387853"/>
    <n v="6.9009999999999998"/>
  </r>
  <r>
    <x v="40"/>
    <x v="84"/>
    <n v="1197019.3899999999"/>
    <x v="0"/>
    <n v="54.82"/>
    <n v="3.5960000000000001"/>
    <n v="194.7419707"/>
    <n v="6.9009999999999998"/>
  </r>
  <r>
    <x v="40"/>
    <x v="85"/>
    <n v="1173059.79"/>
    <x v="0"/>
    <n v="55.06"/>
    <n v="3.581"/>
    <n v="194.8099713"/>
    <n v="6.9009999999999998"/>
  </r>
  <r>
    <x v="40"/>
    <x v="86"/>
    <n v="1160619.6100000001"/>
    <x v="0"/>
    <n v="61.77"/>
    <n v="3.5379999999999998"/>
    <n v="194.87797180000001"/>
    <n v="6.9009999999999998"/>
  </r>
  <r>
    <x v="40"/>
    <x v="87"/>
    <n v="1277882.77"/>
    <x v="0"/>
    <n v="58.74"/>
    <n v="3.4980000000000002"/>
    <n v="194.94597239999999"/>
    <n v="6.7590000000000003"/>
  </r>
  <r>
    <x v="40"/>
    <x v="88"/>
    <n v="1247130.22"/>
    <x v="0"/>
    <n v="47.43"/>
    <n v="3.4910000000000001"/>
    <n v="195.0261012"/>
    <n v="6.7590000000000003"/>
  </r>
  <r>
    <x v="40"/>
    <x v="89"/>
    <n v="1214944.29"/>
    <x v="0"/>
    <n v="45.62"/>
    <n v="3.548"/>
    <n v="195.17899940000001"/>
    <n v="6.7590000000000003"/>
  </r>
  <r>
    <x v="40"/>
    <x v="90"/>
    <n v="1274463.02"/>
    <x v="0"/>
    <n v="37.020000000000003"/>
    <n v="3.55"/>
    <n v="195.33189770000001"/>
    <n v="6.7590000000000003"/>
  </r>
  <r>
    <x v="40"/>
    <x v="91"/>
    <n v="1315684.8600000001"/>
    <x v="0"/>
    <n v="35.04"/>
    <n v="3.5270000000000001"/>
    <n v="195.48479589999999"/>
    <n v="6.7590000000000003"/>
  </r>
  <r>
    <x v="40"/>
    <x v="92"/>
    <n v="1302499.23"/>
    <x v="0"/>
    <n v="32.869999999999997"/>
    <n v="3.5049999999999999"/>
    <n v="195.6376941"/>
    <n v="6.7590000000000003"/>
  </r>
  <r>
    <x v="40"/>
    <x v="93"/>
    <n v="1230118.02"/>
    <x v="0"/>
    <n v="36.64"/>
    <n v="3.4790000000000001"/>
    <n v="195.7184713"/>
    <n v="6.7590000000000003"/>
  </r>
  <r>
    <x v="40"/>
    <x v="94"/>
    <n v="1906713.35"/>
    <x v="1"/>
    <n v="36.369999999999997"/>
    <n v="3.4239999999999999"/>
    <n v="195.7704"/>
    <n v="6.7590000000000003"/>
  </r>
  <r>
    <x v="40"/>
    <x v="95"/>
    <n v="1292436.23"/>
    <x v="0"/>
    <n v="34.53"/>
    <n v="3.3780000000000001"/>
    <n v="195.82232870000001"/>
    <n v="6.7590000000000003"/>
  </r>
  <r>
    <x v="40"/>
    <x v="96"/>
    <n v="1548661.45"/>
    <x v="0"/>
    <n v="17.05"/>
    <n v="3.331"/>
    <n v="195.8742575"/>
    <n v="6.7590000000000003"/>
  </r>
  <r>
    <x v="40"/>
    <x v="97"/>
    <n v="1682368.32"/>
    <x v="0"/>
    <n v="25.01"/>
    <n v="3.266"/>
    <n v="195.98416850000001"/>
    <n v="6.7590000000000003"/>
  </r>
  <r>
    <x v="40"/>
    <x v="98"/>
    <n v="2263722.6800000002"/>
    <x v="0"/>
    <n v="25.59"/>
    <n v="3.173"/>
    <n v="196.17138929999999"/>
    <n v="6.7590000000000003"/>
  </r>
  <r>
    <x v="40"/>
    <x v="99"/>
    <n v="1264014.1599999999"/>
    <x v="1"/>
    <n v="34.119999999999997"/>
    <n v="3.1190000000000002"/>
    <n v="196.35861009999999"/>
    <n v="6.7590000000000003"/>
  </r>
  <r>
    <x v="40"/>
    <x v="100"/>
    <n v="1208191.6100000001"/>
    <x v="0"/>
    <n v="37.21"/>
    <n v="3.0950000000000002"/>
    <n v="196.5458309"/>
    <n v="6.5890000000000004"/>
  </r>
  <r>
    <x v="40"/>
    <x v="101"/>
    <n v="1134767.28"/>
    <x v="0"/>
    <n v="27.49"/>
    <n v="3.077"/>
    <n v="196.7330517"/>
    <n v="6.5890000000000004"/>
  </r>
  <r>
    <x v="40"/>
    <x v="102"/>
    <n v="1116295.24"/>
    <x v="0"/>
    <n v="31.56"/>
    <n v="3.0550000000000002"/>
    <n v="196.77966520000001"/>
    <n v="6.5890000000000004"/>
  </r>
  <r>
    <x v="40"/>
    <x v="103"/>
    <n v="1079398.81"/>
    <x v="0"/>
    <n v="33.15"/>
    <n v="3.0379999999999998"/>
    <n v="196.82627859999999"/>
    <n v="6.5890000000000004"/>
  </r>
  <r>
    <x v="40"/>
    <x v="104"/>
    <n v="1208825.6000000001"/>
    <x v="0"/>
    <n v="31.65"/>
    <n v="3.0310000000000001"/>
    <n v="196.8728921"/>
    <n v="6.5890000000000004"/>
  </r>
  <r>
    <x v="40"/>
    <x v="105"/>
    <n v="1238844.56"/>
    <x v="1"/>
    <n v="22"/>
    <n v="3.1030000000000002"/>
    <n v="196.91950560000001"/>
    <n v="6.5890000000000004"/>
  </r>
  <r>
    <x v="40"/>
    <x v="106"/>
    <n v="1330451.46"/>
    <x v="0"/>
    <n v="22.52"/>
    <n v="3.113"/>
    <n v="196.9432711"/>
    <n v="6.5890000000000004"/>
  </r>
  <r>
    <x v="40"/>
    <x v="107"/>
    <n v="1224915.6599999999"/>
    <x v="0"/>
    <n v="27.89"/>
    <n v="3.129"/>
    <n v="196.9499007"/>
    <n v="6.5890000000000004"/>
  </r>
  <r>
    <x v="40"/>
    <x v="108"/>
    <n v="1239813.26"/>
    <x v="0"/>
    <n v="27.39"/>
    <n v="3.1909999999999998"/>
    <n v="196.9565303"/>
    <n v="6.5890000000000004"/>
  </r>
  <r>
    <x v="40"/>
    <x v="109"/>
    <n v="1243814.77"/>
    <x v="0"/>
    <n v="35.299999999999997"/>
    <n v="3.286"/>
    <n v="196.96315989999999"/>
    <n v="6.5890000000000004"/>
  </r>
  <r>
    <x v="40"/>
    <x v="110"/>
    <n v="1201511.6200000001"/>
    <x v="0"/>
    <n v="47.76"/>
    <n v="3.4860000000000002"/>
    <n v="197.0457208"/>
    <n v="6.5890000000000004"/>
  </r>
  <r>
    <x v="40"/>
    <x v="111"/>
    <n v="1215354.3799999999"/>
    <x v="0"/>
    <n v="44.04"/>
    <n v="3.6640000000000001"/>
    <n v="197.22952340000001"/>
    <n v="6.5890000000000004"/>
  </r>
  <r>
    <x v="40"/>
    <x v="112"/>
    <n v="1239423.19"/>
    <x v="0"/>
    <n v="51.56"/>
    <n v="3.75"/>
    <n v="197.41332589999999"/>
    <n v="6.5890000000000004"/>
  </r>
  <r>
    <x v="40"/>
    <x v="113"/>
    <n v="1460234.31"/>
    <x v="0"/>
    <n v="48.48"/>
    <n v="3.8540000000000001"/>
    <n v="197.5971285"/>
    <n v="6.5469999999999997"/>
  </r>
  <r>
    <x v="40"/>
    <x v="114"/>
    <n v="1323004.73"/>
    <x v="0"/>
    <n v="46.84"/>
    <n v="3.9009999999999998"/>
    <n v="197.78093100000001"/>
    <n v="6.5469999999999997"/>
  </r>
  <r>
    <x v="40"/>
    <x v="115"/>
    <n v="1220815.33"/>
    <x v="0"/>
    <n v="43.57"/>
    <n v="3.9359999999999999"/>
    <n v="197.72273849999999"/>
    <n v="6.5469999999999997"/>
  </r>
  <r>
    <x v="40"/>
    <x v="116"/>
    <n v="1248950.6499999999"/>
    <x v="0"/>
    <n v="57.66"/>
    <n v="3.927"/>
    <n v="197.664546"/>
    <n v="6.5469999999999997"/>
  </r>
  <r>
    <x v="40"/>
    <x v="117"/>
    <n v="1359770.73"/>
    <x v="0"/>
    <n v="52.86"/>
    <n v="3.903"/>
    <n v="197.60635339999999"/>
    <n v="6.5469999999999997"/>
  </r>
  <r>
    <x v="40"/>
    <x v="118"/>
    <n v="1353285.1"/>
    <x v="0"/>
    <n v="50.22"/>
    <n v="3.87"/>
    <n v="197.5481609"/>
    <n v="6.5469999999999997"/>
  </r>
  <r>
    <x v="40"/>
    <x v="119"/>
    <n v="1331514.44"/>
    <x v="0"/>
    <n v="55.24"/>
    <n v="3.8370000000000002"/>
    <n v="197.5553137"/>
    <n v="6.5469999999999997"/>
  </r>
  <r>
    <x v="40"/>
    <x v="120"/>
    <n v="1424500.47"/>
    <x v="0"/>
    <n v="54.89"/>
    <n v="3.8039999999999998"/>
    <n v="197.5886046"/>
    <n v="6.5469999999999997"/>
  </r>
  <r>
    <x v="40"/>
    <x v="121"/>
    <n v="1374891.36"/>
    <x v="0"/>
    <n v="57.29"/>
    <n v="3.7639999999999998"/>
    <n v="197.6218954"/>
    <n v="6.5469999999999997"/>
  </r>
  <r>
    <x v="40"/>
    <x v="122"/>
    <n v="1436383.84"/>
    <x v="0"/>
    <n v="65.11"/>
    <n v="3.7410000000000001"/>
    <n v="197.6551863"/>
    <n v="6.5469999999999997"/>
  </r>
  <r>
    <x v="40"/>
    <x v="123"/>
    <n v="1384584.59"/>
    <x v="0"/>
    <n v="64.92"/>
    <n v="3.7229999999999999"/>
    <n v="197.69229200000001"/>
    <n v="6.5469999999999997"/>
  </r>
  <r>
    <x v="40"/>
    <x v="124"/>
    <n v="1386407.17"/>
    <x v="0"/>
    <n v="66.88"/>
    <n v="3.7349999999999999"/>
    <n v="197.7389345"/>
    <n v="6.5469999999999997"/>
  </r>
  <r>
    <x v="40"/>
    <x v="125"/>
    <n v="1355600.01"/>
    <x v="0"/>
    <n v="76.540000000000006"/>
    <n v="3.6930000000000001"/>
    <n v="197.78557699999999"/>
    <n v="6.5469999999999997"/>
  </r>
  <r>
    <x v="40"/>
    <x v="126"/>
    <n v="1456300.89"/>
    <x v="0"/>
    <n v="74.47"/>
    <n v="3.6459999999999999"/>
    <n v="197.83221950000001"/>
    <n v="6.4320000000000004"/>
  </r>
  <r>
    <x v="40"/>
    <x v="127"/>
    <n v="1332594.07"/>
    <x v="0"/>
    <n v="67.239999999999995"/>
    <n v="3.613"/>
    <n v="197.87886209999999"/>
    <n v="6.4320000000000004"/>
  </r>
  <r>
    <x v="40"/>
    <x v="128"/>
    <n v="1347175.93"/>
    <x v="0"/>
    <n v="74.06"/>
    <n v="3.585"/>
    <n v="197.9290378"/>
    <n v="6.4320000000000004"/>
  </r>
  <r>
    <x v="40"/>
    <x v="129"/>
    <n v="1344723.97"/>
    <x v="0"/>
    <n v="73.31"/>
    <n v="3.57"/>
    <n v="197.97921360000001"/>
    <n v="6.4320000000000004"/>
  </r>
  <r>
    <x v="40"/>
    <x v="130"/>
    <n v="1439607.35"/>
    <x v="0"/>
    <n v="73.16"/>
    <n v="3.528"/>
    <n v="198.02938929999999"/>
    <n v="6.4320000000000004"/>
  </r>
  <r>
    <x v="40"/>
    <x v="131"/>
    <n v="1504545.94"/>
    <x v="0"/>
    <n v="71.73"/>
    <n v="3.5089999999999999"/>
    <n v="198.0795651"/>
    <n v="6.4320000000000004"/>
  </r>
  <r>
    <x v="40"/>
    <x v="132"/>
    <n v="1560590.05"/>
    <x v="0"/>
    <n v="65.77"/>
    <n v="3.5449999999999999"/>
    <n v="198.1001057"/>
    <n v="6.4320000000000004"/>
  </r>
  <r>
    <x v="40"/>
    <x v="133"/>
    <n v="1464462.85"/>
    <x v="0"/>
    <n v="69.069999999999993"/>
    <n v="3.5579999999999998"/>
    <n v="198.09841990000001"/>
    <n v="6.4320000000000004"/>
  </r>
  <r>
    <x v="40"/>
    <x v="134"/>
    <n v="1360517.52"/>
    <x v="0"/>
    <n v="71.56"/>
    <n v="3.556"/>
    <n v="198.09673409999999"/>
    <n v="6.4320000000000004"/>
  </r>
  <r>
    <x v="40"/>
    <x v="135"/>
    <n v="1392143.82"/>
    <x v="1"/>
    <n v="67.41"/>
    <n v="3.5960000000000001"/>
    <n v="198.0950484"/>
    <n v="6.4320000000000004"/>
  </r>
  <r>
    <x v="40"/>
    <x v="136"/>
    <n v="1306644.25"/>
    <x v="0"/>
    <n v="59.39"/>
    <n v="3.6589999999999998"/>
    <n v="198.12671839999999"/>
    <n v="6.4320000000000004"/>
  </r>
  <r>
    <x v="40"/>
    <x v="137"/>
    <n v="1276609.3600000001"/>
    <x v="0"/>
    <n v="59.81"/>
    <n v="3.7650000000000001"/>
    <n v="198.35852299999999"/>
    <n v="6.4320000000000004"/>
  </r>
  <r>
    <x v="40"/>
    <x v="138"/>
    <n v="1307928.01"/>
    <x v="0"/>
    <n v="56.08"/>
    <n v="3.7890000000000001"/>
    <n v="198.59032759999999"/>
    <n v="6.4320000000000004"/>
  </r>
  <r>
    <x v="40"/>
    <x v="139"/>
    <n v="1400160.95"/>
    <x v="0"/>
    <n v="50.14"/>
    <n v="3.7789999999999999"/>
    <n v="198.8221322"/>
    <n v="6.1950000000000003"/>
  </r>
  <r>
    <x v="40"/>
    <x v="140"/>
    <n v="1409544.97"/>
    <x v="0"/>
    <n v="39.380000000000003"/>
    <n v="3.76"/>
    <n v="199.0539368"/>
    <n v="6.1950000000000003"/>
  </r>
  <r>
    <x v="40"/>
    <x v="141"/>
    <n v="1326197.24"/>
    <x v="0"/>
    <n v="49.56"/>
    <n v="3.75"/>
    <n v="199.1481963"/>
    <n v="6.1950000000000003"/>
  </r>
  <r>
    <x v="40"/>
    <x v="142"/>
    <n v="1316542.5900000001"/>
    <x v="0"/>
    <n v="41.8"/>
    <n v="3.6859999999999999"/>
    <n v="199.2195317"/>
    <n v="6.1950000000000003"/>
  </r>
  <r>
    <x v="41"/>
    <x v="0"/>
    <n v="543384.01"/>
    <x v="0"/>
    <n v="54.34"/>
    <n v="2.9620000000000002"/>
    <n v="126.4420645"/>
    <n v="9.7650000000000006"/>
  </r>
  <r>
    <x v="41"/>
    <x v="1"/>
    <n v="575709.96"/>
    <x v="1"/>
    <n v="49.96"/>
    <n v="2.8279999999999998"/>
    <n v="126.49625810000001"/>
    <n v="9.7650000000000006"/>
  </r>
  <r>
    <x v="41"/>
    <x v="2"/>
    <n v="508794.87"/>
    <x v="0"/>
    <n v="58.22"/>
    <n v="2.915"/>
    <n v="126.5262857"/>
    <n v="9.7650000000000006"/>
  </r>
  <r>
    <x v="41"/>
    <x v="3"/>
    <n v="491510.58"/>
    <x v="0"/>
    <n v="52.77"/>
    <n v="2.8250000000000002"/>
    <n v="126.5522857"/>
    <n v="9.7650000000000006"/>
  </r>
  <r>
    <x v="41"/>
    <x v="4"/>
    <n v="554972.42000000004"/>
    <x v="0"/>
    <n v="55.92"/>
    <n v="2.8769999999999998"/>
    <n v="126.5782857"/>
    <n v="9.7650000000000006"/>
  </r>
  <r>
    <x v="41"/>
    <x v="5"/>
    <n v="588363.62"/>
    <x v="0"/>
    <n v="52.33"/>
    <n v="3.0339999999999998"/>
    <n v="126.60428570000001"/>
    <n v="9.7650000000000006"/>
  </r>
  <r>
    <x v="41"/>
    <x v="6"/>
    <n v="519914.1"/>
    <x v="0"/>
    <n v="61.46"/>
    <n v="3.0539999999999998"/>
    <n v="126.6066452"/>
    <n v="9.7650000000000006"/>
  </r>
  <r>
    <x v="41"/>
    <x v="7"/>
    <n v="478021.68"/>
    <x v="0"/>
    <n v="60.05"/>
    <n v="2.98"/>
    <n v="126.6050645"/>
    <n v="9.7650000000000006"/>
  </r>
  <r>
    <x v="41"/>
    <x v="8"/>
    <n v="505907.41"/>
    <x v="0"/>
    <n v="63.66"/>
    <n v="3.0859999999999999"/>
    <n v="126.6034839"/>
    <n v="9.5239999999999991"/>
  </r>
  <r>
    <x v="41"/>
    <x v="9"/>
    <n v="582552.26"/>
    <x v="0"/>
    <n v="65.290000000000006"/>
    <n v="3.004"/>
    <n v="126.6019032"/>
    <n v="9.5239999999999991"/>
  </r>
  <r>
    <x v="41"/>
    <x v="10"/>
    <n v="549528.16"/>
    <x v="0"/>
    <n v="69.739999999999995"/>
    <n v="3.109"/>
    <n v="126.5621"/>
    <n v="9.5239999999999991"/>
  </r>
  <r>
    <x v="41"/>
    <x v="11"/>
    <n v="492364.77"/>
    <x v="0"/>
    <n v="66.42"/>
    <n v="3.05"/>
    <n v="126.4713333"/>
    <n v="9.5239999999999991"/>
  </r>
  <r>
    <x v="41"/>
    <x v="12"/>
    <n v="477615.87"/>
    <x v="0"/>
    <n v="69.760000000000005"/>
    <n v="3.105"/>
    <n v="126.3805667"/>
    <n v="9.5239999999999991"/>
  </r>
  <r>
    <x v="41"/>
    <x v="13"/>
    <n v="582846.22"/>
    <x v="0"/>
    <n v="71.06"/>
    <n v="3.1269999999999998"/>
    <n v="126.2898"/>
    <n v="9.5239999999999991"/>
  </r>
  <r>
    <x v="41"/>
    <x v="14"/>
    <n v="564345.55000000005"/>
    <x v="0"/>
    <n v="73.88"/>
    <n v="3.145"/>
    <n v="126.2085484"/>
    <n v="9.5239999999999991"/>
  </r>
  <r>
    <x v="41"/>
    <x v="15"/>
    <n v="504403.16"/>
    <x v="0"/>
    <n v="78.319999999999993"/>
    <n v="3.12"/>
    <n v="126.1843871"/>
    <n v="9.5239999999999991"/>
  </r>
  <r>
    <x v="41"/>
    <x v="16"/>
    <n v="484097.03"/>
    <x v="0"/>
    <n v="76.67"/>
    <n v="3.0579999999999998"/>
    <n v="126.16022580000001"/>
    <n v="9.5239999999999991"/>
  </r>
  <r>
    <x v="41"/>
    <x v="17"/>
    <n v="556046.12"/>
    <x v="0"/>
    <n v="82.82"/>
    <n v="2.9409999999999998"/>
    <n v="126.1360645"/>
    <n v="9.5239999999999991"/>
  </r>
  <r>
    <x v="41"/>
    <x v="18"/>
    <n v="607218.6"/>
    <x v="0"/>
    <n v="89.67"/>
    <n v="3.0569999999999999"/>
    <n v="126.1119032"/>
    <n v="9.5239999999999991"/>
  </r>
  <r>
    <x v="41"/>
    <x v="19"/>
    <n v="529418.64"/>
    <x v="0"/>
    <n v="83.49"/>
    <n v="2.9350000000000001"/>
    <n v="126.114"/>
    <n v="9.5239999999999991"/>
  </r>
  <r>
    <x v="41"/>
    <x v="20"/>
    <n v="484327.56"/>
    <x v="0"/>
    <n v="90.32"/>
    <n v="3.0840000000000001"/>
    <n v="126.1266"/>
    <n v="9.5239999999999991"/>
  </r>
  <r>
    <x v="41"/>
    <x v="21"/>
    <n v="507168.8"/>
    <x v="0"/>
    <n v="92.89"/>
    <n v="2.9780000000000002"/>
    <n v="126.1392"/>
    <n v="9.1989999999999998"/>
  </r>
  <r>
    <x v="41"/>
    <x v="22"/>
    <n v="570069.48"/>
    <x v="0"/>
    <n v="91.03"/>
    <n v="3.1"/>
    <n v="126.15179999999999"/>
    <n v="9.1989999999999998"/>
  </r>
  <r>
    <x v="41"/>
    <x v="23"/>
    <n v="558837.27"/>
    <x v="0"/>
    <n v="91.8"/>
    <n v="2.9710000000000001"/>
    <n v="126.1498065"/>
    <n v="9.1989999999999998"/>
  </r>
  <r>
    <x v="41"/>
    <x v="24"/>
    <n v="491115.86"/>
    <x v="0"/>
    <n v="88.44"/>
    <n v="3.1120000000000001"/>
    <n v="126.1283548"/>
    <n v="9.1989999999999998"/>
  </r>
  <r>
    <x v="41"/>
    <x v="25"/>
    <n v="469598.57"/>
    <x v="0"/>
    <n v="85.03"/>
    <n v="3.0169999999999999"/>
    <n v="126.1069032"/>
    <n v="9.1989999999999998"/>
  </r>
  <r>
    <x v="41"/>
    <x v="26"/>
    <n v="579544.21"/>
    <x v="0"/>
    <n v="86.13"/>
    <n v="3.1230000000000002"/>
    <n v="126.0854516"/>
    <n v="9.1989999999999998"/>
  </r>
  <r>
    <x v="41"/>
    <x v="27"/>
    <n v="583079.97"/>
    <x v="0"/>
    <n v="88.37"/>
    <n v="3.0489999999999999"/>
    <n v="126.06399999999999"/>
    <n v="9.1989999999999998"/>
  </r>
  <r>
    <x v="41"/>
    <x v="28"/>
    <n v="500945.63"/>
    <x v="0"/>
    <n v="89.88"/>
    <n v="3.0409999999999999"/>
    <n v="126.0766452"/>
    <n v="9.1989999999999998"/>
  </r>
  <r>
    <x v="41"/>
    <x v="29"/>
    <n v="465993.51"/>
    <x v="0"/>
    <n v="84.99"/>
    <n v="3.0219999999999998"/>
    <n v="126.0892903"/>
    <n v="9.1989999999999998"/>
  </r>
  <r>
    <x v="41"/>
    <x v="30"/>
    <n v="524658.06000000006"/>
    <x v="0"/>
    <n v="83.8"/>
    <n v="3.0870000000000002"/>
    <n v="126.1019355"/>
    <n v="9.1989999999999998"/>
  </r>
  <r>
    <x v="41"/>
    <x v="31"/>
    <n v="589091.04"/>
    <x v="1"/>
    <n v="84.04"/>
    <n v="2.9609999999999999"/>
    <n v="126.1145806"/>
    <n v="9.1989999999999998"/>
  </r>
  <r>
    <x v="41"/>
    <x v="32"/>
    <n v="536871.57999999996"/>
    <x v="0"/>
    <n v="85.52"/>
    <n v="3.028"/>
    <n v="126.1454667"/>
    <n v="9.1989999999999998"/>
  </r>
  <r>
    <x v="41"/>
    <x v="33"/>
    <n v="492262.96"/>
    <x v="0"/>
    <n v="85.75"/>
    <n v="2.9390000000000001"/>
    <n v="126.1900333"/>
    <n v="9.1989999999999998"/>
  </r>
  <r>
    <x v="41"/>
    <x v="34"/>
    <n v="481523.93"/>
    <x v="0"/>
    <n v="86.01"/>
    <n v="3.0009999999999999"/>
    <n v="126.2346"/>
    <n v="9.0030000000000001"/>
  </r>
  <r>
    <x v="41"/>
    <x v="35"/>
    <n v="599759.44999999995"/>
    <x v="0"/>
    <n v="77.040000000000006"/>
    <n v="2.9239999999999999"/>
    <n v="126.2791667"/>
    <n v="9.0030000000000001"/>
  </r>
  <r>
    <x v="41"/>
    <x v="36"/>
    <n v="559285.35"/>
    <x v="0"/>
    <n v="75.48"/>
    <n v="3.08"/>
    <n v="126.32667739999999"/>
    <n v="9.0030000000000001"/>
  </r>
  <r>
    <x v="41"/>
    <x v="37"/>
    <n v="522467.51"/>
    <x v="0"/>
    <n v="68.12"/>
    <n v="3.0139999999999998"/>
    <n v="126.3815484"/>
    <n v="9.0030000000000001"/>
  </r>
  <r>
    <x v="41"/>
    <x v="38"/>
    <n v="476967.65"/>
    <x v="0"/>
    <n v="68.760000000000005"/>
    <n v="3.13"/>
    <n v="126.43641940000001"/>
    <n v="9.0030000000000001"/>
  </r>
  <r>
    <x v="41"/>
    <x v="39"/>
    <n v="565390.4"/>
    <x v="0"/>
    <n v="71.040000000000006"/>
    <n v="3.0089999999999999"/>
    <n v="126.4912903"/>
    <n v="9.0030000000000001"/>
  </r>
  <r>
    <x v="41"/>
    <x v="40"/>
    <n v="588592.61"/>
    <x v="0"/>
    <n v="61.24"/>
    <n v="3.13"/>
    <n v="126.54616129999999"/>
    <n v="9.0030000000000001"/>
  </r>
  <r>
    <x v="41"/>
    <x v="41"/>
    <n v="524316.21"/>
    <x v="0"/>
    <n v="58.83"/>
    <n v="3.0470000000000002"/>
    <n v="126.60720000000001"/>
    <n v="9.0030000000000001"/>
  </r>
  <r>
    <x v="41"/>
    <x v="42"/>
    <n v="522296.71"/>
    <x v="1"/>
    <n v="55.33"/>
    <n v="3.1619999999999999"/>
    <n v="126.66926669999999"/>
    <n v="9.0030000000000001"/>
  </r>
  <r>
    <x v="41"/>
    <x v="43"/>
    <n v="500250.8"/>
    <x v="0"/>
    <n v="51.17"/>
    <n v="3.0409999999999999"/>
    <n v="126.7313333"/>
    <n v="9.0030000000000001"/>
  </r>
  <r>
    <x v="41"/>
    <x v="44"/>
    <n v="585175.24"/>
    <x v="0"/>
    <n v="60.51"/>
    <n v="3.0910000000000002"/>
    <n v="126.79340000000001"/>
    <n v="9.0030000000000001"/>
  </r>
  <r>
    <x v="41"/>
    <x v="45"/>
    <n v="537455.65"/>
    <x v="0"/>
    <n v="59.15"/>
    <n v="3.125"/>
    <n v="126.8794839"/>
    <n v="9.0030000000000001"/>
  </r>
  <r>
    <x v="41"/>
    <x v="46"/>
    <n v="555075.27"/>
    <x v="0"/>
    <n v="57.06"/>
    <n v="3.2360000000000002"/>
    <n v="126.9835806"/>
    <n v="9.0030000000000001"/>
  </r>
  <r>
    <x v="41"/>
    <x v="47"/>
    <n v="428953.59999999998"/>
    <x v="1"/>
    <n v="49.67"/>
    <n v="3.1480000000000001"/>
    <n v="127.0876774"/>
    <n v="9.0030000000000001"/>
  </r>
  <r>
    <x v="41"/>
    <x v="48"/>
    <n v="592947.75"/>
    <x v="0"/>
    <n v="43.43"/>
    <n v="3.2869999999999999"/>
    <n v="127.1917742"/>
    <n v="8.7439999999999998"/>
  </r>
  <r>
    <x v="41"/>
    <x v="49"/>
    <n v="613899.15"/>
    <x v="0"/>
    <n v="49.98"/>
    <n v="3.3119999999999998"/>
    <n v="127.30093549999999"/>
    <n v="8.7439999999999998"/>
  </r>
  <r>
    <x v="41"/>
    <x v="50"/>
    <n v="533414.62"/>
    <x v="0"/>
    <n v="56.75"/>
    <n v="3.3359999999999999"/>
    <n v="127.4404839"/>
    <n v="8.7439999999999998"/>
  </r>
  <r>
    <x v="41"/>
    <x v="51"/>
    <n v="499081.79"/>
    <x v="0"/>
    <n v="53.03"/>
    <n v="3.2309999999999999"/>
    <n v="127.5800323"/>
    <n v="8.7439999999999998"/>
  </r>
  <r>
    <x v="41"/>
    <x v="52"/>
    <n v="586886.16"/>
    <x v="0"/>
    <n v="44.88"/>
    <n v="3.3479999999999999"/>
    <n v="127.7195806"/>
    <n v="8.7439999999999998"/>
  </r>
  <r>
    <x v="41"/>
    <x v="53"/>
    <n v="628063.88"/>
    <x v="1"/>
    <n v="51.51"/>
    <n v="3.3809999999999998"/>
    <n v="127.859129"/>
    <n v="8.7439999999999998"/>
  </r>
  <r>
    <x v="41"/>
    <x v="54"/>
    <n v="556485.1"/>
    <x v="0"/>
    <n v="61.77"/>
    <n v="3.43"/>
    <n v="127.99525"/>
    <n v="8.7439999999999998"/>
  </r>
  <r>
    <x v="41"/>
    <x v="55"/>
    <n v="526904.07999999996"/>
    <x v="0"/>
    <n v="53.59"/>
    <n v="3.3980000000000001"/>
    <n v="128.13"/>
    <n v="8.7439999999999998"/>
  </r>
  <r>
    <x v="41"/>
    <x v="56"/>
    <n v="570879.04"/>
    <x v="0"/>
    <n v="56.96"/>
    <n v="3.6739999999999999"/>
    <n v="128.26474999999999"/>
    <n v="8.7439999999999998"/>
  </r>
  <r>
    <x v="41"/>
    <x v="57"/>
    <n v="607294.56000000006"/>
    <x v="0"/>
    <n v="64.22"/>
    <n v="3.63"/>
    <n v="128.39949999999999"/>
    <n v="8.7439999999999998"/>
  </r>
  <r>
    <x v="41"/>
    <x v="58"/>
    <n v="558239.31999999995"/>
    <x v="0"/>
    <n v="70.12"/>
    <n v="3.8919999999999999"/>
    <n v="128.5121935"/>
    <n v="8.7439999999999998"/>
  </r>
  <r>
    <x v="41"/>
    <x v="59"/>
    <n v="522673.62"/>
    <x v="0"/>
    <n v="62.53"/>
    <n v="3.7160000000000002"/>
    <n v="128.61606449999999"/>
    <n v="8.7439999999999998"/>
  </r>
  <r>
    <x v="41"/>
    <x v="60"/>
    <n v="508432.17"/>
    <x v="0"/>
    <n v="67.64"/>
    <n v="3.7719999999999998"/>
    <n v="128.71993549999999"/>
    <n v="8.4939999999999998"/>
  </r>
  <r>
    <x v="41"/>
    <x v="61"/>
    <n v="620087.35"/>
    <x v="0"/>
    <n v="73.03"/>
    <n v="3.8180000000000001"/>
    <n v="128.82380649999999"/>
    <n v="8.4939999999999998"/>
  </r>
  <r>
    <x v="41"/>
    <x v="62"/>
    <n v="597644.02"/>
    <x v="0"/>
    <n v="61.05"/>
    <n v="4.0890000000000004"/>
    <n v="128.9107333"/>
    <n v="8.4939999999999998"/>
  </r>
  <r>
    <x v="41"/>
    <x v="63"/>
    <n v="534597.68999999994"/>
    <x v="0"/>
    <n v="75.930000000000007"/>
    <n v="3.9169999999999998"/>
    <n v="128.95529999999999"/>
    <n v="8.4939999999999998"/>
  </r>
  <r>
    <x v="41"/>
    <x v="64"/>
    <n v="496010.17"/>
    <x v="0"/>
    <n v="73.38"/>
    <n v="4.1509999999999998"/>
    <n v="128.99986670000001"/>
    <n v="8.4939999999999998"/>
  </r>
  <r>
    <x v="41"/>
    <x v="65"/>
    <n v="612337.35"/>
    <x v="0"/>
    <n v="73.56"/>
    <n v="4.1929999999999996"/>
    <n v="129.04443330000001"/>
    <n v="8.4939999999999998"/>
  </r>
  <r>
    <x v="41"/>
    <x v="66"/>
    <n v="603024.75"/>
    <x v="0"/>
    <n v="74.040000000000006"/>
    <n v="4.202"/>
    <n v="129.089"/>
    <n v="8.4939999999999998"/>
  </r>
  <r>
    <x v="41"/>
    <x v="67"/>
    <n v="524559.94999999995"/>
    <x v="0"/>
    <n v="72.62"/>
    <n v="3.99"/>
    <n v="129.07567739999999"/>
    <n v="8.4939999999999998"/>
  </r>
  <r>
    <x v="41"/>
    <x v="68"/>
    <n v="503295.29"/>
    <x v="0"/>
    <n v="78.62"/>
    <n v="3.9329999999999998"/>
    <n v="129.06235480000001"/>
    <n v="8.4939999999999998"/>
  </r>
  <r>
    <x v="41"/>
    <x v="69"/>
    <n v="545109.30000000005"/>
    <x v="0"/>
    <n v="81.87"/>
    <n v="3.8929999999999998"/>
    <n v="129.04903229999999"/>
    <n v="8.4939999999999998"/>
  </r>
  <r>
    <x v="41"/>
    <x v="70"/>
    <n v="616701.99"/>
    <x v="0"/>
    <n v="84.57"/>
    <n v="3.9809999999999999"/>
    <n v="129.03570970000001"/>
    <n v="8.4939999999999998"/>
  </r>
  <r>
    <x v="41"/>
    <x v="71"/>
    <n v="546675.65"/>
    <x v="0"/>
    <n v="87.96"/>
    <n v="3.9350000000000001"/>
    <n v="129.04320000000001"/>
    <n v="8.4939999999999998"/>
  </r>
  <r>
    <x v="41"/>
    <x v="72"/>
    <n v="501780.66"/>
    <x v="0"/>
    <n v="90.69"/>
    <n v="3.8069999999999999"/>
    <n v="129.06630000000001"/>
    <n v="8.4939999999999998"/>
  </r>
  <r>
    <x v="41"/>
    <x v="73"/>
    <n v="506343.83"/>
    <x v="0"/>
    <n v="95.36"/>
    <n v="3.8420000000000001"/>
    <n v="129.08940000000001"/>
    <n v="8.2569999999999997"/>
  </r>
  <r>
    <x v="41"/>
    <x v="74"/>
    <n v="593234.27"/>
    <x v="0"/>
    <n v="88.57"/>
    <n v="3.7930000000000001"/>
    <n v="129.11250000000001"/>
    <n v="8.2569999999999997"/>
  </r>
  <r>
    <x v="41"/>
    <x v="75"/>
    <n v="591703.81999999995"/>
    <x v="0"/>
    <n v="86.01"/>
    <n v="3.7789999999999999"/>
    <n v="129.13383870000001"/>
    <n v="8.2569999999999997"/>
  </r>
  <r>
    <x v="41"/>
    <x v="76"/>
    <n v="511316.29"/>
    <x v="0"/>
    <n v="88.59"/>
    <n v="3.6970000000000001"/>
    <n v="129.1507742"/>
    <n v="8.2569999999999997"/>
  </r>
  <r>
    <x v="41"/>
    <x v="77"/>
    <n v="479256.8"/>
    <x v="0"/>
    <n v="86.75"/>
    <n v="3.694"/>
    <n v="129.16770969999999"/>
    <n v="8.2569999999999997"/>
  </r>
  <r>
    <x v="41"/>
    <x v="78"/>
    <n v="572603.32999999996"/>
    <x v="0"/>
    <n v="89.8"/>
    <n v="3.8029999999999999"/>
    <n v="129.18464520000001"/>
    <n v="8.2569999999999997"/>
  </r>
  <r>
    <x v="41"/>
    <x v="79"/>
    <n v="603147.26"/>
    <x v="0"/>
    <n v="85.61"/>
    <n v="3.794"/>
    <n v="129.2015806"/>
    <n v="8.2569999999999997"/>
  </r>
  <r>
    <x v="41"/>
    <x v="80"/>
    <n v="526641.23"/>
    <x v="0"/>
    <n v="87.4"/>
    <n v="3.7429999999999999"/>
    <n v="129.24058059999999"/>
    <n v="8.2569999999999997"/>
  </r>
  <r>
    <x v="41"/>
    <x v="81"/>
    <n v="503720.98"/>
    <x v="0"/>
    <n v="91.59"/>
    <n v="3.6629999999999998"/>
    <n v="129.28325810000001"/>
    <n v="8.2569999999999997"/>
  </r>
  <r>
    <x v="41"/>
    <x v="82"/>
    <n v="537124.76"/>
    <x v="0"/>
    <n v="91.61"/>
    <n v="3.798"/>
    <n v="129.32593550000001"/>
    <n v="8.2569999999999997"/>
  </r>
  <r>
    <x v="41"/>
    <x v="83"/>
    <n v="608390.93999999994"/>
    <x v="1"/>
    <n v="89.06"/>
    <n v="3.7709999999999999"/>
    <n v="129.36861289999999"/>
    <n v="8.2569999999999997"/>
  </r>
  <r>
    <x v="41"/>
    <x v="84"/>
    <n v="576837.09"/>
    <x v="0"/>
    <n v="77.489999999999995"/>
    <n v="3.7839999999999998"/>
    <n v="129.4306"/>
    <n v="8.2569999999999997"/>
  </r>
  <r>
    <x v="41"/>
    <x v="85"/>
    <n v="528486.44999999995"/>
    <x v="0"/>
    <n v="82.51"/>
    <n v="3.7890000000000001"/>
    <n v="129.51833329999999"/>
    <n v="8.2569999999999997"/>
  </r>
  <r>
    <x v="41"/>
    <x v="86"/>
    <n v="510243.79"/>
    <x v="0"/>
    <n v="82.27"/>
    <n v="3.8769999999999998"/>
    <n v="129.60606670000001"/>
    <n v="8.2569999999999997"/>
  </r>
  <r>
    <x v="41"/>
    <x v="87"/>
    <n v="649111.23"/>
    <x v="0"/>
    <n v="75.010000000000005"/>
    <n v="3.827"/>
    <n v="129.69380000000001"/>
    <n v="7.8739999999999997"/>
  </r>
  <r>
    <x v="41"/>
    <x v="88"/>
    <n v="613531.11"/>
    <x v="0"/>
    <n v="70.27"/>
    <n v="3.698"/>
    <n v="129.77064519999999"/>
    <n v="7.8739999999999997"/>
  </r>
  <r>
    <x v="41"/>
    <x v="89"/>
    <n v="537276.41"/>
    <x v="0"/>
    <n v="77.91"/>
    <n v="3.8420000000000001"/>
    <n v="129.78216130000001"/>
    <n v="7.8739999999999997"/>
  </r>
  <r>
    <x v="41"/>
    <x v="90"/>
    <n v="515599.7"/>
    <x v="0"/>
    <n v="72.790000000000006"/>
    <n v="3.843"/>
    <n v="129.79367740000001"/>
    <n v="7.8739999999999997"/>
  </r>
  <r>
    <x v="41"/>
    <x v="91"/>
    <n v="597667.21"/>
    <x v="0"/>
    <n v="68.569999999999993"/>
    <n v="3.8279999999999998"/>
    <n v="129.8051935"/>
    <n v="7.8739999999999997"/>
  </r>
  <r>
    <x v="41"/>
    <x v="92"/>
    <n v="643125.29"/>
    <x v="0"/>
    <n v="55.28"/>
    <n v="3.677"/>
    <n v="129.81670969999999"/>
    <n v="7.8739999999999997"/>
  </r>
  <r>
    <x v="41"/>
    <x v="93"/>
    <n v="567673.87"/>
    <x v="0"/>
    <n v="58.97"/>
    <n v="3.669"/>
    <n v="129.8268333"/>
    <n v="7.8739999999999997"/>
  </r>
  <r>
    <x v="41"/>
    <x v="94"/>
    <n v="577698.37"/>
    <x v="1"/>
    <n v="60.68"/>
    <n v="3.76"/>
    <n v="129.8364"/>
    <n v="7.8739999999999997"/>
  </r>
  <r>
    <x v="41"/>
    <x v="95"/>
    <n v="511883.36"/>
    <x v="0"/>
    <n v="57.29"/>
    <n v="3.7010000000000001"/>
    <n v="129.84596669999999"/>
    <n v="7.8739999999999997"/>
  </r>
  <r>
    <x v="41"/>
    <x v="96"/>
    <n v="619133.48"/>
    <x v="0"/>
    <n v="42.58"/>
    <n v="3.6440000000000001"/>
    <n v="129.85553329999999"/>
    <n v="7.8739999999999997"/>
  </r>
  <r>
    <x v="41"/>
    <x v="97"/>
    <n v="598437.98"/>
    <x v="0"/>
    <n v="50.53"/>
    <n v="3.4889999999999999"/>
    <n v="129.8980645"/>
    <n v="7.8739999999999997"/>
  </r>
  <r>
    <x v="41"/>
    <x v="98"/>
    <n v="575676.13"/>
    <x v="0"/>
    <n v="48.36"/>
    <n v="3.5409999999999999"/>
    <n v="129.98454839999999"/>
    <n v="7.8739999999999997"/>
  </r>
  <r>
    <x v="41"/>
    <x v="99"/>
    <n v="454412.28"/>
    <x v="1"/>
    <n v="48.92"/>
    <n v="3.4279999999999999"/>
    <n v="130.07103230000001"/>
    <n v="7.8739999999999997"/>
  </r>
  <r>
    <x v="41"/>
    <x v="100"/>
    <n v="636372.37"/>
    <x v="0"/>
    <n v="59.85"/>
    <n v="3.4430000000000001"/>
    <n v="130.15751610000001"/>
    <n v="7.5449999999999999"/>
  </r>
  <r>
    <x v="41"/>
    <x v="101"/>
    <n v="664348.19999999995"/>
    <x v="0"/>
    <n v="51"/>
    <n v="3.4769999999999999"/>
    <n v="130.244"/>
    <n v="7.5449999999999999"/>
  </r>
  <r>
    <x v="41"/>
    <x v="102"/>
    <n v="579499.93000000005"/>
    <x v="0"/>
    <n v="54.51"/>
    <n v="3.66"/>
    <n v="130.27922580000001"/>
    <n v="7.5449999999999999"/>
  </r>
  <r>
    <x v="41"/>
    <x v="103"/>
    <n v="538978.67000000004"/>
    <x v="0"/>
    <n v="53.59"/>
    <n v="3.6749999999999998"/>
    <n v="130.31445160000001"/>
    <n v="7.5449999999999999"/>
  </r>
  <r>
    <x v="41"/>
    <x v="104"/>
    <n v="588448.21"/>
    <x v="0"/>
    <n v="56.85"/>
    <n v="3.5430000000000001"/>
    <n v="130.34967739999999"/>
    <n v="7.5449999999999999"/>
  </r>
  <r>
    <x v="41"/>
    <x v="105"/>
    <n v="674919.45"/>
    <x v="1"/>
    <n v="55.73"/>
    <n v="3.722"/>
    <n v="130.3849032"/>
    <n v="7.5449999999999999"/>
  </r>
  <r>
    <x v="41"/>
    <x v="106"/>
    <n v="606671.5"/>
    <x v="0"/>
    <n v="54.12"/>
    <n v="3.7810000000000001"/>
    <n v="130.45462069999999"/>
    <n v="7.5449999999999999"/>
  </r>
  <r>
    <x v="41"/>
    <x v="107"/>
    <n v="564304.15"/>
    <x v="0"/>
    <n v="56.02"/>
    <n v="3.95"/>
    <n v="130.55020690000001"/>
    <n v="7.5449999999999999"/>
  </r>
  <r>
    <x v="41"/>
    <x v="108"/>
    <n v="585895.34"/>
    <x v="0"/>
    <n v="57.62"/>
    <n v="3.8820000000000001"/>
    <n v="130.64579309999999"/>
    <n v="7.5449999999999999"/>
  </r>
  <r>
    <x v="41"/>
    <x v="109"/>
    <n v="659816.15"/>
    <x v="0"/>
    <n v="57.65"/>
    <n v="3.9630000000000001"/>
    <n v="130.74137930000001"/>
    <n v="7.5449999999999999"/>
  </r>
  <r>
    <x v="41"/>
    <x v="110"/>
    <n v="618767.26"/>
    <x v="0"/>
    <n v="62.11"/>
    <n v="4.2729999999999997"/>
    <n v="130.82619349999999"/>
    <n v="7.5449999999999999"/>
  </r>
  <r>
    <x v="41"/>
    <x v="111"/>
    <n v="561226.38"/>
    <x v="0"/>
    <n v="56.54"/>
    <n v="4.2880000000000003"/>
    <n v="130.89664519999999"/>
    <n v="7.5449999999999999"/>
  </r>
  <r>
    <x v="41"/>
    <x v="112"/>
    <n v="544408.14"/>
    <x v="0"/>
    <n v="67.92"/>
    <n v="4.2939999999999996"/>
    <n v="130.96709680000001"/>
    <n v="7.5449999999999999"/>
  </r>
  <r>
    <x v="41"/>
    <x v="113"/>
    <n v="652312.11"/>
    <x v="0"/>
    <n v="65.989999999999995"/>
    <n v="4.282"/>
    <n v="131.03754839999999"/>
    <n v="7.3819999999999997"/>
  </r>
  <r>
    <x v="41"/>
    <x v="114"/>
    <n v="639123.44999999995"/>
    <x v="0"/>
    <n v="70.28"/>
    <n v="4.2539999999999996"/>
    <n v="131.108"/>
    <n v="7.3819999999999997"/>
  </r>
  <r>
    <x v="41"/>
    <x v="115"/>
    <n v="552529.23"/>
    <x v="0"/>
    <n v="67.75"/>
    <n v="4.1109999999999998"/>
    <n v="131.11733330000001"/>
    <n v="7.3819999999999997"/>
  </r>
  <r>
    <x v="41"/>
    <x v="116"/>
    <n v="526625.49"/>
    <x v="0"/>
    <n v="80.11"/>
    <n v="4.0880000000000001"/>
    <n v="131.12666669999999"/>
    <n v="7.3819999999999997"/>
  </r>
  <r>
    <x v="41"/>
    <x v="117"/>
    <n v="609274.89"/>
    <x v="0"/>
    <n v="77.02"/>
    <n v="4.0579999999999998"/>
    <n v="131.136"/>
    <n v="7.3819999999999997"/>
  </r>
  <r>
    <x v="41"/>
    <x v="118"/>
    <n v="643603.68999999994"/>
    <x v="0"/>
    <n v="76.03"/>
    <n v="4.1859999999999999"/>
    <n v="131.1453333"/>
    <n v="7.3819999999999997"/>
  </r>
  <r>
    <x v="41"/>
    <x v="119"/>
    <n v="590636.38"/>
    <x v="0"/>
    <n v="85.19"/>
    <n v="4.3079999999999998"/>
    <n v="131.09832259999999"/>
    <n v="7.3819999999999997"/>
  </r>
  <r>
    <x v="41"/>
    <x v="120"/>
    <n v="535764.57999999996"/>
    <x v="0"/>
    <n v="86.03"/>
    <n v="4.1269999999999998"/>
    <n v="131.02877419999999"/>
    <n v="7.3819999999999997"/>
  </r>
  <r>
    <x v="41"/>
    <x v="121"/>
    <n v="521953.78"/>
    <x v="0"/>
    <n v="80.06"/>
    <n v="4.2770000000000001"/>
    <n v="130.95922580000001"/>
    <n v="7.3819999999999997"/>
  </r>
  <r>
    <x v="41"/>
    <x v="122"/>
    <n v="642671.48"/>
    <x v="0"/>
    <n v="86.87"/>
    <n v="4.1029999999999998"/>
    <n v="130.88967740000001"/>
    <n v="7.3819999999999997"/>
  </r>
  <r>
    <x v="41"/>
    <x v="123"/>
    <n v="606309.13"/>
    <x v="0"/>
    <n v="88.58"/>
    <n v="4.1440000000000001"/>
    <n v="130.82953330000001"/>
    <n v="7.3819999999999997"/>
  </r>
  <r>
    <x v="41"/>
    <x v="124"/>
    <n v="540031.29"/>
    <x v="0"/>
    <n v="89.92"/>
    <n v="4.0140000000000002"/>
    <n v="130.7929"/>
    <n v="7.3819999999999997"/>
  </r>
  <r>
    <x v="41"/>
    <x v="125"/>
    <n v="507403.77"/>
    <x v="0"/>
    <n v="91.36"/>
    <n v="3.875"/>
    <n v="130.7562667"/>
    <n v="7.3819999999999997"/>
  </r>
  <r>
    <x v="41"/>
    <x v="126"/>
    <n v="618702.09"/>
    <x v="0"/>
    <n v="86.87"/>
    <n v="3.6659999999999999"/>
    <n v="130.7196333"/>
    <n v="7.17"/>
  </r>
  <r>
    <x v="41"/>
    <x v="127"/>
    <n v="628099.07999999996"/>
    <x v="0"/>
    <n v="89.8"/>
    <n v="3.7229999999999999"/>
    <n v="130.68299999999999"/>
    <n v="7.17"/>
  </r>
  <r>
    <x v="41"/>
    <x v="128"/>
    <n v="530318.39"/>
    <x v="0"/>
    <n v="84.45"/>
    <n v="3.589"/>
    <n v="130.70129030000001"/>
    <n v="7.17"/>
  </r>
  <r>
    <x v="41"/>
    <x v="129"/>
    <n v="516352.21"/>
    <x v="0"/>
    <n v="83.98"/>
    <n v="3.7690000000000001"/>
    <n v="130.7195806"/>
    <n v="7.17"/>
  </r>
  <r>
    <x v="41"/>
    <x v="130"/>
    <n v="573084.71"/>
    <x v="0"/>
    <n v="84.76"/>
    <n v="3.5950000000000002"/>
    <n v="130.73787100000001"/>
    <n v="7.17"/>
  </r>
  <r>
    <x v="41"/>
    <x v="131"/>
    <n v="576620.31000000006"/>
    <x v="0"/>
    <n v="90.78"/>
    <n v="3.8109999999999999"/>
    <n v="130.7561613"/>
    <n v="7.17"/>
  </r>
  <r>
    <x v="41"/>
    <x v="132"/>
    <n v="575997.78"/>
    <x v="0"/>
    <n v="88.83"/>
    <n v="4.0019999999999998"/>
    <n v="130.79096770000001"/>
    <n v="7.17"/>
  </r>
  <r>
    <x v="41"/>
    <x v="133"/>
    <n v="535537.03"/>
    <x v="0"/>
    <n v="82.5"/>
    <n v="4.0549999999999997"/>
    <n v="130.8381613"/>
    <n v="7.17"/>
  </r>
  <r>
    <x v="41"/>
    <x v="134"/>
    <n v="504760.57"/>
    <x v="0"/>
    <n v="86.97"/>
    <n v="3.8860000000000001"/>
    <n v="130.88535479999999"/>
    <n v="7.17"/>
  </r>
  <r>
    <x v="41"/>
    <x v="135"/>
    <n v="617405.35"/>
    <x v="1"/>
    <n v="83.07"/>
    <n v="4.1239999999999997"/>
    <n v="130.9325484"/>
    <n v="7.17"/>
  </r>
  <r>
    <x v="41"/>
    <x v="136"/>
    <n v="586737.66"/>
    <x v="0"/>
    <n v="78.47"/>
    <n v="3.9660000000000002"/>
    <n v="130.97766669999999"/>
    <n v="7.17"/>
  </r>
  <r>
    <x v="41"/>
    <x v="137"/>
    <n v="527165.69999999995"/>
    <x v="0"/>
    <n v="81.93"/>
    <n v="4.125"/>
    <n v="131.01033330000001"/>
    <n v="7.17"/>
  </r>
  <r>
    <x v="41"/>
    <x v="138"/>
    <n v="505978.46"/>
    <x v="0"/>
    <n v="82.52"/>
    <n v="3.9660000000000002"/>
    <n v="131.04300000000001"/>
    <n v="7.17"/>
  </r>
  <r>
    <x v="41"/>
    <x v="139"/>
    <n v="593162.53"/>
    <x v="0"/>
    <n v="80.88"/>
    <n v="4.1319999999999997"/>
    <n v="131.0756667"/>
    <n v="6.9429999999999996"/>
  </r>
  <r>
    <x v="41"/>
    <x v="140"/>
    <n v="612379.9"/>
    <x v="0"/>
    <n v="76.03"/>
    <n v="4.468"/>
    <n v="131.1083333"/>
    <n v="6.9429999999999996"/>
  </r>
  <r>
    <x v="41"/>
    <x v="141"/>
    <n v="541406.98"/>
    <x v="0"/>
    <n v="72.709999999999994"/>
    <n v="4.4489999999999998"/>
    <n v="131.14996769999999"/>
    <n v="6.9429999999999996"/>
  </r>
  <r>
    <x v="41"/>
    <x v="142"/>
    <n v="514756.08"/>
    <x v="0"/>
    <n v="70.5"/>
    <n v="4.3010000000000002"/>
    <n v="131.19309680000001"/>
    <n v="6.9429999999999996"/>
  </r>
  <r>
    <x v="42"/>
    <x v="0"/>
    <n v="647029.28"/>
    <x v="0"/>
    <n v="47.31"/>
    <n v="2.5720000000000001"/>
    <n v="203.0642742"/>
    <n v="9.5210000000000008"/>
  </r>
  <r>
    <x v="42"/>
    <x v="1"/>
    <n v="682918.99"/>
    <x v="1"/>
    <n v="47.99"/>
    <n v="2.548"/>
    <n v="203.20109679999999"/>
    <n v="9.5210000000000008"/>
  </r>
  <r>
    <x v="42"/>
    <x v="2"/>
    <n v="658997.55000000005"/>
    <x v="0"/>
    <n v="48.77"/>
    <n v="2.5139999999999998"/>
    <n v="203.24797960000001"/>
    <n v="9.5210000000000008"/>
  </r>
  <r>
    <x v="42"/>
    <x v="3"/>
    <n v="618702.79"/>
    <x v="0"/>
    <n v="48.77"/>
    <n v="2.5609999999999999"/>
    <n v="203.27987239999999"/>
    <n v="9.5210000000000008"/>
  </r>
  <r>
    <x v="42"/>
    <x v="4"/>
    <n v="658600.05000000005"/>
    <x v="0"/>
    <n v="52.89"/>
    <n v="2.625"/>
    <n v="203.31176529999999"/>
    <n v="9.5210000000000008"/>
  </r>
  <r>
    <x v="42"/>
    <x v="5"/>
    <n v="645386.93999999994"/>
    <x v="0"/>
    <n v="53.67"/>
    <n v="2.6669999999999998"/>
    <n v="203.34365819999999"/>
    <n v="9.5210000000000008"/>
  </r>
  <r>
    <x v="42"/>
    <x v="6"/>
    <n v="668098.49"/>
    <x v="0"/>
    <n v="56"/>
    <n v="2.72"/>
    <n v="203.19515899999999"/>
    <n v="9.5210000000000008"/>
  </r>
  <r>
    <x v="42"/>
    <x v="7"/>
    <n v="623097.93000000005"/>
    <x v="0"/>
    <n v="54.53"/>
    <n v="2.7320000000000002"/>
    <n v="203.0165945"/>
    <n v="9.5210000000000008"/>
  </r>
  <r>
    <x v="42"/>
    <x v="8"/>
    <n v="650102.80000000005"/>
    <x v="0"/>
    <n v="62.19"/>
    <n v="2.7189999999999999"/>
    <n v="202.83803"/>
    <n v="9.593"/>
  </r>
  <r>
    <x v="42"/>
    <x v="9"/>
    <n v="693058.34"/>
    <x v="0"/>
    <n v="64.37"/>
    <n v="2.77"/>
    <n v="202.65946539999999"/>
    <n v="9.593"/>
  </r>
  <r>
    <x v="42"/>
    <x v="10"/>
    <n v="675282.2"/>
    <x v="0"/>
    <n v="69.459999999999994"/>
    <n v="2.8079999999999998"/>
    <n v="202.53515709999999"/>
    <n v="9.593"/>
  </r>
  <r>
    <x v="42"/>
    <x v="11"/>
    <n v="638957.35"/>
    <x v="0"/>
    <n v="62.71"/>
    <n v="2.7949999999999999"/>
    <n v="202.48319050000001"/>
    <n v="9.593"/>
  </r>
  <r>
    <x v="42"/>
    <x v="12"/>
    <n v="630740.11"/>
    <x v="0"/>
    <n v="66.91"/>
    <n v="2.78"/>
    <n v="202.4312238"/>
    <n v="9.593"/>
  </r>
  <r>
    <x v="42"/>
    <x v="13"/>
    <n v="691498.6"/>
    <x v="0"/>
    <n v="67.16"/>
    <n v="2.835"/>
    <n v="202.37925709999999"/>
    <n v="9.593"/>
  </r>
  <r>
    <x v="42"/>
    <x v="14"/>
    <n v="690851.59"/>
    <x v="0"/>
    <n v="72.14"/>
    <n v="2.8540000000000001"/>
    <n v="202.37050919999999"/>
    <n v="9.593"/>
  </r>
  <r>
    <x v="42"/>
    <x v="15"/>
    <n v="672062.08"/>
    <x v="0"/>
    <n v="74.739999999999995"/>
    <n v="2.8260000000000001"/>
    <n v="202.62107370000001"/>
    <n v="9.593"/>
  </r>
  <r>
    <x v="42"/>
    <x v="16"/>
    <n v="630315.76"/>
    <x v="0"/>
    <n v="78.59"/>
    <n v="2.7589999999999999"/>
    <n v="202.87163820000001"/>
    <n v="9.593"/>
  </r>
  <r>
    <x v="42"/>
    <x v="17"/>
    <n v="682012.53"/>
    <x v="0"/>
    <n v="82.76"/>
    <n v="2.7050000000000001"/>
    <n v="203.1222028"/>
    <n v="9.593"/>
  </r>
  <r>
    <x v="42"/>
    <x v="18"/>
    <n v="684023.95"/>
    <x v="0"/>
    <n v="88.12"/>
    <n v="2.6680000000000001"/>
    <n v="203.37276729999999"/>
    <n v="9.593"/>
  </r>
  <r>
    <x v="42"/>
    <x v="19"/>
    <n v="700009.77"/>
    <x v="0"/>
    <n v="84.9"/>
    <n v="2.637"/>
    <n v="203.370619"/>
    <n v="9.593"/>
  </r>
  <r>
    <x v="42"/>
    <x v="20"/>
    <n v="625196.14"/>
    <x v="0"/>
    <n v="88.48"/>
    <n v="2.653"/>
    <n v="203.26738570000001"/>
    <n v="9.593"/>
  </r>
  <r>
    <x v="42"/>
    <x v="21"/>
    <n v="667353.79"/>
    <x v="0"/>
    <n v="80.17"/>
    <n v="2.669"/>
    <n v="203.16415240000001"/>
    <n v="9.8160000000000007"/>
  </r>
  <r>
    <x v="42"/>
    <x v="22"/>
    <n v="718748.33"/>
    <x v="0"/>
    <n v="81.52"/>
    <n v="2.6419999999999999"/>
    <n v="203.06091900000001"/>
    <n v="9.8160000000000007"/>
  </r>
  <r>
    <x v="42"/>
    <x v="23"/>
    <n v="696844.36"/>
    <x v="0"/>
    <n v="84.17"/>
    <n v="2.6230000000000002"/>
    <n v="203.05385480000001"/>
    <n v="9.8160000000000007"/>
  </r>
  <r>
    <x v="42"/>
    <x v="24"/>
    <n v="649035.55000000005"/>
    <x v="0"/>
    <n v="86.6"/>
    <n v="2.6080000000000001"/>
    <n v="203.17501609999999"/>
    <n v="9.8160000000000007"/>
  </r>
  <r>
    <x v="42"/>
    <x v="25"/>
    <n v="622112.23"/>
    <x v="0"/>
    <n v="79.790000000000006"/>
    <n v="2.64"/>
    <n v="203.2961774"/>
    <n v="9.8160000000000007"/>
  </r>
  <r>
    <x v="42"/>
    <x v="26"/>
    <n v="698536.06"/>
    <x v="0"/>
    <n v="84.66"/>
    <n v="2.6269999999999998"/>
    <n v="203.41733869999999"/>
    <n v="9.8160000000000007"/>
  </r>
  <r>
    <x v="42"/>
    <x v="27"/>
    <n v="713479.91"/>
    <x v="0"/>
    <n v="86.31"/>
    <n v="2.6920000000000002"/>
    <n v="203.5385"/>
    <n v="9.8160000000000007"/>
  </r>
  <r>
    <x v="42"/>
    <x v="28"/>
    <n v="712869.09"/>
    <x v="0"/>
    <n v="85.26"/>
    <n v="2.6640000000000001"/>
    <n v="203.50924190000001"/>
    <n v="9.8160000000000007"/>
  </r>
  <r>
    <x v="42"/>
    <x v="29"/>
    <n v="655284.68999999994"/>
    <x v="0"/>
    <n v="80.319999999999993"/>
    <n v="2.6190000000000002"/>
    <n v="203.47998390000001"/>
    <n v="9.8160000000000007"/>
  </r>
  <r>
    <x v="42"/>
    <x v="30"/>
    <n v="689326.91"/>
    <x v="0"/>
    <n v="80.430000000000007"/>
    <n v="2.577"/>
    <n v="203.45072579999999"/>
    <n v="9.8160000000000007"/>
  </r>
  <r>
    <x v="42"/>
    <x v="31"/>
    <n v="722120.04"/>
    <x v="1"/>
    <n v="81.319999999999993"/>
    <n v="2.5649999999999999"/>
    <n v="203.42146769999999"/>
    <n v="9.8160000000000007"/>
  </r>
  <r>
    <x v="42"/>
    <x v="32"/>
    <n v="725043.04"/>
    <x v="0"/>
    <n v="78.86"/>
    <n v="2.5819999999999999"/>
    <n v="203.44992859999999"/>
    <n v="9.8160000000000007"/>
  </r>
  <r>
    <x v="42"/>
    <x v="33"/>
    <n v="650263.94999999995"/>
    <x v="0"/>
    <n v="77.42"/>
    <n v="2.6240000000000001"/>
    <n v="203.5216786"/>
    <n v="9.8160000000000007"/>
  </r>
  <r>
    <x v="42"/>
    <x v="34"/>
    <n v="657108.77"/>
    <x v="0"/>
    <n v="77.930000000000007"/>
    <n v="2.6030000000000002"/>
    <n v="203.59342860000001"/>
    <n v="10.210000000000001"/>
  </r>
  <r>
    <x v="42"/>
    <x v="35"/>
    <n v="713332.54"/>
    <x v="0"/>
    <n v="72.81"/>
    <n v="2.633"/>
    <n v="203.66517859999999"/>
    <n v="10.210000000000001"/>
  </r>
  <r>
    <x v="42"/>
    <x v="36"/>
    <n v="699852.68"/>
    <x v="0"/>
    <n v="68.78"/>
    <n v="2.72"/>
    <n v="203.7299032"/>
    <n v="10.210000000000001"/>
  </r>
  <r>
    <x v="42"/>
    <x v="37"/>
    <n v="680943.03"/>
    <x v="0"/>
    <n v="69.459999999999994"/>
    <n v="2.7250000000000001"/>
    <n v="203.77706449999999"/>
    <n v="10.210000000000001"/>
  </r>
  <r>
    <x v="42"/>
    <x v="38"/>
    <n v="610076.31999999995"/>
    <x v="0"/>
    <n v="65.88"/>
    <n v="2.7160000000000002"/>
    <n v="203.82422579999999"/>
    <n v="10.210000000000001"/>
  </r>
  <r>
    <x v="42"/>
    <x v="39"/>
    <n v="605960.19999999995"/>
    <x v="0"/>
    <n v="62.52"/>
    <n v="2.6890000000000001"/>
    <n v="203.87138709999999"/>
    <n v="10.210000000000001"/>
  </r>
  <r>
    <x v="42"/>
    <x v="40"/>
    <n v="595421.23"/>
    <x v="0"/>
    <n v="59.98"/>
    <n v="2.7280000000000002"/>
    <n v="203.91854839999999"/>
    <n v="10.210000000000001"/>
  </r>
  <r>
    <x v="42"/>
    <x v="41"/>
    <n v="589467.35"/>
    <x v="0"/>
    <n v="54.96"/>
    <n v="2.7709999999999999"/>
    <n v="203.8191286"/>
    <n v="10.210000000000001"/>
  </r>
  <r>
    <x v="42"/>
    <x v="42"/>
    <n v="633520.34"/>
    <x v="1"/>
    <n v="54.76"/>
    <n v="2.7349999999999999"/>
    <n v="203.69527859999999"/>
    <n v="10.210000000000001"/>
  </r>
  <r>
    <x v="42"/>
    <x v="43"/>
    <n v="557543.62"/>
    <x v="0"/>
    <n v="44.56"/>
    <n v="2.7080000000000002"/>
    <n v="203.57142859999999"/>
    <n v="10.210000000000001"/>
  </r>
  <r>
    <x v="42"/>
    <x v="44"/>
    <n v="598679.02"/>
    <x v="0"/>
    <n v="52.52"/>
    <n v="2.843"/>
    <n v="203.44757860000001"/>
    <n v="10.210000000000001"/>
  </r>
  <r>
    <x v="42"/>
    <x v="45"/>
    <n v="615761.77"/>
    <x v="0"/>
    <n v="56.51"/>
    <n v="2.8690000000000002"/>
    <n v="203.3996521"/>
    <n v="10.210000000000001"/>
  </r>
  <r>
    <x v="42"/>
    <x v="46"/>
    <n v="656637.63"/>
    <x v="0"/>
    <n v="57.15"/>
    <n v="2.8860000000000001"/>
    <n v="203.40866819999999"/>
    <n v="10.210000000000001"/>
  </r>
  <r>
    <x v="42"/>
    <x v="47"/>
    <n v="534740.30000000005"/>
    <x v="1"/>
    <n v="48.61"/>
    <n v="2.9430000000000001"/>
    <n v="203.41768429999999"/>
    <n v="10.210000000000001"/>
  </r>
  <r>
    <x v="42"/>
    <x v="48"/>
    <n v="611796.61"/>
    <x v="0"/>
    <n v="40.47"/>
    <n v="2.976"/>
    <n v="203.42670050000001"/>
    <n v="10.398"/>
  </r>
  <r>
    <x v="42"/>
    <x v="49"/>
    <n v="614940.06999999995"/>
    <x v="0"/>
    <n v="43.45"/>
    <n v="2.9830000000000001"/>
    <n v="203.48406449999999"/>
    <n v="10.398"/>
  </r>
  <r>
    <x v="42"/>
    <x v="50"/>
    <n v="601004.79"/>
    <x v="0"/>
    <n v="53.05"/>
    <n v="3.016"/>
    <n v="203.83151609999999"/>
    <n v="10.398"/>
  </r>
  <r>
    <x v="42"/>
    <x v="51"/>
    <n v="562558.27"/>
    <x v="0"/>
    <n v="44.98"/>
    <n v="3.01"/>
    <n v="204.17896769999999"/>
    <n v="10.398"/>
  </r>
  <r>
    <x v="42"/>
    <x v="52"/>
    <n v="651521.77"/>
    <x v="0"/>
    <n v="33.21"/>
    <n v="2.9889999999999999"/>
    <n v="204.52641940000001"/>
    <n v="10.398"/>
  </r>
  <r>
    <x v="42"/>
    <x v="53"/>
    <n v="635650.98"/>
    <x v="1"/>
    <n v="40.65"/>
    <n v="3.0219999999999998"/>
    <n v="204.87387100000001"/>
    <n v="10.398"/>
  </r>
  <r>
    <x v="42"/>
    <x v="54"/>
    <n v="626627.77"/>
    <x v="0"/>
    <n v="59.15"/>
    <n v="3.0449999999999999"/>
    <n v="205.1683214"/>
    <n v="10.398"/>
  </r>
  <r>
    <x v="42"/>
    <x v="55"/>
    <n v="592340.01"/>
    <x v="0"/>
    <n v="58.37"/>
    <n v="3.0649999999999999"/>
    <n v="205.44157139999999"/>
    <n v="10.398"/>
  </r>
  <r>
    <x v="42"/>
    <x v="56"/>
    <n v="616345.25"/>
    <x v="0"/>
    <n v="60.26"/>
    <n v="3.2879999999999998"/>
    <n v="205.71482140000001"/>
    <n v="10.398"/>
  </r>
  <r>
    <x v="42"/>
    <x v="57"/>
    <n v="629026.75"/>
    <x v="0"/>
    <n v="60.24"/>
    <n v="3.4590000000000001"/>
    <n v="205.9880714"/>
    <n v="10.398"/>
  </r>
  <r>
    <x v="42"/>
    <x v="58"/>
    <n v="635171.05000000005"/>
    <x v="0"/>
    <n v="68.98"/>
    <n v="3.488"/>
    <n v="206.22592399999999"/>
    <n v="10.398"/>
  </r>
  <r>
    <x v="42"/>
    <x v="59"/>
    <n v="585989.1"/>
    <x v="0"/>
    <n v="65.53"/>
    <n v="3.4729999999999999"/>
    <n v="206.44961749999999"/>
    <n v="10.398"/>
  </r>
  <r>
    <x v="42"/>
    <x v="60"/>
    <n v="611585.54"/>
    <x v="0"/>
    <n v="67.790000000000006"/>
    <n v="3.524"/>
    <n v="206.67331110000001"/>
    <n v="10.581"/>
  </r>
  <r>
    <x v="42"/>
    <x v="61"/>
    <n v="650418.75"/>
    <x v="0"/>
    <n v="70.349999999999994"/>
    <n v="3.6219999999999999"/>
    <n v="206.8970046"/>
    <n v="10.581"/>
  </r>
  <r>
    <x v="42"/>
    <x v="62"/>
    <n v="635758.03"/>
    <x v="0"/>
    <n v="65.010000000000005"/>
    <n v="3.7429999999999999"/>
    <n v="207.1015429"/>
    <n v="10.581"/>
  </r>
  <r>
    <x v="42"/>
    <x v="63"/>
    <n v="638280.67000000004"/>
    <x v="0"/>
    <n v="74.489999999999995"/>
    <n v="3.8069999999999999"/>
    <n v="207.25819290000001"/>
    <n v="10.581"/>
  </r>
  <r>
    <x v="42"/>
    <x v="64"/>
    <n v="611464.21"/>
    <x v="0"/>
    <n v="71.34"/>
    <n v="3.81"/>
    <n v="207.4148429"/>
    <n v="10.581"/>
  </r>
  <r>
    <x v="42"/>
    <x v="65"/>
    <n v="649148.74"/>
    <x v="0"/>
    <n v="66.77"/>
    <n v="3.9060000000000001"/>
    <n v="207.57149290000001"/>
    <n v="10.581"/>
  </r>
  <r>
    <x v="42"/>
    <x v="66"/>
    <n v="684655.91"/>
    <x v="0"/>
    <n v="76.03"/>
    <n v="3.899"/>
    <n v="207.72814289999999"/>
    <n v="10.581"/>
  </r>
  <r>
    <x v="42"/>
    <x v="67"/>
    <n v="648330.18000000005"/>
    <x v="0"/>
    <n v="74.209999999999994"/>
    <n v="3.907"/>
    <n v="207.52006220000001"/>
    <n v="10.581"/>
  </r>
  <r>
    <x v="42"/>
    <x v="68"/>
    <n v="578209.63"/>
    <x v="0"/>
    <n v="80.89"/>
    <n v="3.786"/>
    <n v="207.3119816"/>
    <n v="10.581"/>
  </r>
  <r>
    <x v="42"/>
    <x v="69"/>
    <n v="630972.15"/>
    <x v="0"/>
    <n v="83.49"/>
    <n v="3.6989999999999998"/>
    <n v="207.10390090000001"/>
    <n v="10.581"/>
  </r>
  <r>
    <x v="42"/>
    <x v="70"/>
    <n v="643041.71"/>
    <x v="0"/>
    <n v="85.81"/>
    <n v="3.6480000000000001"/>
    <n v="206.8958203"/>
    <n v="10.581"/>
  </r>
  <r>
    <x v="42"/>
    <x v="71"/>
    <n v="665781.74"/>
    <x v="0"/>
    <n v="88.49"/>
    <n v="3.637"/>
    <n v="206.8560238"/>
    <n v="10.581"/>
  </r>
  <r>
    <x v="42"/>
    <x v="72"/>
    <n v="604925.07999999996"/>
    <x v="0"/>
    <n v="88.3"/>
    <n v="3.5939999999999999"/>
    <n v="206.9424405"/>
    <n v="10.581"/>
  </r>
  <r>
    <x v="42"/>
    <x v="73"/>
    <n v="586781.78"/>
    <x v="0"/>
    <n v="91.36"/>
    <n v="3.524"/>
    <n v="207.02885710000001"/>
    <n v="10.641"/>
  </r>
  <r>
    <x v="42"/>
    <x v="74"/>
    <n v="651147.82999999996"/>
    <x v="0"/>
    <n v="87.02"/>
    <n v="3.48"/>
    <n v="207.11527380000001"/>
    <n v="10.641"/>
  </r>
  <r>
    <x v="42"/>
    <x v="75"/>
    <n v="631827.38"/>
    <x v="0"/>
    <n v="84.67"/>
    <n v="3.5750000000000002"/>
    <n v="207.19406910000001"/>
    <n v="10.641"/>
  </r>
  <r>
    <x v="42"/>
    <x v="76"/>
    <n v="597354.39"/>
    <x v="0"/>
    <n v="88.58"/>
    <n v="3.6509999999999998"/>
    <n v="207.25381110000001"/>
    <n v="10.641"/>
  </r>
  <r>
    <x v="42"/>
    <x v="77"/>
    <n v="533917.52"/>
    <x v="0"/>
    <n v="83.43"/>
    <n v="3.6819999999999999"/>
    <n v="207.31355300000001"/>
    <n v="10.641"/>
  </r>
  <r>
    <x v="42"/>
    <x v="78"/>
    <n v="605956.59"/>
    <x v="0"/>
    <n v="87.47"/>
    <n v="3.6840000000000002"/>
    <n v="207.37329489999999"/>
    <n v="10.641"/>
  </r>
  <r>
    <x v="42"/>
    <x v="79"/>
    <n v="595626.56000000006"/>
    <x v="0"/>
    <n v="86.64"/>
    <n v="3.6379999999999999"/>
    <n v="207.43303689999999"/>
    <n v="10.641"/>
  </r>
  <r>
    <x v="42"/>
    <x v="80"/>
    <n v="663396.31999999995"/>
    <x v="0"/>
    <n v="82.08"/>
    <n v="3.5539999999999998"/>
    <n v="207.4953088"/>
    <n v="10.641"/>
  </r>
  <r>
    <x v="42"/>
    <x v="81"/>
    <n v="561573.07999999996"/>
    <x v="0"/>
    <n v="87.43"/>
    <n v="3.5230000000000001"/>
    <n v="207.5580023"/>
    <n v="10.641"/>
  </r>
  <r>
    <x v="42"/>
    <x v="82"/>
    <n v="594224.9"/>
    <x v="0"/>
    <n v="87.84"/>
    <n v="3.5329999999999999"/>
    <n v="207.62069589999999"/>
    <n v="10.641"/>
  </r>
  <r>
    <x v="42"/>
    <x v="83"/>
    <n v="649128.23"/>
    <x v="1"/>
    <n v="79.290000000000006"/>
    <n v="3.5459999999999998"/>
    <n v="207.68338940000001"/>
    <n v="10.641"/>
  </r>
  <r>
    <x v="42"/>
    <x v="84"/>
    <n v="618877.13"/>
    <x v="0"/>
    <n v="77.17"/>
    <n v="3.5259999999999998"/>
    <n v="207.8527143"/>
    <n v="10.641"/>
  </r>
  <r>
    <x v="42"/>
    <x v="85"/>
    <n v="586108.13"/>
    <x v="0"/>
    <n v="78.98"/>
    <n v="3.4670000000000001"/>
    <n v="208.1642143"/>
    <n v="10.641"/>
  </r>
  <r>
    <x v="42"/>
    <x v="86"/>
    <n v="555183.72"/>
    <x v="0"/>
    <n v="78.97"/>
    <n v="3.355"/>
    <n v="208.47571429999999"/>
    <n v="10.641"/>
  </r>
  <r>
    <x v="42"/>
    <x v="87"/>
    <n v="642828.62"/>
    <x v="0"/>
    <n v="74.17"/>
    <n v="3.2850000000000001"/>
    <n v="208.78721429999999"/>
    <n v="10.148"/>
  </r>
  <r>
    <x v="42"/>
    <x v="88"/>
    <n v="590984.56000000006"/>
    <x v="0"/>
    <n v="68.09"/>
    <n v="3.274"/>
    <n v="209.0752166"/>
    <n v="10.148"/>
  </r>
  <r>
    <x v="42"/>
    <x v="89"/>
    <n v="594625.96"/>
    <x v="0"/>
    <n v="70.3"/>
    <n v="3.3530000000000002"/>
    <n v="209.22223270000001"/>
    <n v="10.148"/>
  </r>
  <r>
    <x v="42"/>
    <x v="90"/>
    <n v="572516.56999999995"/>
    <x v="0"/>
    <n v="66.819999999999993"/>
    <n v="3.3719999999999999"/>
    <n v="209.36924880000001"/>
    <n v="10.148"/>
  </r>
  <r>
    <x v="42"/>
    <x v="91"/>
    <n v="641905.37"/>
    <x v="0"/>
    <n v="59.08"/>
    <n v="3.3319999999999999"/>
    <n v="209.516265"/>
    <n v="10.148"/>
  </r>
  <r>
    <x v="42"/>
    <x v="92"/>
    <n v="615975.5"/>
    <x v="0"/>
    <n v="51.26"/>
    <n v="3.2970000000000002"/>
    <n v="209.66328110000001"/>
    <n v="10.148"/>
  </r>
  <r>
    <x v="42"/>
    <x v="93"/>
    <n v="628115.61"/>
    <x v="0"/>
    <n v="57.75"/>
    <n v="3.3079999999999998"/>
    <n v="209.86510709999999"/>
    <n v="10.148"/>
  </r>
  <r>
    <x v="42"/>
    <x v="94"/>
    <n v="669965.22"/>
    <x v="1"/>
    <n v="55.7"/>
    <n v="3.2360000000000002"/>
    <n v="210.08885710000001"/>
    <n v="10.148"/>
  </r>
  <r>
    <x v="42"/>
    <x v="95"/>
    <n v="585028.26"/>
    <x v="0"/>
    <n v="47.49"/>
    <n v="3.1720000000000002"/>
    <n v="210.31260710000001"/>
    <n v="10.148"/>
  </r>
  <r>
    <x v="42"/>
    <x v="96"/>
    <n v="617898.06999999995"/>
    <x v="0"/>
    <n v="34.229999999999997"/>
    <n v="3.1579999999999999"/>
    <n v="210.5363571"/>
    <n v="10.148"/>
  </r>
  <r>
    <x v="42"/>
    <x v="97"/>
    <n v="665007.07999999996"/>
    <x v="0"/>
    <n v="43.78"/>
    <n v="3.1589999999999998"/>
    <n v="210.73653920000001"/>
    <n v="10.148"/>
  </r>
  <r>
    <x v="42"/>
    <x v="98"/>
    <n v="676290.46"/>
    <x v="0"/>
    <n v="42.63"/>
    <n v="3.1120000000000001"/>
    <n v="210.90529720000001"/>
    <n v="10.148"/>
  </r>
  <r>
    <x v="42"/>
    <x v="99"/>
    <n v="505405.85"/>
    <x v="1"/>
    <n v="41.83"/>
    <n v="3.129"/>
    <n v="211.0740553"/>
    <n v="10.148"/>
  </r>
  <r>
    <x v="42"/>
    <x v="100"/>
    <n v="670993.01"/>
    <x v="0"/>
    <n v="47.59"/>
    <n v="3.157"/>
    <n v="211.24281339999999"/>
    <n v="9.6530000000000005"/>
  </r>
  <r>
    <x v="42"/>
    <x v="101"/>
    <n v="663529.64"/>
    <x v="0"/>
    <n v="43.68"/>
    <n v="3.2610000000000001"/>
    <n v="211.41157140000001"/>
    <n v="9.6530000000000005"/>
  </r>
  <r>
    <x v="42"/>
    <x v="102"/>
    <n v="619225.65"/>
    <x v="0"/>
    <n v="52.72"/>
    <n v="3.2679999999999998"/>
    <n v="211.49978110000001"/>
    <n v="9.6530000000000005"/>
  </r>
  <r>
    <x v="42"/>
    <x v="103"/>
    <n v="587685.38"/>
    <x v="0"/>
    <n v="52.1"/>
    <n v="3.29"/>
    <n v="211.5879908"/>
    <n v="9.6530000000000005"/>
  </r>
  <r>
    <x v="42"/>
    <x v="104"/>
    <n v="629176.71"/>
    <x v="0"/>
    <n v="51.92"/>
    <n v="3.36"/>
    <n v="211.67620049999999"/>
    <n v="9.6530000000000005"/>
  </r>
  <r>
    <x v="42"/>
    <x v="105"/>
    <n v="662198.65"/>
    <x v="1"/>
    <n v="46.54"/>
    <n v="3.4089999999999998"/>
    <n v="211.76441009999999"/>
    <n v="9.6530000000000005"/>
  </r>
  <r>
    <x v="42"/>
    <x v="106"/>
    <n v="660632.05000000005"/>
    <x v="0"/>
    <n v="49.38"/>
    <n v="3.51"/>
    <n v="211.91683499999999"/>
    <n v="9.6530000000000005"/>
  </r>
  <r>
    <x v="42"/>
    <x v="107"/>
    <n v="613042.97"/>
    <x v="0"/>
    <n v="53.53"/>
    <n v="3.5550000000000002"/>
    <n v="212.1174212"/>
    <n v="9.6530000000000005"/>
  </r>
  <r>
    <x v="42"/>
    <x v="108"/>
    <n v="693249.98"/>
    <x v="0"/>
    <n v="56.43"/>
    <n v="3.63"/>
    <n v="212.3180074"/>
    <n v="9.6530000000000005"/>
  </r>
  <r>
    <x v="42"/>
    <x v="109"/>
    <n v="636677.67000000004"/>
    <x v="0"/>
    <n v="54.52"/>
    <n v="3.669"/>
    <n v="212.5185936"/>
    <n v="9.6530000000000005"/>
  </r>
  <r>
    <x v="42"/>
    <x v="110"/>
    <n v="661707.02"/>
    <x v="0"/>
    <n v="57.88"/>
    <n v="3.734"/>
    <n v="212.66515670000001"/>
    <n v="9.6530000000000005"/>
  </r>
  <r>
    <x v="42"/>
    <x v="111"/>
    <n v="610940.93999999994"/>
    <x v="0"/>
    <n v="56.28"/>
    <n v="3.7869999999999999"/>
    <n v="212.7396889"/>
    <n v="9.6530000000000005"/>
  </r>
  <r>
    <x v="42"/>
    <x v="112"/>
    <n v="623258.4"/>
    <x v="0"/>
    <n v="69.88"/>
    <n v="3.8450000000000002"/>
    <n v="212.81422119999999"/>
    <n v="9.6530000000000005"/>
  </r>
  <r>
    <x v="42"/>
    <x v="113"/>
    <n v="658468.27"/>
    <x v="0"/>
    <n v="64.7"/>
    <n v="3.891"/>
    <n v="212.88875350000001"/>
    <n v="9.5749999999999993"/>
  </r>
  <r>
    <x v="42"/>
    <x v="114"/>
    <n v="665687.92000000004"/>
    <x v="0"/>
    <n v="70.180000000000007"/>
    <n v="3.891"/>
    <n v="212.9632857"/>
    <n v="9.5749999999999993"/>
  </r>
  <r>
    <x v="42"/>
    <x v="115"/>
    <n v="638144.98"/>
    <x v="0"/>
    <n v="67.28"/>
    <n v="3.8769999999999998"/>
    <n v="213.01305239999999"/>
    <n v="9.5749999999999993"/>
  </r>
  <r>
    <x v="42"/>
    <x v="116"/>
    <n v="593138.59"/>
    <x v="0"/>
    <n v="78.27"/>
    <n v="3.8140000000000001"/>
    <n v="213.06281899999999"/>
    <n v="9.5749999999999993"/>
  </r>
  <r>
    <x v="42"/>
    <x v="117"/>
    <n v="637964.19999999995"/>
    <x v="0"/>
    <n v="77.47"/>
    <n v="3.7490000000000001"/>
    <n v="213.11258570000001"/>
    <n v="9.5749999999999993"/>
  </r>
  <r>
    <x v="42"/>
    <x v="118"/>
    <n v="640159.04"/>
    <x v="0"/>
    <n v="67.59"/>
    <n v="3.6880000000000002"/>
    <n v="213.1623524"/>
    <n v="9.5749999999999993"/>
  </r>
  <r>
    <x v="42"/>
    <x v="119"/>
    <n v="648541.81000000006"/>
    <x v="0"/>
    <n v="72.06"/>
    <n v="3.63"/>
    <n v="213.17536179999999"/>
    <n v="9.5749999999999993"/>
  </r>
  <r>
    <x v="42"/>
    <x v="120"/>
    <n v="597406.39"/>
    <x v="0"/>
    <n v="82.41"/>
    <n v="3.5609999999999999"/>
    <n v="213.17366820000001"/>
    <n v="9.5749999999999993"/>
  </r>
  <r>
    <x v="42"/>
    <x v="121"/>
    <n v="605078.62"/>
    <x v="0"/>
    <n v="80.89"/>
    <n v="3.5009999999999999"/>
    <n v="213.17197469999999"/>
    <n v="9.5749999999999993"/>
  </r>
  <r>
    <x v="42"/>
    <x v="122"/>
    <n v="643032.51"/>
    <x v="0"/>
    <n v="85.73"/>
    <n v="3.452"/>
    <n v="213.17028110000001"/>
    <n v="9.5749999999999993"/>
  </r>
  <r>
    <x v="42"/>
    <x v="123"/>
    <n v="634815.1"/>
    <x v="0"/>
    <n v="87.75"/>
    <n v="3.3929999999999998"/>
    <n v="213.17869519999999"/>
    <n v="9.5749999999999993"/>
  </r>
  <r>
    <x v="42"/>
    <x v="124"/>
    <n v="613270.79"/>
    <x v="0"/>
    <n v="87.51"/>
    <n v="3.3460000000000001"/>
    <n v="213.21237859999999"/>
    <n v="9.5749999999999993"/>
  </r>
  <r>
    <x v="42"/>
    <x v="125"/>
    <n v="593128.13"/>
    <x v="0"/>
    <n v="89.85"/>
    <n v="3.286"/>
    <n v="213.2460619"/>
    <n v="9.5749999999999993"/>
  </r>
  <r>
    <x v="42"/>
    <x v="126"/>
    <n v="645618.59"/>
    <x v="0"/>
    <n v="82.68"/>
    <n v="3.2269999999999999"/>
    <n v="213.27974520000001"/>
    <n v="9.2850000000000001"/>
  </r>
  <r>
    <x v="42"/>
    <x v="127"/>
    <n v="627634.04"/>
    <x v="0"/>
    <n v="78.819999999999993"/>
    <n v="3.2559999999999998"/>
    <n v="213.31342860000001"/>
    <n v="9.2850000000000001"/>
  </r>
  <r>
    <x v="42"/>
    <x v="128"/>
    <n v="596554.05000000005"/>
    <x v="0"/>
    <n v="83.83"/>
    <n v="3.3109999999999999"/>
    <n v="213.3219124"/>
    <n v="9.2850000000000001"/>
  </r>
  <r>
    <x v="42"/>
    <x v="129"/>
    <n v="572447.52"/>
    <x v="0"/>
    <n v="82.01"/>
    <n v="3.407"/>
    <n v="213.33039629999999"/>
    <n v="9.2850000000000001"/>
  </r>
  <r>
    <x v="42"/>
    <x v="130"/>
    <n v="614378.93999999994"/>
    <x v="0"/>
    <n v="85.06"/>
    <n v="3.4169999999999998"/>
    <n v="213.33888020000001"/>
    <n v="9.2850000000000001"/>
  </r>
  <r>
    <x v="42"/>
    <x v="131"/>
    <n v="643558.78"/>
    <x v="0"/>
    <n v="86.36"/>
    <n v="3.4940000000000002"/>
    <n v="213.34736409999999"/>
    <n v="9.2850000000000001"/>
  </r>
  <r>
    <x v="42"/>
    <x v="132"/>
    <n v="640210.85"/>
    <x v="0"/>
    <n v="85.66"/>
    <n v="3.5710000000000002"/>
    <n v="213.42269590000001"/>
    <n v="9.2850000000000001"/>
  </r>
  <r>
    <x v="42"/>
    <x v="133"/>
    <n v="598234.64"/>
    <x v="0"/>
    <n v="81.650000000000006"/>
    <n v="3.62"/>
    <n v="213.54816360000001"/>
    <n v="9.2850000000000001"/>
  </r>
  <r>
    <x v="42"/>
    <x v="134"/>
    <n v="593141.29"/>
    <x v="0"/>
    <n v="81.12"/>
    <n v="3.6379999999999999"/>
    <n v="213.67363130000001"/>
    <n v="9.2850000000000001"/>
  </r>
  <r>
    <x v="42"/>
    <x v="135"/>
    <n v="663814.18000000005"/>
    <x v="1"/>
    <n v="84.99"/>
    <n v="3.73"/>
    <n v="213.79909910000001"/>
    <n v="9.2850000000000001"/>
  </r>
  <r>
    <x v="42"/>
    <x v="136"/>
    <n v="625196.93999999994"/>
    <x v="0"/>
    <n v="73.03"/>
    <n v="3.7170000000000001"/>
    <n v="213.9332167"/>
    <n v="9.2850000000000001"/>
  </r>
  <r>
    <x v="42"/>
    <x v="137"/>
    <n v="601990.02"/>
    <x v="0"/>
    <n v="75.87"/>
    <n v="3.7210000000000001"/>
    <n v="214.11923329999999"/>
    <n v="9.2850000000000001"/>
  </r>
  <r>
    <x v="42"/>
    <x v="138"/>
    <n v="577792.31999999995"/>
    <x v="0"/>
    <n v="77.55"/>
    <n v="3.6659999999999999"/>
    <n v="214.30525"/>
    <n v="9.2850000000000001"/>
  </r>
  <r>
    <x v="42"/>
    <x v="139"/>
    <n v="642614.89"/>
    <x v="0"/>
    <n v="74.09"/>
    <n v="3.617"/>
    <n v="214.49126670000001"/>
    <n v="8.8390000000000004"/>
  </r>
  <r>
    <x v="42"/>
    <x v="140"/>
    <n v="619369.72"/>
    <x v="0"/>
    <n v="71.14"/>
    <n v="3.601"/>
    <n v="214.6772833"/>
    <n v="8.8390000000000004"/>
  </r>
  <r>
    <x v="42"/>
    <x v="141"/>
    <n v="623919.23"/>
    <x v="0"/>
    <n v="71.25"/>
    <n v="3.5939999999999999"/>
    <n v="214.72124880000001"/>
    <n v="8.8390000000000004"/>
  </r>
  <r>
    <x v="42"/>
    <x v="142"/>
    <n v="587603.55000000005"/>
    <x v="0"/>
    <n v="69.17"/>
    <n v="3.5059999999999998"/>
    <n v="214.74153920000001"/>
    <n v="8.8390000000000004"/>
  </r>
  <r>
    <x v="43"/>
    <x v="0"/>
    <n v="281090.95"/>
    <x v="0"/>
    <n v="31.53"/>
    <n v="2.6659999999999999"/>
    <n v="126.4420645"/>
    <n v="8.1189999999999998"/>
  </r>
  <r>
    <x v="43"/>
    <x v="1"/>
    <n v="286857.13"/>
    <x v="1"/>
    <n v="33.159999999999997"/>
    <n v="2.6709999999999998"/>
    <n v="126.49625810000001"/>
    <n v="8.1189999999999998"/>
  </r>
  <r>
    <x v="43"/>
    <x v="2"/>
    <n v="267956.3"/>
    <x v="0"/>
    <n v="35.700000000000003"/>
    <n v="2.6539999999999999"/>
    <n v="126.5262857"/>
    <n v="8.1189999999999998"/>
  </r>
  <r>
    <x v="43"/>
    <x v="3"/>
    <n v="273079.07"/>
    <x v="0"/>
    <n v="29.98"/>
    <n v="2.6669999999999998"/>
    <n v="126.5522857"/>
    <n v="8.1189999999999998"/>
  </r>
  <r>
    <x v="43"/>
    <x v="4"/>
    <n v="284617.27"/>
    <x v="0"/>
    <n v="40.65"/>
    <n v="2.681"/>
    <n v="126.5782857"/>
    <n v="8.1189999999999998"/>
  </r>
  <r>
    <x v="43"/>
    <x v="5"/>
    <n v="272190.83"/>
    <x v="0"/>
    <n v="37.619999999999997"/>
    <n v="2.7330000000000001"/>
    <n v="126.60428570000001"/>
    <n v="8.1189999999999998"/>
  </r>
  <r>
    <x v="43"/>
    <x v="6"/>
    <n v="269624.2"/>
    <x v="0"/>
    <n v="42.49"/>
    <n v="2.782"/>
    <n v="126.6066452"/>
    <n v="8.1189999999999998"/>
  </r>
  <r>
    <x v="43"/>
    <x v="7"/>
    <n v="276279.49"/>
    <x v="0"/>
    <n v="41.48"/>
    <n v="2.819"/>
    <n v="126.6050645"/>
    <n v="8.1189999999999998"/>
  </r>
  <r>
    <x v="43"/>
    <x v="8"/>
    <n v="286197.5"/>
    <x v="0"/>
    <n v="42.15"/>
    <n v="2.8420000000000001"/>
    <n v="126.6034839"/>
    <n v="7.9720000000000004"/>
  </r>
  <r>
    <x v="43"/>
    <x v="9"/>
    <n v="257361.3"/>
    <x v="0"/>
    <n v="38.97"/>
    <n v="2.8769999999999998"/>
    <n v="126.6019032"/>
    <n v="7.9720000000000004"/>
  </r>
  <r>
    <x v="43"/>
    <x v="10"/>
    <n v="280048.74"/>
    <x v="0"/>
    <n v="50.39"/>
    <n v="2.915"/>
    <n v="126.5621"/>
    <n v="7.9720000000000004"/>
  </r>
  <r>
    <x v="43"/>
    <x v="11"/>
    <n v="278287.03999999998"/>
    <x v="0"/>
    <n v="55.66"/>
    <n v="2.9359999999999999"/>
    <n v="126.4713333"/>
    <n v="7.9720000000000004"/>
  </r>
  <r>
    <x v="43"/>
    <x v="12"/>
    <n v="272997.65000000002"/>
    <x v="0"/>
    <n v="48.33"/>
    <n v="2.9409999999999998"/>
    <n v="126.3805667"/>
    <n v="7.9720000000000004"/>
  </r>
  <r>
    <x v="43"/>
    <x v="13"/>
    <n v="285379.86"/>
    <x v="0"/>
    <n v="44.42"/>
    <n v="2.948"/>
    <n v="126.2898"/>
    <n v="7.9720000000000004"/>
  </r>
  <r>
    <x v="43"/>
    <x v="14"/>
    <n v="286515.92"/>
    <x v="0"/>
    <n v="50.15"/>
    <n v="2.9620000000000002"/>
    <n v="126.2085484"/>
    <n v="7.9720000000000004"/>
  </r>
  <r>
    <x v="43"/>
    <x v="15"/>
    <n v="267065.34999999998"/>
    <x v="0"/>
    <n v="57.71"/>
    <n v="2.95"/>
    <n v="126.1843871"/>
    <n v="7.9720000000000004"/>
  </r>
  <r>
    <x v="43"/>
    <x v="16"/>
    <n v="291891.01"/>
    <x v="0"/>
    <n v="53.11"/>
    <n v="2.9079999999999999"/>
    <n v="126.16022580000001"/>
    <n v="7.9720000000000004"/>
  </r>
  <r>
    <x v="43"/>
    <x v="17"/>
    <n v="282351.82"/>
    <x v="0"/>
    <n v="59.85"/>
    <n v="2.871"/>
    <n v="126.1360645"/>
    <n v="7.9720000000000004"/>
  </r>
  <r>
    <x v="43"/>
    <x v="18"/>
    <n v="296818.2"/>
    <x v="0"/>
    <n v="65.239999999999995"/>
    <n v="2.8410000000000002"/>
    <n v="126.1119032"/>
    <n v="7.9720000000000004"/>
  </r>
  <r>
    <x v="43"/>
    <x v="19"/>
    <n v="293481.36"/>
    <x v="0"/>
    <n v="58.41"/>
    <n v="2.819"/>
    <n v="126.114"/>
    <n v="7.9720000000000004"/>
  </r>
  <r>
    <x v="43"/>
    <x v="20"/>
    <n v="288247.24"/>
    <x v="0"/>
    <n v="71.83"/>
    <n v="2.82"/>
    <n v="126.1266"/>
    <n v="7.9720000000000004"/>
  </r>
  <r>
    <x v="43"/>
    <x v="21"/>
    <n v="300628.19"/>
    <x v="0"/>
    <n v="78.819999999999993"/>
    <n v="2.8140000000000001"/>
    <n v="126.1392"/>
    <n v="7.8040000000000003"/>
  </r>
  <r>
    <x v="43"/>
    <x v="22"/>
    <n v="280472.78000000003"/>
    <x v="0"/>
    <n v="71.33"/>
    <n v="2.802"/>
    <n v="126.15179999999999"/>
    <n v="7.8040000000000003"/>
  </r>
  <r>
    <x v="43"/>
    <x v="23"/>
    <n v="297099.95"/>
    <x v="0"/>
    <n v="77.790000000000006"/>
    <n v="2.7909999999999999"/>
    <n v="126.1498065"/>
    <n v="7.8040000000000003"/>
  </r>
  <r>
    <x v="43"/>
    <x v="24"/>
    <n v="292680.15999999997"/>
    <x v="0"/>
    <n v="82.27"/>
    <n v="2.7970000000000002"/>
    <n v="126.1283548"/>
    <n v="7.8040000000000003"/>
  </r>
  <r>
    <x v="43"/>
    <x v="25"/>
    <n v="275020.96000000002"/>
    <x v="0"/>
    <n v="78.94"/>
    <n v="2.7970000000000002"/>
    <n v="126.1069032"/>
    <n v="7.8040000000000003"/>
  </r>
  <r>
    <x v="43"/>
    <x v="26"/>
    <n v="296804.49"/>
    <x v="0"/>
    <n v="81.239999999999995"/>
    <n v="2.802"/>
    <n v="126.0854516"/>
    <n v="7.8040000000000003"/>
  </r>
  <r>
    <x v="43"/>
    <x v="27"/>
    <n v="291028.09000000003"/>
    <x v="0"/>
    <n v="74.930000000000007"/>
    <n v="2.8370000000000002"/>
    <n v="126.06399999999999"/>
    <n v="7.8040000000000003"/>
  </r>
  <r>
    <x v="43"/>
    <x v="28"/>
    <n v="284740.5"/>
    <x v="0"/>
    <n v="76.34"/>
    <n v="2.85"/>
    <n v="126.0766452"/>
    <n v="7.8040000000000003"/>
  </r>
  <r>
    <x v="43"/>
    <x v="29"/>
    <n v="293155.08"/>
    <x v="0"/>
    <n v="75.31"/>
    <n v="2.8540000000000001"/>
    <n v="126.0892903"/>
    <n v="7.8040000000000003"/>
  </r>
  <r>
    <x v="43"/>
    <x v="30"/>
    <n v="295880.12"/>
    <x v="0"/>
    <n v="65.709999999999994"/>
    <n v="2.8679999999999999"/>
    <n v="126.1019355"/>
    <n v="7.8040000000000003"/>
  </r>
  <r>
    <x v="43"/>
    <x v="31"/>
    <n v="283455.13"/>
    <x v="1"/>
    <n v="65.739999999999995"/>
    <n v="2.87"/>
    <n v="126.1145806"/>
    <n v="7.8040000000000003"/>
  </r>
  <r>
    <x v="43"/>
    <x v="32"/>
    <n v="279364.13"/>
    <x v="0"/>
    <n v="66.84"/>
    <n v="2.875"/>
    <n v="126.1454667"/>
    <n v="7.8040000000000003"/>
  </r>
  <r>
    <x v="43"/>
    <x v="33"/>
    <n v="281313.78000000003"/>
    <x v="0"/>
    <n v="68.22"/>
    <n v="2.8719999999999999"/>
    <n v="126.1900333"/>
    <n v="7.8040000000000003"/>
  </r>
  <r>
    <x v="43"/>
    <x v="34"/>
    <n v="300152.45"/>
    <x v="0"/>
    <n v="68.739999999999995"/>
    <n v="2.8530000000000002"/>
    <n v="126.2346"/>
    <n v="7.61"/>
  </r>
  <r>
    <x v="43"/>
    <x v="35"/>
    <n v="279524.44"/>
    <x v="0"/>
    <n v="63.03"/>
    <n v="2.8410000000000002"/>
    <n v="126.2791667"/>
    <n v="7.61"/>
  </r>
  <r>
    <x v="43"/>
    <x v="36"/>
    <n v="268708.43"/>
    <x v="0"/>
    <n v="54.12"/>
    <n v="2.8450000000000002"/>
    <n v="126.32667739999999"/>
    <n v="7.61"/>
  </r>
  <r>
    <x v="43"/>
    <x v="37"/>
    <n v="270110.3"/>
    <x v="0"/>
    <n v="56.89"/>
    <n v="2.8490000000000002"/>
    <n v="126.3815484"/>
    <n v="7.61"/>
  </r>
  <r>
    <x v="43"/>
    <x v="38"/>
    <n v="286497.49"/>
    <x v="0"/>
    <n v="45.12"/>
    <n v="2.8410000000000002"/>
    <n v="126.43641940000001"/>
    <n v="7.61"/>
  </r>
  <r>
    <x v="43"/>
    <x v="39"/>
    <n v="270516.84000000003"/>
    <x v="0"/>
    <n v="49.96"/>
    <n v="2.831"/>
    <n v="126.4912903"/>
    <n v="7.61"/>
  </r>
  <r>
    <x v="43"/>
    <x v="40"/>
    <n v="281909.78999999998"/>
    <x v="0"/>
    <n v="42.55"/>
    <n v="2.831"/>
    <n v="126.54616129999999"/>
    <n v="7.61"/>
  </r>
  <r>
    <x v="43"/>
    <x v="41"/>
    <n v="284322.52"/>
    <x v="0"/>
    <n v="42"/>
    <n v="2.8420000000000001"/>
    <n v="126.60720000000001"/>
    <n v="7.61"/>
  </r>
  <r>
    <x v="43"/>
    <x v="42"/>
    <n v="307646.5"/>
    <x v="1"/>
    <n v="28.22"/>
    <n v="2.83"/>
    <n v="126.66926669999999"/>
    <n v="7.61"/>
  </r>
  <r>
    <x v="43"/>
    <x v="43"/>
    <n v="264214.12"/>
    <x v="0"/>
    <n v="25.8"/>
    <n v="2.8119999999999998"/>
    <n v="126.7313333"/>
    <n v="7.61"/>
  </r>
  <r>
    <x v="43"/>
    <x v="44"/>
    <n v="278253.28000000003"/>
    <x v="0"/>
    <n v="36.78"/>
    <n v="2.8170000000000002"/>
    <n v="126.79340000000001"/>
    <n v="7.61"/>
  </r>
  <r>
    <x v="43"/>
    <x v="45"/>
    <n v="278646.34999999998"/>
    <x v="0"/>
    <n v="35.21"/>
    <n v="2.8420000000000001"/>
    <n v="126.8794839"/>
    <n v="7.61"/>
  </r>
  <r>
    <x v="43"/>
    <x v="46"/>
    <n v="365098.23999999999"/>
    <x v="0"/>
    <n v="34.9"/>
    <n v="2.8460000000000001"/>
    <n v="126.9835806"/>
    <n v="7.61"/>
  </r>
  <r>
    <x v="43"/>
    <x v="47"/>
    <n v="241937.11"/>
    <x v="1"/>
    <n v="26.79"/>
    <n v="2.8679999999999999"/>
    <n v="127.0876774"/>
    <n v="7.61"/>
  </r>
  <r>
    <x v="43"/>
    <x v="48"/>
    <n v="288320.38"/>
    <x v="0"/>
    <n v="16.940000000000001"/>
    <n v="2.891"/>
    <n v="127.1917742"/>
    <n v="7.2240000000000002"/>
  </r>
  <r>
    <x v="43"/>
    <x v="49"/>
    <n v="292859.36"/>
    <x v="0"/>
    <n v="20.6"/>
    <n v="2.903"/>
    <n v="127.30093549999999"/>
    <n v="7.2240000000000002"/>
  </r>
  <r>
    <x v="43"/>
    <x v="50"/>
    <n v="276157.8"/>
    <x v="0"/>
    <n v="34.799999999999997"/>
    <n v="2.9340000000000002"/>
    <n v="127.4404839"/>
    <n v="7.2240000000000002"/>
  </r>
  <r>
    <x v="43"/>
    <x v="51"/>
    <n v="276011.40000000002"/>
    <x v="0"/>
    <n v="31.64"/>
    <n v="2.96"/>
    <n v="127.5800323"/>
    <n v="7.2240000000000002"/>
  </r>
  <r>
    <x v="43"/>
    <x v="52"/>
    <n v="293953.08"/>
    <x v="0"/>
    <n v="23.35"/>
    <n v="2.9740000000000002"/>
    <n v="127.7195806"/>
    <n v="7.2240000000000002"/>
  </r>
  <r>
    <x v="43"/>
    <x v="53"/>
    <n v="307486.73"/>
    <x v="1"/>
    <n v="30.83"/>
    <n v="3.0339999999999998"/>
    <n v="127.859129"/>
    <n v="7.2240000000000002"/>
  </r>
  <r>
    <x v="43"/>
    <x v="54"/>
    <n v="280785.76"/>
    <x v="0"/>
    <n v="40.85"/>
    <n v="3.0619999999999998"/>
    <n v="127.99525"/>
    <n v="7.2240000000000002"/>
  </r>
  <r>
    <x v="43"/>
    <x v="55"/>
    <n v="279427.93"/>
    <x v="0"/>
    <n v="33.17"/>
    <n v="3.12"/>
    <n v="128.13"/>
    <n v="7.2240000000000002"/>
  </r>
  <r>
    <x v="43"/>
    <x v="56"/>
    <n v="293984.53999999998"/>
    <x v="0"/>
    <n v="34.229999999999997"/>
    <n v="3.23"/>
    <n v="128.26474999999999"/>
    <n v="7.2240000000000002"/>
  </r>
  <r>
    <x v="43"/>
    <x v="57"/>
    <n v="284496.14"/>
    <x v="0"/>
    <n v="41.28"/>
    <n v="3.3460000000000001"/>
    <n v="128.39949999999999"/>
    <n v="7.2240000000000002"/>
  </r>
  <r>
    <x v="43"/>
    <x v="58"/>
    <n v="281699.68"/>
    <x v="0"/>
    <n v="44.69"/>
    <n v="3.407"/>
    <n v="128.5121935"/>
    <n v="7.2240000000000002"/>
  </r>
  <r>
    <x v="43"/>
    <x v="59"/>
    <n v="285031.81"/>
    <x v="0"/>
    <n v="42.38"/>
    <n v="3.4350000000000001"/>
    <n v="128.61606449999999"/>
    <n v="7.2240000000000002"/>
  </r>
  <r>
    <x v="43"/>
    <x v="60"/>
    <n v="281514.26"/>
    <x v="0"/>
    <n v="42.49"/>
    <n v="3.4870000000000001"/>
    <n v="128.71993549999999"/>
    <n v="6.9059999999999997"/>
  </r>
  <r>
    <x v="43"/>
    <x v="61"/>
    <n v="292498.61"/>
    <x v="0"/>
    <n v="42.75"/>
    <n v="3.5470000000000002"/>
    <n v="128.82380649999999"/>
    <n v="6.9059999999999997"/>
  </r>
  <r>
    <x v="43"/>
    <x v="62"/>
    <n v="289667.55"/>
    <x v="0"/>
    <n v="41.72"/>
    <n v="3.6160000000000001"/>
    <n v="128.9107333"/>
    <n v="6.9059999999999997"/>
  </r>
  <r>
    <x v="43"/>
    <x v="63"/>
    <n v="280357.3"/>
    <x v="0"/>
    <n v="47.55"/>
    <n v="3.6549999999999998"/>
    <n v="128.95529999999999"/>
    <n v="6.9059999999999997"/>
  </r>
  <r>
    <x v="43"/>
    <x v="64"/>
    <n v="281247.96999999997"/>
    <x v="0"/>
    <n v="43.85"/>
    <n v="3.6829999999999998"/>
    <n v="128.99986670000001"/>
    <n v="6.9059999999999997"/>
  </r>
  <r>
    <x v="43"/>
    <x v="65"/>
    <n v="299354.67"/>
    <x v="0"/>
    <n v="47.75"/>
    <n v="3.7440000000000002"/>
    <n v="129.04443330000001"/>
    <n v="6.9059999999999997"/>
  </r>
  <r>
    <x v="43"/>
    <x v="66"/>
    <n v="307095.31"/>
    <x v="0"/>
    <n v="52.4"/>
    <n v="3.77"/>
    <n v="129.089"/>
    <n v="6.9059999999999997"/>
  </r>
  <r>
    <x v="43"/>
    <x v="67"/>
    <n v="303559.23"/>
    <x v="0"/>
    <n v="52.12"/>
    <n v="3.802"/>
    <n v="129.07567739999999"/>
    <n v="6.9059999999999997"/>
  </r>
  <r>
    <x v="43"/>
    <x v="68"/>
    <n v="308442.49"/>
    <x v="0"/>
    <n v="54.62"/>
    <n v="3.778"/>
    <n v="129.06235480000001"/>
    <n v="6.9059999999999997"/>
  </r>
  <r>
    <x v="43"/>
    <x v="69"/>
    <n v="308950.03999999998"/>
    <x v="0"/>
    <n v="52.76"/>
    <n v="3.7519999999999998"/>
    <n v="129.04903229999999"/>
    <n v="6.9059999999999997"/>
  </r>
  <r>
    <x v="43"/>
    <x v="70"/>
    <n v="308770.42"/>
    <x v="0"/>
    <n v="61.39"/>
    <n v="3.7320000000000002"/>
    <n v="129.03570970000001"/>
    <n v="6.9059999999999997"/>
  </r>
  <r>
    <x v="43"/>
    <x v="71"/>
    <n v="300255.87"/>
    <x v="0"/>
    <n v="63.35"/>
    <n v="3.7040000000000002"/>
    <n v="129.04320000000001"/>
    <n v="6.9059999999999997"/>
  </r>
  <r>
    <x v="43"/>
    <x v="72"/>
    <n v="296765.59000000003"/>
    <x v="0"/>
    <n v="66.38"/>
    <n v="3.6680000000000001"/>
    <n v="129.06630000000001"/>
    <n v="6.9059999999999997"/>
  </r>
  <r>
    <x v="43"/>
    <x v="73"/>
    <n v="315273.08"/>
    <x v="0"/>
    <n v="74.290000000000006"/>
    <n v="3.613"/>
    <n v="129.08940000000001"/>
    <n v="6.56"/>
  </r>
  <r>
    <x v="43"/>
    <x v="74"/>
    <n v="295339.01"/>
    <x v="0"/>
    <n v="77.3"/>
    <n v="3.5630000000000002"/>
    <n v="129.11250000000001"/>
    <n v="6.56"/>
  </r>
  <r>
    <x v="43"/>
    <x v="75"/>
    <n v="289201.21000000002"/>
    <x v="0"/>
    <n v="75.59"/>
    <n v="3.5529999999999999"/>
    <n v="129.13383870000001"/>
    <n v="6.56"/>
  </r>
  <r>
    <x v="43"/>
    <x v="76"/>
    <n v="303108.81"/>
    <x v="0"/>
    <n v="78.5"/>
    <n v="3.5630000000000002"/>
    <n v="129.1507742"/>
    <n v="6.56"/>
  </r>
  <r>
    <x v="43"/>
    <x v="77"/>
    <n v="279677"/>
    <x v="0"/>
    <n v="77.62"/>
    <n v="3.5739999999999998"/>
    <n v="129.16770969999999"/>
    <n v="6.56"/>
  </r>
  <r>
    <x v="43"/>
    <x v="78"/>
    <n v="298080.45"/>
    <x v="0"/>
    <n v="75.56"/>
    <n v="3.5950000000000002"/>
    <n v="129.18464520000001"/>
    <n v="6.56"/>
  </r>
  <r>
    <x v="43"/>
    <x v="79"/>
    <n v="290399.65999999997"/>
    <x v="0"/>
    <n v="75.95"/>
    <n v="3.6059999999999999"/>
    <n v="129.2015806"/>
    <n v="6.56"/>
  </r>
  <r>
    <x v="43"/>
    <x v="80"/>
    <n v="290909.69"/>
    <x v="0"/>
    <n v="76.680000000000007"/>
    <n v="3.5779999999999998"/>
    <n v="129.24058059999999"/>
    <n v="6.56"/>
  </r>
  <r>
    <x v="43"/>
    <x v="81"/>
    <n v="324174.78999999998"/>
    <x v="0"/>
    <n v="81.53"/>
    <n v="3.57"/>
    <n v="129.28325810000001"/>
    <n v="6.56"/>
  </r>
  <r>
    <x v="43"/>
    <x v="82"/>
    <n v="309543.52"/>
    <x v="0"/>
    <n v="77"/>
    <n v="3.58"/>
    <n v="129.32593550000001"/>
    <n v="6.56"/>
  </r>
  <r>
    <x v="43"/>
    <x v="83"/>
    <n v="295811.25"/>
    <x v="1"/>
    <n v="70.19"/>
    <n v="3.6190000000000002"/>
    <n v="129.36861289999999"/>
    <n v="6.56"/>
  </r>
  <r>
    <x v="43"/>
    <x v="84"/>
    <n v="303974.28000000003"/>
    <x v="0"/>
    <n v="67.540000000000006"/>
    <n v="3.641"/>
    <n v="129.4306"/>
    <n v="6.56"/>
  </r>
  <r>
    <x v="43"/>
    <x v="85"/>
    <n v="307409.13"/>
    <x v="0"/>
    <n v="63.6"/>
    <n v="3.6480000000000001"/>
    <n v="129.51833329999999"/>
    <n v="6.56"/>
  </r>
  <r>
    <x v="43"/>
    <x v="86"/>
    <n v="299757.75"/>
    <x v="0"/>
    <n v="68.28"/>
    <n v="3.6230000000000002"/>
    <n v="129.60606670000001"/>
    <n v="6.56"/>
  </r>
  <r>
    <x v="43"/>
    <x v="87"/>
    <n v="312577.36"/>
    <x v="0"/>
    <n v="60.62"/>
    <n v="3.5920000000000001"/>
    <n v="129.69380000000001"/>
    <n v="6.0780000000000003"/>
  </r>
  <r>
    <x v="43"/>
    <x v="88"/>
    <n v="293031.78000000003"/>
    <x v="0"/>
    <n v="51.74"/>
    <n v="3.5670000000000002"/>
    <n v="129.77064519999999"/>
    <n v="6.0780000000000003"/>
  </r>
  <r>
    <x v="43"/>
    <x v="89"/>
    <n v="305969.81"/>
    <x v="0"/>
    <n v="54.66"/>
    <n v="3.5790000000000002"/>
    <n v="129.78216130000001"/>
    <n v="6.0780000000000003"/>
  </r>
  <r>
    <x v="43"/>
    <x v="90"/>
    <n v="306336.07"/>
    <x v="0"/>
    <n v="47.41"/>
    <n v="3.5670000000000002"/>
    <n v="129.79367740000001"/>
    <n v="6.0780000000000003"/>
  </r>
  <r>
    <x v="43"/>
    <x v="91"/>
    <n v="307126.34000000003"/>
    <x v="0"/>
    <n v="43.51"/>
    <n v="3.5379999999999998"/>
    <n v="129.8051935"/>
    <n v="6.0780000000000003"/>
  </r>
  <r>
    <x v="43"/>
    <x v="92"/>
    <n v="312233.56"/>
    <x v="0"/>
    <n v="33.799999999999997"/>
    <n v="3.5129999999999999"/>
    <n v="129.81670969999999"/>
    <n v="6.0780000000000003"/>
  </r>
  <r>
    <x v="43"/>
    <x v="93"/>
    <n v="310531.03999999998"/>
    <x v="0"/>
    <n v="40.65"/>
    <n v="3.4889999999999999"/>
    <n v="129.8268333"/>
    <n v="6.0780000000000003"/>
  </r>
  <r>
    <x v="43"/>
    <x v="94"/>
    <n v="309129.01"/>
    <x v="1"/>
    <n v="38.89"/>
    <n v="3.4449999999999998"/>
    <n v="129.8364"/>
    <n v="6.0780000000000003"/>
  </r>
  <r>
    <x v="43"/>
    <x v="95"/>
    <n v="284309.34000000003"/>
    <x v="0"/>
    <n v="33.94"/>
    <n v="3.3889999999999998"/>
    <n v="129.84596669999999"/>
    <n v="6.0780000000000003"/>
  </r>
  <r>
    <x v="43"/>
    <x v="96"/>
    <n v="304300.90999999997"/>
    <x v="0"/>
    <n v="24.82"/>
    <n v="3.3410000000000002"/>
    <n v="129.85553329999999"/>
    <n v="6.0780000000000003"/>
  </r>
  <r>
    <x v="43"/>
    <x v="97"/>
    <n v="311144.15999999997"/>
    <x v="0"/>
    <n v="27.85"/>
    <n v="3.282"/>
    <n v="129.8980645"/>
    <n v="6.0780000000000003"/>
  </r>
  <r>
    <x v="43"/>
    <x v="98"/>
    <n v="376233.89"/>
    <x v="0"/>
    <n v="24.76"/>
    <n v="3.1859999999999999"/>
    <n v="129.98454839999999"/>
    <n v="6.0780000000000003"/>
  </r>
  <r>
    <x v="43"/>
    <x v="99"/>
    <n v="263917.84999999998"/>
    <x v="1"/>
    <n v="31.53"/>
    <n v="3.1190000000000002"/>
    <n v="130.07103230000001"/>
    <n v="6.0780000000000003"/>
  </r>
  <r>
    <x v="43"/>
    <x v="100"/>
    <n v="325327.93"/>
    <x v="0"/>
    <n v="33.799999999999997"/>
    <n v="3.08"/>
    <n v="130.15751610000001"/>
    <n v="5.774"/>
  </r>
  <r>
    <x v="43"/>
    <x v="101"/>
    <n v="312361.88"/>
    <x v="0"/>
    <n v="25.61"/>
    <n v="3.056"/>
    <n v="130.244"/>
    <n v="5.774"/>
  </r>
  <r>
    <x v="43"/>
    <x v="102"/>
    <n v="316948.39"/>
    <x v="0"/>
    <n v="32.71"/>
    <n v="3.0470000000000002"/>
    <n v="130.27922580000001"/>
    <n v="5.774"/>
  </r>
  <r>
    <x v="43"/>
    <x v="103"/>
    <n v="308295.38"/>
    <x v="0"/>
    <n v="34.32"/>
    <n v="3.0579999999999998"/>
    <n v="130.31445160000001"/>
    <n v="5.774"/>
  </r>
  <r>
    <x v="43"/>
    <x v="104"/>
    <n v="325986.05"/>
    <x v="0"/>
    <n v="31.39"/>
    <n v="3.077"/>
    <n v="130.34967739999999"/>
    <n v="5.774"/>
  </r>
  <r>
    <x v="43"/>
    <x v="105"/>
    <n v="325377.96999999997"/>
    <x v="1"/>
    <n v="33.729999999999997"/>
    <n v="3.1160000000000001"/>
    <n v="130.3849032"/>
    <n v="5.774"/>
  </r>
  <r>
    <x v="43"/>
    <x v="106"/>
    <n v="320691.21000000002"/>
    <x v="0"/>
    <n v="36.57"/>
    <n v="3.1190000000000002"/>
    <n v="130.45462069999999"/>
    <n v="5.774"/>
  </r>
  <r>
    <x v="43"/>
    <x v="107"/>
    <n v="315641.8"/>
    <x v="0"/>
    <n v="35.380000000000003"/>
    <n v="3.145"/>
    <n v="130.55020690000001"/>
    <n v="5.774"/>
  </r>
  <r>
    <x v="43"/>
    <x v="108"/>
    <n v="316687.21999999997"/>
    <x v="0"/>
    <n v="32.36"/>
    <n v="3.242"/>
    <n v="130.64579309999999"/>
    <n v="5.774"/>
  </r>
  <r>
    <x v="43"/>
    <x v="109"/>
    <n v="303438.24"/>
    <x v="0"/>
    <n v="38.24"/>
    <n v="3.38"/>
    <n v="130.74137930000001"/>
    <n v="5.774"/>
  </r>
  <r>
    <x v="43"/>
    <x v="110"/>
    <n v="331965.95"/>
    <x v="0"/>
    <n v="52.5"/>
    <n v="3.5289999999999999"/>
    <n v="130.82619349999999"/>
    <n v="5.774"/>
  </r>
  <r>
    <x v="43"/>
    <x v="111"/>
    <n v="296947.06"/>
    <x v="0"/>
    <n v="47.83"/>
    <n v="3.6709999999999998"/>
    <n v="130.89664519999999"/>
    <n v="5.774"/>
  </r>
  <r>
    <x v="43"/>
    <x v="112"/>
    <n v="310027.28999999998"/>
    <x v="0"/>
    <n v="53.2"/>
    <n v="3.734"/>
    <n v="130.96709680000001"/>
    <n v="5.774"/>
  </r>
  <r>
    <x v="43"/>
    <x v="113"/>
    <n v="320021.09999999998"/>
    <x v="0"/>
    <n v="48.85"/>
    <n v="3.7930000000000001"/>
    <n v="131.03754839999999"/>
    <n v="5.6210000000000004"/>
  </r>
  <r>
    <x v="43"/>
    <x v="114"/>
    <n v="311390.21999999997"/>
    <x v="0"/>
    <n v="51.7"/>
    <n v="3.8330000000000002"/>
    <n v="131.108"/>
    <n v="5.6210000000000004"/>
  </r>
  <r>
    <x v="43"/>
    <x v="115"/>
    <n v="323233.8"/>
    <x v="0"/>
    <n v="50.24"/>
    <n v="3.8450000000000002"/>
    <n v="131.11733330000001"/>
    <n v="5.6210000000000004"/>
  </r>
  <r>
    <x v="43"/>
    <x v="116"/>
    <n v="330338.36"/>
    <x v="0"/>
    <n v="64.8"/>
    <n v="3.8420000000000001"/>
    <n v="131.12666669999999"/>
    <n v="5.6210000000000004"/>
  </r>
  <r>
    <x v="43"/>
    <x v="117"/>
    <n v="326053.28000000003"/>
    <x v="0"/>
    <n v="54.41"/>
    <n v="3.831"/>
    <n v="131.136"/>
    <n v="5.6210000000000004"/>
  </r>
  <r>
    <x v="43"/>
    <x v="118"/>
    <n v="341381.08"/>
    <x v="0"/>
    <n v="56.47"/>
    <n v="3.8090000000000002"/>
    <n v="131.1453333"/>
    <n v="5.6210000000000004"/>
  </r>
  <r>
    <x v="43"/>
    <x v="119"/>
    <n v="334042.43"/>
    <x v="0"/>
    <n v="65.17"/>
    <n v="3.8079999999999998"/>
    <n v="131.09832259999999"/>
    <n v="5.6210000000000004"/>
  </r>
  <r>
    <x v="43"/>
    <x v="120"/>
    <n v="343268.29"/>
    <x v="0"/>
    <n v="62.39"/>
    <n v="3.8010000000000002"/>
    <n v="131.02877419999999"/>
    <n v="5.6210000000000004"/>
  </r>
  <r>
    <x v="43"/>
    <x v="121"/>
    <n v="323410.94"/>
    <x v="0"/>
    <n v="61.11"/>
    <n v="3.7879999999999998"/>
    <n v="130.95922580000001"/>
    <n v="5.6210000000000004"/>
  </r>
  <r>
    <x v="43"/>
    <x v="122"/>
    <n v="340238.38"/>
    <x v="0"/>
    <n v="68.400000000000006"/>
    <n v="3.7759999999999998"/>
    <n v="130.88967740000001"/>
    <n v="5.6210000000000004"/>
  </r>
  <r>
    <x v="43"/>
    <x v="123"/>
    <n v="338400.82"/>
    <x v="0"/>
    <n v="65.97"/>
    <n v="3.7559999999999998"/>
    <n v="130.82953330000001"/>
    <n v="5.6210000000000004"/>
  </r>
  <r>
    <x v="43"/>
    <x v="124"/>
    <n v="336241"/>
    <x v="0"/>
    <n v="72.89"/>
    <n v="3.7370000000000001"/>
    <n v="130.7929"/>
    <n v="5.6210000000000004"/>
  </r>
  <r>
    <x v="43"/>
    <x v="125"/>
    <n v="338386.08"/>
    <x v="0"/>
    <n v="82"/>
    <n v="3.681"/>
    <n v="130.7562667"/>
    <n v="5.6210000000000004"/>
  </r>
  <r>
    <x v="43"/>
    <x v="126"/>
    <n v="358461.58"/>
    <x v="0"/>
    <n v="79.23"/>
    <n v="3.63"/>
    <n v="130.7196333"/>
    <n v="5.407"/>
  </r>
  <r>
    <x v="43"/>
    <x v="127"/>
    <n v="336479.49"/>
    <x v="0"/>
    <n v="83.68"/>
    <n v="3.5950000000000002"/>
    <n v="130.68299999999999"/>
    <n v="5.407"/>
  </r>
  <r>
    <x v="43"/>
    <x v="128"/>
    <n v="337819.16"/>
    <x v="0"/>
    <n v="75.69"/>
    <n v="3.556"/>
    <n v="130.70129030000001"/>
    <n v="5.407"/>
  </r>
  <r>
    <x v="43"/>
    <x v="129"/>
    <n v="319855.26"/>
    <x v="0"/>
    <n v="80.42"/>
    <n v="3.5369999999999999"/>
    <n v="130.7195806"/>
    <n v="5.407"/>
  </r>
  <r>
    <x v="43"/>
    <x v="130"/>
    <n v="342385.38"/>
    <x v="0"/>
    <n v="81.99"/>
    <n v="3.512"/>
    <n v="130.73787100000001"/>
    <n v="5.407"/>
  </r>
  <r>
    <x v="43"/>
    <x v="131"/>
    <n v="333594.81"/>
    <x v="0"/>
    <n v="81.69"/>
    <n v="3.5089999999999999"/>
    <n v="130.7561613"/>
    <n v="5.407"/>
  </r>
  <r>
    <x v="43"/>
    <x v="132"/>
    <n v="327389.51"/>
    <x v="0"/>
    <n v="79.400000000000006"/>
    <n v="3.5449999999999999"/>
    <n v="130.79096770000001"/>
    <n v="5.407"/>
  </r>
  <r>
    <x v="43"/>
    <x v="133"/>
    <n v="337985.74"/>
    <x v="0"/>
    <n v="77.37"/>
    <n v="3.5819999999999999"/>
    <n v="130.8381613"/>
    <n v="5.407"/>
  </r>
  <r>
    <x v="43"/>
    <x v="134"/>
    <n v="339490.69"/>
    <x v="0"/>
    <n v="79.180000000000007"/>
    <n v="3.6240000000000001"/>
    <n v="130.88535479999999"/>
    <n v="5.407"/>
  </r>
  <r>
    <x v="43"/>
    <x v="135"/>
    <n v="338737.33"/>
    <x v="1"/>
    <n v="70.650000000000006"/>
    <n v="3.6890000000000001"/>
    <n v="130.9325484"/>
    <n v="5.407"/>
  </r>
  <r>
    <x v="43"/>
    <x v="136"/>
    <n v="347726.67"/>
    <x v="0"/>
    <n v="68.55"/>
    <n v="3.7490000000000001"/>
    <n v="130.97766669999999"/>
    <n v="5.407"/>
  </r>
  <r>
    <x v="43"/>
    <x v="137"/>
    <n v="336017.6"/>
    <x v="0"/>
    <n v="67.959999999999994"/>
    <n v="3.8210000000000002"/>
    <n v="131.01033330000001"/>
    <n v="5.407"/>
  </r>
  <r>
    <x v="43"/>
    <x v="138"/>
    <n v="355307.94"/>
    <x v="0"/>
    <n v="64.8"/>
    <n v="3.8210000000000002"/>
    <n v="131.04300000000001"/>
    <n v="5.407"/>
  </r>
  <r>
    <x v="43"/>
    <x v="139"/>
    <n v="337390.44"/>
    <x v="0"/>
    <n v="61.79"/>
    <n v="3.8149999999999999"/>
    <n v="131.0756667"/>
    <n v="5.2169999999999996"/>
  </r>
  <r>
    <x v="43"/>
    <x v="140"/>
    <n v="337796.13"/>
    <x v="0"/>
    <n v="55.1"/>
    <n v="3.7970000000000002"/>
    <n v="131.1083333"/>
    <n v="5.2169999999999996"/>
  </r>
  <r>
    <x v="43"/>
    <x v="141"/>
    <n v="323766.77"/>
    <x v="0"/>
    <n v="52.06"/>
    <n v="3.7810000000000001"/>
    <n v="131.14996769999999"/>
    <n v="5.2169999999999996"/>
  </r>
  <r>
    <x v="43"/>
    <x v="142"/>
    <n v="361067.07"/>
    <x v="0"/>
    <n v="46.97"/>
    <n v="3.7549999999999999"/>
    <n v="131.19309680000001"/>
    <n v="5.2169999999999996"/>
  </r>
  <r>
    <x v="44"/>
    <x v="0"/>
    <n v="890689.51"/>
    <x v="0"/>
    <n v="27.31"/>
    <n v="2.7839999999999998"/>
    <n v="181.8711898"/>
    <n v="8.9920000000000009"/>
  </r>
  <r>
    <x v="44"/>
    <x v="1"/>
    <n v="656988.64"/>
    <x v="1"/>
    <n v="27.73"/>
    <n v="2.7730000000000001"/>
    <n v="181.98231699999999"/>
    <n v="8.9920000000000009"/>
  </r>
  <r>
    <x v="44"/>
    <x v="2"/>
    <n v="841264.04"/>
    <x v="0"/>
    <n v="31.27"/>
    <n v="2.7450000000000001"/>
    <n v="182.0347816"/>
    <n v="8.9920000000000009"/>
  </r>
  <r>
    <x v="44"/>
    <x v="3"/>
    <n v="741891.65"/>
    <x v="0"/>
    <n v="34.89"/>
    <n v="2.754"/>
    <n v="182.0774691"/>
    <n v="8.9920000000000009"/>
  </r>
  <r>
    <x v="44"/>
    <x v="4"/>
    <n v="777951.22"/>
    <x v="0"/>
    <n v="37.130000000000003"/>
    <n v="2.7770000000000001"/>
    <n v="182.1201566"/>
    <n v="8.9920000000000009"/>
  </r>
  <r>
    <x v="44"/>
    <x v="5"/>
    <n v="765687.42"/>
    <x v="0"/>
    <n v="45.8"/>
    <n v="2.8180000000000001"/>
    <n v="182.1628441"/>
    <n v="8.9920000000000009"/>
  </r>
  <r>
    <x v="44"/>
    <x v="6"/>
    <n v="773819.49"/>
    <x v="0"/>
    <n v="48.79"/>
    <n v="2.8439999999999999"/>
    <n v="182.0779857"/>
    <n v="8.9920000000000009"/>
  </r>
  <r>
    <x v="44"/>
    <x v="7"/>
    <n v="782563.38"/>
    <x v="0"/>
    <n v="54.36"/>
    <n v="2.8540000000000001"/>
    <n v="181.97186970000001"/>
    <n v="8.9920000000000009"/>
  </r>
  <r>
    <x v="44"/>
    <x v="8"/>
    <n v="877235.96"/>
    <x v="0"/>
    <n v="47.74"/>
    <n v="2.85"/>
    <n v="181.8657537"/>
    <n v="8.8989999999999991"/>
  </r>
  <r>
    <x v="44"/>
    <x v="9"/>
    <n v="833782.7"/>
    <x v="0"/>
    <n v="65.45"/>
    <n v="2.8690000000000002"/>
    <n v="181.75963770000001"/>
    <n v="8.8989999999999991"/>
  </r>
  <r>
    <x v="44"/>
    <x v="10"/>
    <n v="782221.96"/>
    <x v="0"/>
    <n v="54.28"/>
    <n v="2.899"/>
    <n v="181.6924769"/>
    <n v="8.8989999999999991"/>
  </r>
  <r>
    <x v="44"/>
    <x v="11"/>
    <n v="749779.1"/>
    <x v="0"/>
    <n v="53.47"/>
    <n v="2.9020000000000001"/>
    <n v="181.6772564"/>
    <n v="8.8989999999999991"/>
  </r>
  <r>
    <x v="44"/>
    <x v="12"/>
    <n v="737265.57"/>
    <x v="0"/>
    <n v="53.15"/>
    <n v="2.9209999999999998"/>
    <n v="181.66203590000001"/>
    <n v="8.8989999999999991"/>
  </r>
  <r>
    <x v="44"/>
    <x v="13"/>
    <n v="812190.76"/>
    <x v="0"/>
    <n v="70.75"/>
    <n v="2.9660000000000002"/>
    <n v="181.64681540000001"/>
    <n v="8.8989999999999991"/>
  </r>
  <r>
    <x v="44"/>
    <x v="14"/>
    <n v="758182.2"/>
    <x v="0"/>
    <n v="54.26"/>
    <n v="2.9820000000000002"/>
    <n v="181.6612792"/>
    <n v="8.8989999999999991"/>
  </r>
  <r>
    <x v="44"/>
    <x v="15"/>
    <n v="747888.25"/>
    <x v="0"/>
    <n v="62.62"/>
    <n v="2.9580000000000002"/>
    <n v="181.85384859999999"/>
    <n v="8.8989999999999991"/>
  </r>
  <r>
    <x v="44"/>
    <x v="16"/>
    <n v="801098.43"/>
    <x v="0"/>
    <n v="69.27"/>
    <n v="2.899"/>
    <n v="182.04641810000001"/>
    <n v="8.8989999999999991"/>
  </r>
  <r>
    <x v="44"/>
    <x v="17"/>
    <n v="837548.62"/>
    <x v="0"/>
    <n v="75.930000000000007"/>
    <n v="2.847"/>
    <n v="182.2389876"/>
    <n v="8.8989999999999991"/>
  </r>
  <r>
    <x v="44"/>
    <x v="18"/>
    <n v="794698.77"/>
    <x v="0"/>
    <n v="69.709999999999994"/>
    <n v="2.8090000000000002"/>
    <n v="182.43155709999999"/>
    <n v="8.8989999999999991"/>
  </r>
  <r>
    <x v="44"/>
    <x v="19"/>
    <n v="815130.5"/>
    <x v="0"/>
    <n v="72.62"/>
    <n v="2.78"/>
    <n v="182.4424199"/>
    <n v="8.8989999999999991"/>
  </r>
  <r>
    <x v="44"/>
    <x v="20"/>
    <n v="792299.15"/>
    <x v="0"/>
    <n v="79.319999999999993"/>
    <n v="2.8079999999999998"/>
    <n v="182.38059999999999"/>
    <n v="8.8989999999999991"/>
  </r>
  <r>
    <x v="44"/>
    <x v="21"/>
    <n v="800147.84"/>
    <x v="0"/>
    <n v="76.61"/>
    <n v="2.8149999999999999"/>
    <n v="182.3187801"/>
    <n v="8.7430000000000003"/>
  </r>
  <r>
    <x v="44"/>
    <x v="22"/>
    <n v="787062"/>
    <x v="0"/>
    <n v="82.45"/>
    <n v="2.7930000000000001"/>
    <n v="182.2569603"/>
    <n v="8.7430000000000003"/>
  </r>
  <r>
    <x v="44"/>
    <x v="23"/>
    <n v="723708.99"/>
    <x v="0"/>
    <n v="77.84"/>
    <n v="2.7829999999999999"/>
    <n v="182.26044110000001"/>
    <n v="8.7430000000000003"/>
  </r>
  <r>
    <x v="44"/>
    <x v="24"/>
    <n v="714601.11"/>
    <x v="0"/>
    <n v="81.459999999999994"/>
    <n v="2.7709999999999999"/>
    <n v="182.3509895"/>
    <n v="8.7430000000000003"/>
  </r>
  <r>
    <x v="44"/>
    <x v="25"/>
    <n v="716859.27"/>
    <x v="0"/>
    <n v="79.78"/>
    <n v="2.7810000000000001"/>
    <n v="182.44153779999999"/>
    <n v="8.7430000000000003"/>
  </r>
  <r>
    <x v="44"/>
    <x v="26"/>
    <n v="746517.32"/>
    <x v="0"/>
    <n v="77.17"/>
    <n v="2.7839999999999998"/>
    <n v="182.53208620000001"/>
    <n v="8.7430000000000003"/>
  </r>
  <r>
    <x v="44"/>
    <x v="27"/>
    <n v="722262.21"/>
    <x v="0"/>
    <n v="78.44"/>
    <n v="2.8050000000000002"/>
    <n v="182.6226346"/>
    <n v="8.7430000000000003"/>
  </r>
  <r>
    <x v="44"/>
    <x v="28"/>
    <n v="708568.29"/>
    <x v="0"/>
    <n v="76.010000000000005"/>
    <n v="2.7789999999999999"/>
    <n v="182.61652050000001"/>
    <n v="8.7430000000000003"/>
  </r>
  <r>
    <x v="44"/>
    <x v="29"/>
    <n v="721744.33"/>
    <x v="0"/>
    <n v="71.36"/>
    <n v="2.7549999999999999"/>
    <n v="182.61040629999999"/>
    <n v="8.7430000000000003"/>
  </r>
  <r>
    <x v="44"/>
    <x v="30"/>
    <n v="790144.7"/>
    <x v="0"/>
    <n v="78.37"/>
    <n v="2.7149999999999999"/>
    <n v="182.6042922"/>
    <n v="8.7430000000000003"/>
  </r>
  <r>
    <x v="44"/>
    <x v="31"/>
    <n v="721460.22"/>
    <x v="1"/>
    <n v="70.87"/>
    <n v="2.6989999999999998"/>
    <n v="182.59817799999999"/>
    <n v="8.7430000000000003"/>
  </r>
  <r>
    <x v="44"/>
    <x v="32"/>
    <n v="716987.58"/>
    <x v="0"/>
    <n v="66.55"/>
    <n v="2.706"/>
    <n v="182.62250900000001"/>
    <n v="8.7430000000000003"/>
  </r>
  <r>
    <x v="44"/>
    <x v="33"/>
    <n v="678228.58"/>
    <x v="0"/>
    <n v="68.59"/>
    <n v="2.7130000000000001"/>
    <n v="182.6696737"/>
    <n v="8.7430000000000003"/>
  </r>
  <r>
    <x v="44"/>
    <x v="34"/>
    <n v="690007.76"/>
    <x v="0"/>
    <n v="70.58"/>
    <n v="2.7069999999999999"/>
    <n v="182.71683849999999"/>
    <n v="8.7240000000000002"/>
  </r>
  <r>
    <x v="44"/>
    <x v="35"/>
    <n v="745782.1"/>
    <x v="0"/>
    <n v="56.49"/>
    <n v="2.7639999999999998"/>
    <n v="182.76400319999999"/>
    <n v="8.7240000000000002"/>
  </r>
  <r>
    <x v="44"/>
    <x v="36"/>
    <n v="715263.3"/>
    <x v="0"/>
    <n v="58.61"/>
    <n v="2.8679999999999999"/>
    <n v="182.81062030000001"/>
    <n v="8.7240000000000002"/>
  </r>
  <r>
    <x v="44"/>
    <x v="37"/>
    <n v="730899.37"/>
    <x v="0"/>
    <n v="53.15"/>
    <n v="2.9169999999999998"/>
    <n v="182.85586850000001"/>
    <n v="8.7240000000000002"/>
  </r>
  <r>
    <x v="44"/>
    <x v="38"/>
    <n v="732859.76"/>
    <x v="0"/>
    <n v="61.3"/>
    <n v="2.9209999999999998"/>
    <n v="182.90111659999999"/>
    <n v="8.7240000000000002"/>
  </r>
  <r>
    <x v="44"/>
    <x v="39"/>
    <n v="764014.06"/>
    <x v="0"/>
    <n v="45.65"/>
    <n v="2.9169999999999998"/>
    <n v="182.9463648"/>
    <n v="8.7240000000000002"/>
  </r>
  <r>
    <x v="44"/>
    <x v="40"/>
    <n v="765648.93"/>
    <x v="0"/>
    <n v="46.14"/>
    <n v="2.931"/>
    <n v="182.99161290000001"/>
    <n v="8.7240000000000002"/>
  </r>
  <r>
    <x v="44"/>
    <x v="41"/>
    <n v="723987.85"/>
    <x v="0"/>
    <n v="50.02"/>
    <n v="3"/>
    <n v="182.89893850000001"/>
    <n v="8.7240000000000002"/>
  </r>
  <r>
    <x v="44"/>
    <x v="42"/>
    <n v="1182500.1599999999"/>
    <x v="1"/>
    <n v="46.15"/>
    <n v="3.0390000000000001"/>
    <n v="182.7832769"/>
    <n v="8.7240000000000002"/>
  </r>
  <r>
    <x v="44"/>
    <x v="43"/>
    <n v="879244.9"/>
    <x v="0"/>
    <n v="40.93"/>
    <n v="3.0459999999999998"/>
    <n v="182.66761539999999"/>
    <n v="8.7240000000000002"/>
  </r>
  <r>
    <x v="44"/>
    <x v="44"/>
    <n v="1002364.34"/>
    <x v="0"/>
    <n v="30.54"/>
    <n v="3.109"/>
    <n v="182.55195380000001"/>
    <n v="8.7240000000000002"/>
  </r>
  <r>
    <x v="44"/>
    <x v="45"/>
    <n v="1123282.8500000001"/>
    <x v="0"/>
    <n v="30.51"/>
    <n v="3.14"/>
    <n v="182.517732"/>
    <n v="8.7240000000000002"/>
  </r>
  <r>
    <x v="44"/>
    <x v="46"/>
    <n v="1682862.03"/>
    <x v="0"/>
    <n v="30.59"/>
    <n v="3.141"/>
    <n v="182.54459"/>
    <n v="8.7240000000000002"/>
  </r>
  <r>
    <x v="44"/>
    <x v="47"/>
    <n v="679156.2"/>
    <x v="1"/>
    <n v="29.67"/>
    <n v="3.1789999999999998"/>
    <n v="182.57144790000001"/>
    <n v="8.7240000000000002"/>
  </r>
  <r>
    <x v="44"/>
    <x v="48"/>
    <n v="680254.35"/>
    <x v="0"/>
    <n v="34.32"/>
    <n v="3.1930000000000001"/>
    <n v="182.59830579999999"/>
    <n v="8.5489999999999995"/>
  </r>
  <r>
    <x v="44"/>
    <x v="49"/>
    <n v="654018.94999999995"/>
    <x v="0"/>
    <n v="24.78"/>
    <n v="3.2050000000000001"/>
    <n v="182.65857819999999"/>
    <n v="8.5489999999999995"/>
  </r>
  <r>
    <x v="44"/>
    <x v="50"/>
    <n v="644285.32999999996"/>
    <x v="0"/>
    <n v="30.55"/>
    <n v="3.2290000000000001"/>
    <n v="182.9193368"/>
    <n v="8.5489999999999995"/>
  </r>
  <r>
    <x v="44"/>
    <x v="51"/>
    <n v="617207.57999999996"/>
    <x v="0"/>
    <n v="24.05"/>
    <n v="3.2370000000000001"/>
    <n v="183.18009549999999"/>
    <n v="8.5489999999999995"/>
  </r>
  <r>
    <x v="44"/>
    <x v="52"/>
    <n v="759442.33"/>
    <x v="0"/>
    <n v="28.73"/>
    <n v="3.2309999999999999"/>
    <n v="183.44085419999999"/>
    <n v="8.5489999999999995"/>
  </r>
  <r>
    <x v="44"/>
    <x v="53"/>
    <n v="766456"/>
    <x v="1"/>
    <n v="30.3"/>
    <n v="3.2389999999999999"/>
    <n v="183.70161289999999"/>
    <n v="8.5489999999999995"/>
  </r>
  <r>
    <x v="44"/>
    <x v="54"/>
    <n v="802253.41"/>
    <x v="0"/>
    <n v="40.700000000000003"/>
    <n v="3.2450000000000001"/>
    <n v="183.93713529999999"/>
    <n v="8.5489999999999995"/>
  </r>
  <r>
    <x v="44"/>
    <x v="55"/>
    <n v="733716.78"/>
    <x v="0"/>
    <n v="35.78"/>
    <n v="3.274"/>
    <n v="184.16256319999999"/>
    <n v="8.5489999999999995"/>
  </r>
  <r>
    <x v="44"/>
    <x v="56"/>
    <n v="761880.36"/>
    <x v="0"/>
    <n v="38.65"/>
    <n v="3.4329999999999998"/>
    <n v="184.38799109999999"/>
    <n v="8.5489999999999995"/>
  </r>
  <r>
    <x v="44"/>
    <x v="57"/>
    <n v="714014.73"/>
    <x v="0"/>
    <n v="45.01"/>
    <n v="3.5819999999999999"/>
    <n v="184.61341899999999"/>
    <n v="8.5489999999999995"/>
  </r>
  <r>
    <x v="44"/>
    <x v="58"/>
    <n v="733564.77"/>
    <x v="0"/>
    <n v="46.66"/>
    <n v="3.6309999999999998"/>
    <n v="184.809719"/>
    <n v="8.5489999999999995"/>
  </r>
  <r>
    <x v="44"/>
    <x v="59"/>
    <n v="719737.25"/>
    <x v="0"/>
    <n v="41.76"/>
    <n v="3.625"/>
    <n v="184.99436789999999"/>
    <n v="8.5489999999999995"/>
  </r>
  <r>
    <x v="44"/>
    <x v="60"/>
    <n v="712425.76"/>
    <x v="0"/>
    <n v="37.270000000000003"/>
    <n v="3.6379999999999999"/>
    <n v="185.17901670000001"/>
    <n v="8.5210000000000008"/>
  </r>
  <r>
    <x v="44"/>
    <x v="61"/>
    <n v="750182.71"/>
    <x v="0"/>
    <n v="48.71"/>
    <n v="3.72"/>
    <n v="185.36366559999999"/>
    <n v="8.5210000000000008"/>
  </r>
  <r>
    <x v="44"/>
    <x v="62"/>
    <n v="765270.02"/>
    <x v="0"/>
    <n v="53.69"/>
    <n v="3.8210000000000002"/>
    <n v="185.5339821"/>
    <n v="8.5210000000000008"/>
  </r>
  <r>
    <x v="44"/>
    <x v="63"/>
    <n v="813630.44"/>
    <x v="0"/>
    <n v="53.04"/>
    <n v="3.8919999999999999"/>
    <n v="185.6684673"/>
    <n v="8.5210000000000008"/>
  </r>
  <r>
    <x v="44"/>
    <x v="64"/>
    <n v="786561.61"/>
    <x v="0"/>
    <n v="66.180000000000007"/>
    <n v="3.9620000000000002"/>
    <n v="185.8029526"/>
    <n v="8.5210000000000008"/>
  </r>
  <r>
    <x v="44"/>
    <x v="65"/>
    <n v="810150.64"/>
    <x v="0"/>
    <n v="58.21"/>
    <n v="4.0460000000000003"/>
    <n v="185.9374378"/>
    <n v="8.5210000000000008"/>
  </r>
  <r>
    <x v="44"/>
    <x v="66"/>
    <n v="793889.1"/>
    <x v="0"/>
    <n v="60.38"/>
    <n v="4.0659999999999998"/>
    <n v="186.07192309999999"/>
    <n v="8.5210000000000008"/>
  </r>
  <r>
    <x v="44"/>
    <x v="67"/>
    <n v="727163.67"/>
    <x v="0"/>
    <n v="62.28"/>
    <n v="4.0620000000000003"/>
    <n v="185.96611540000001"/>
    <n v="8.5210000000000008"/>
  </r>
  <r>
    <x v="44"/>
    <x v="68"/>
    <n v="817653.25"/>
    <x v="0"/>
    <n v="69.7"/>
    <n v="3.9849999999999999"/>
    <n v="185.86030769999999"/>
    <n v="8.5210000000000008"/>
  </r>
  <r>
    <x v="44"/>
    <x v="69"/>
    <n v="877423.45"/>
    <x v="0"/>
    <n v="76.38"/>
    <n v="3.9220000000000002"/>
    <n v="185.75450000000001"/>
    <n v="8.5210000000000008"/>
  </r>
  <r>
    <x v="44"/>
    <x v="70"/>
    <n v="814395.17"/>
    <x v="0"/>
    <n v="73.88"/>
    <n v="3.8809999999999998"/>
    <n v="185.64869229999999"/>
    <n v="8.5210000000000008"/>
  </r>
  <r>
    <x v="44"/>
    <x v="71"/>
    <n v="811153.67"/>
    <x v="0"/>
    <n v="69.319999999999993"/>
    <n v="3.8420000000000001"/>
    <n v="185.67193330000001"/>
    <n v="8.5210000000000008"/>
  </r>
  <r>
    <x v="44"/>
    <x v="72"/>
    <n v="762861.78"/>
    <x v="0"/>
    <n v="74.849999999999994"/>
    <n v="3.8039999999999998"/>
    <n v="185.79196089999999"/>
    <n v="8.5210000000000008"/>
  </r>
  <r>
    <x v="44"/>
    <x v="73"/>
    <n v="791495.25"/>
    <x v="0"/>
    <n v="74.040000000000006"/>
    <n v="3.7480000000000002"/>
    <n v="185.91198850000001"/>
    <n v="8.625"/>
  </r>
  <r>
    <x v="44"/>
    <x v="74"/>
    <n v="768718.11"/>
    <x v="0"/>
    <n v="77.489999999999995"/>
    <n v="3.7109999999999999"/>
    <n v="186.032016"/>
    <n v="8.625"/>
  </r>
  <r>
    <x v="44"/>
    <x v="75"/>
    <n v="748435.2"/>
    <x v="0"/>
    <n v="78.47"/>
    <n v="3.76"/>
    <n v="186.13998079999999"/>
    <n v="8.625"/>
  </r>
  <r>
    <x v="44"/>
    <x v="76"/>
    <n v="741625.25"/>
    <x v="0"/>
    <n v="82.33"/>
    <n v="3.8109999999999999"/>
    <n v="186.21778850000001"/>
    <n v="8.625"/>
  </r>
  <r>
    <x v="44"/>
    <x v="77"/>
    <n v="704680.97"/>
    <x v="0"/>
    <n v="81.31"/>
    <n v="3.8290000000000002"/>
    <n v="186.29559620000001"/>
    <n v="8.625"/>
  </r>
  <r>
    <x v="44"/>
    <x v="78"/>
    <n v="765996.92"/>
    <x v="0"/>
    <n v="78.22"/>
    <n v="3.8420000000000001"/>
    <n v="186.37340380000001"/>
    <n v="8.625"/>
  </r>
  <r>
    <x v="44"/>
    <x v="79"/>
    <n v="724180.89"/>
    <x v="0"/>
    <n v="77"/>
    <n v="3.8119999999999998"/>
    <n v="186.4512115"/>
    <n v="8.625"/>
  </r>
  <r>
    <x v="44"/>
    <x v="80"/>
    <n v="712362.72"/>
    <x v="0"/>
    <n v="72.98"/>
    <n v="3.7469999999999999"/>
    <n v="186.5093071"/>
    <n v="8.625"/>
  </r>
  <r>
    <x v="44"/>
    <x v="81"/>
    <n v="833979.01"/>
    <x v="0"/>
    <n v="72.55"/>
    <n v="3.7040000000000002"/>
    <n v="186.5641172"/>
    <n v="8.625"/>
  </r>
  <r>
    <x v="44"/>
    <x v="82"/>
    <n v="726482.39"/>
    <x v="0"/>
    <n v="70.63"/>
    <n v="3.7029999999999998"/>
    <n v="186.61892739999999"/>
    <n v="8.625"/>
  </r>
  <r>
    <x v="44"/>
    <x v="83"/>
    <n v="746129.56"/>
    <x v="1"/>
    <n v="71.48"/>
    <n v="3.738"/>
    <n v="186.67373760000001"/>
    <n v="8.625"/>
  </r>
  <r>
    <x v="44"/>
    <x v="84"/>
    <n v="711367.56"/>
    <x v="0"/>
    <n v="69.17"/>
    <n v="3.742"/>
    <n v="186.80240000000001"/>
    <n v="8.625"/>
  </r>
  <r>
    <x v="44"/>
    <x v="85"/>
    <n v="714106.42"/>
    <x v="0"/>
    <n v="63.75"/>
    <n v="3.7109999999999999"/>
    <n v="187.02953210000001"/>
    <n v="8.625"/>
  </r>
  <r>
    <x v="44"/>
    <x v="86"/>
    <n v="698986.34"/>
    <x v="0"/>
    <n v="70.66"/>
    <n v="3.645"/>
    <n v="187.25666409999999"/>
    <n v="8.625"/>
  </r>
  <r>
    <x v="44"/>
    <x v="87"/>
    <n v="753447.05"/>
    <x v="0"/>
    <n v="55.82"/>
    <n v="3.5830000000000002"/>
    <n v="187.4837962"/>
    <n v="8.5229999999999997"/>
  </r>
  <r>
    <x v="44"/>
    <x v="88"/>
    <n v="720946.99"/>
    <x v="0"/>
    <n v="63.82"/>
    <n v="3.5409999999999999"/>
    <n v="187.69174810000001"/>
    <n v="8.5229999999999997"/>
  </r>
  <r>
    <x v="44"/>
    <x v="89"/>
    <n v="771686.40000000002"/>
    <x v="0"/>
    <n v="59.6"/>
    <n v="3.57"/>
    <n v="187.78461970000001"/>
    <n v="8.5229999999999997"/>
  </r>
  <r>
    <x v="44"/>
    <x v="90"/>
    <n v="781694.57"/>
    <x v="0"/>
    <n v="51.78"/>
    <n v="3.569"/>
    <n v="187.8774913"/>
    <n v="8.5229999999999997"/>
  </r>
  <r>
    <x v="44"/>
    <x v="91"/>
    <n v="833429.22"/>
    <x v="0"/>
    <n v="43.92"/>
    <n v="3.5510000000000002"/>
    <n v="187.9703629"/>
    <n v="8.5229999999999997"/>
  </r>
  <r>
    <x v="44"/>
    <x v="92"/>
    <n v="808624.82"/>
    <x v="0"/>
    <n v="47.65"/>
    <n v="3.53"/>
    <n v="188.06323449999999"/>
    <n v="8.5229999999999997"/>
  </r>
  <r>
    <x v="44"/>
    <x v="93"/>
    <n v="773603.77"/>
    <x v="0"/>
    <n v="51.34"/>
    <n v="3.53"/>
    <n v="188.1983654"/>
    <n v="8.5229999999999997"/>
  </r>
  <r>
    <x v="44"/>
    <x v="94"/>
    <n v="1170672.94"/>
    <x v="1"/>
    <n v="48.71"/>
    <n v="3.492"/>
    <n v="188.35040000000001"/>
    <n v="8.5229999999999997"/>
  </r>
  <r>
    <x v="44"/>
    <x v="95"/>
    <n v="875699.81"/>
    <x v="0"/>
    <n v="50.19"/>
    <n v="3.452"/>
    <n v="188.50243459999999"/>
    <n v="8.5229999999999997"/>
  </r>
  <r>
    <x v="44"/>
    <x v="96"/>
    <n v="957155.31"/>
    <x v="0"/>
    <n v="46.57"/>
    <n v="3.415"/>
    <n v="188.65446919999999"/>
    <n v="8.5229999999999997"/>
  </r>
  <r>
    <x v="44"/>
    <x v="97"/>
    <n v="1078905.68"/>
    <x v="0"/>
    <n v="39.93"/>
    <n v="3.4129999999999998"/>
    <n v="188.7979349"/>
    <n v="8.5229999999999997"/>
  </r>
  <r>
    <x v="44"/>
    <x v="98"/>
    <n v="1521957.99"/>
    <x v="0"/>
    <n v="42.27"/>
    <n v="3.3889999999999998"/>
    <n v="188.9299752"/>
    <n v="8.5229999999999997"/>
  </r>
  <r>
    <x v="44"/>
    <x v="99"/>
    <n v="869403.63"/>
    <x v="1"/>
    <n v="37.79"/>
    <n v="3.3889999999999998"/>
    <n v="189.0620155"/>
    <n v="8.5229999999999997"/>
  </r>
  <r>
    <x v="44"/>
    <x v="100"/>
    <n v="714081.05"/>
    <x v="0"/>
    <n v="35.880000000000003"/>
    <n v="3.4220000000000002"/>
    <n v="189.1940558"/>
    <n v="8.4239999999999995"/>
  </r>
  <r>
    <x v="44"/>
    <x v="101"/>
    <n v="676615.53"/>
    <x v="0"/>
    <n v="41.18"/>
    <n v="3.5129999999999999"/>
    <n v="189.32609619999999"/>
    <n v="8.4239999999999995"/>
  </r>
  <r>
    <x v="44"/>
    <x v="102"/>
    <n v="700392.21"/>
    <x v="0"/>
    <n v="31.85"/>
    <n v="3.5329999999999999"/>
    <n v="189.4214733"/>
    <n v="8.4239999999999995"/>
  </r>
  <r>
    <x v="44"/>
    <x v="103"/>
    <n v="624081.64"/>
    <x v="0"/>
    <n v="37.93"/>
    <n v="3.5670000000000002"/>
    <n v="189.5168505"/>
    <n v="8.4239999999999995"/>
  </r>
  <r>
    <x v="44"/>
    <x v="104"/>
    <n v="757330.95"/>
    <x v="0"/>
    <n v="42.96"/>
    <n v="3.617"/>
    <n v="189.61222770000001"/>
    <n v="8.4239999999999995"/>
  </r>
  <r>
    <x v="44"/>
    <x v="105"/>
    <n v="803657.12"/>
    <x v="1"/>
    <n v="37"/>
    <n v="3.64"/>
    <n v="189.70760480000001"/>
    <n v="8.4239999999999995"/>
  </r>
  <r>
    <x v="44"/>
    <x v="106"/>
    <n v="858853.75"/>
    <x v="0"/>
    <n v="36.85"/>
    <n v="3.6949999999999998"/>
    <n v="189.84248339999999"/>
    <n v="8.4239999999999995"/>
  </r>
  <r>
    <x v="44"/>
    <x v="107"/>
    <n v="753060.78"/>
    <x v="0"/>
    <n v="42.86"/>
    <n v="3.7389999999999999"/>
    <n v="190.0069881"/>
    <n v="8.4239999999999995"/>
  </r>
  <r>
    <x v="44"/>
    <x v="108"/>
    <n v="782796.01"/>
    <x v="0"/>
    <n v="41.55"/>
    <n v="3.8159999999999998"/>
    <n v="190.17149269999999"/>
    <n v="8.4239999999999995"/>
  </r>
  <r>
    <x v="44"/>
    <x v="109"/>
    <n v="776968.87"/>
    <x v="0"/>
    <n v="45.52"/>
    <n v="3.8479999999999999"/>
    <n v="190.3359973"/>
    <n v="8.4239999999999995"/>
  </r>
  <r>
    <x v="44"/>
    <x v="110"/>
    <n v="788340.23"/>
    <x v="0"/>
    <n v="50.56"/>
    <n v="3.8620000000000001"/>
    <n v="190.4618964"/>
    <n v="8.4239999999999995"/>
  </r>
  <r>
    <x v="44"/>
    <x v="111"/>
    <n v="791835.37"/>
    <x v="0"/>
    <n v="59.45"/>
    <n v="3.9"/>
    <n v="190.5363213"/>
    <n v="8.4239999999999995"/>
  </r>
  <r>
    <x v="44"/>
    <x v="112"/>
    <n v="777254.06"/>
    <x v="0"/>
    <n v="50.04"/>
    <n v="3.9529999999999998"/>
    <n v="190.61074629999999"/>
    <n v="8.4239999999999995"/>
  </r>
  <r>
    <x v="44"/>
    <x v="113"/>
    <n v="899479.43"/>
    <x v="0"/>
    <n v="49.73"/>
    <n v="3.996"/>
    <n v="190.68517120000001"/>
    <n v="8.5670000000000002"/>
  </r>
  <r>
    <x v="44"/>
    <x v="114"/>
    <n v="781970.6"/>
    <x v="0"/>
    <n v="51.83"/>
    <n v="4.0439999999999996"/>
    <n v="190.7595962"/>
    <n v="8.5670000000000002"/>
  </r>
  <r>
    <x v="44"/>
    <x v="115"/>
    <n v="776661.74"/>
    <x v="0"/>
    <n v="63.13"/>
    <n v="4.0270000000000001"/>
    <n v="190.81380129999999"/>
    <n v="8.5670000000000002"/>
  </r>
  <r>
    <x v="44"/>
    <x v="116"/>
    <n v="711571.88"/>
    <x v="0"/>
    <n v="53.2"/>
    <n v="4.0039999999999996"/>
    <n v="190.86800640000001"/>
    <n v="8.5670000000000002"/>
  </r>
  <r>
    <x v="44"/>
    <x v="117"/>
    <n v="782300.68"/>
    <x v="0"/>
    <n v="55.21"/>
    <n v="3.9510000000000001"/>
    <n v="190.9222115"/>
    <n v="8.5670000000000002"/>
  </r>
  <r>
    <x v="44"/>
    <x v="118"/>
    <n v="770487.37"/>
    <x v="0"/>
    <n v="61.24"/>
    <n v="3.8889999999999998"/>
    <n v="190.97641669999999"/>
    <n v="8.5670000000000002"/>
  </r>
  <r>
    <x v="44"/>
    <x v="119"/>
    <n v="800842.28"/>
    <x v="0"/>
    <n v="66.3"/>
    <n v="3.8479999999999999"/>
    <n v="190.99644789999999"/>
    <n v="8.5670000000000002"/>
  </r>
  <r>
    <x v="44"/>
    <x v="120"/>
    <n v="817741.17"/>
    <x v="0"/>
    <n v="67.209999999999994"/>
    <n v="3.798"/>
    <n v="191.00280960000001"/>
    <n v="8.5670000000000002"/>
  </r>
  <r>
    <x v="44"/>
    <x v="121"/>
    <n v="837144.63"/>
    <x v="0"/>
    <n v="74.48"/>
    <n v="3.742"/>
    <n v="191.0091712"/>
    <n v="8.5670000000000002"/>
  </r>
  <r>
    <x v="44"/>
    <x v="122"/>
    <n v="795133"/>
    <x v="0"/>
    <n v="64.3"/>
    <n v="3.6890000000000001"/>
    <n v="191.01553290000001"/>
    <n v="8.5670000000000002"/>
  </r>
  <r>
    <x v="44"/>
    <x v="123"/>
    <n v="821498.18"/>
    <x v="0"/>
    <n v="71.930000000000007"/>
    <n v="3.62"/>
    <n v="191.02997310000001"/>
    <n v="8.5670000000000002"/>
  </r>
  <r>
    <x v="44"/>
    <x v="124"/>
    <n v="822569.16"/>
    <x v="0"/>
    <n v="74.22"/>
    <n v="3.5640000000000001"/>
    <n v="191.06460960000001"/>
    <n v="8.5670000000000002"/>
  </r>
  <r>
    <x v="44"/>
    <x v="125"/>
    <n v="773367.71"/>
    <x v="0"/>
    <n v="75.22"/>
    <n v="3.5059999999999998"/>
    <n v="191.09924620000001"/>
    <n v="8.5670000000000002"/>
  </r>
  <r>
    <x v="44"/>
    <x v="126"/>
    <n v="843361.1"/>
    <x v="0"/>
    <n v="82.99"/>
    <n v="3.4750000000000001"/>
    <n v="191.13388269999999"/>
    <n v="8.6839999999999993"/>
  </r>
  <r>
    <x v="44"/>
    <x v="127"/>
    <n v="749817.08"/>
    <x v="0"/>
    <n v="79.97"/>
    <n v="3.5230000000000001"/>
    <n v="191.16851919999999"/>
    <n v="8.6839999999999993"/>
  </r>
  <r>
    <x v="44"/>
    <x v="128"/>
    <n v="737613.65"/>
    <x v="0"/>
    <n v="78.89"/>
    <n v="3.5670000000000002"/>
    <n v="191.16704279999999"/>
    <n v="8.6839999999999993"/>
  </r>
  <r>
    <x v="44"/>
    <x v="129"/>
    <n v="711671.58"/>
    <x v="0"/>
    <n v="77.2"/>
    <n v="3.6469999999999998"/>
    <n v="191.16556639999999"/>
    <n v="8.6839999999999993"/>
  </r>
  <r>
    <x v="44"/>
    <x v="130"/>
    <n v="725729.51"/>
    <x v="0"/>
    <n v="76.58"/>
    <n v="3.6539999999999999"/>
    <n v="191.16408999999999"/>
    <n v="8.6839999999999993"/>
  </r>
  <r>
    <x v="44"/>
    <x v="131"/>
    <n v="733037.32"/>
    <x v="0"/>
    <n v="78.650000000000006"/>
    <n v="3.722"/>
    <n v="191.16261349999999"/>
    <n v="8.6839999999999993"/>
  </r>
  <r>
    <x v="44"/>
    <x v="132"/>
    <n v="722496.93"/>
    <x v="0"/>
    <n v="75.709999999999994"/>
    <n v="3.8069999999999999"/>
    <n v="191.22849189999999"/>
    <n v="8.6839999999999993"/>
  </r>
  <r>
    <x v="44"/>
    <x v="133"/>
    <n v="718232.26"/>
    <x v="0"/>
    <n v="72.62"/>
    <n v="3.8340000000000001"/>
    <n v="191.3448865"/>
    <n v="8.6839999999999993"/>
  </r>
  <r>
    <x v="44"/>
    <x v="134"/>
    <n v="734297.87"/>
    <x v="0"/>
    <n v="75.09"/>
    <n v="3.867"/>
    <n v="191.46128100000001"/>
    <n v="8.6839999999999993"/>
  </r>
  <r>
    <x v="44"/>
    <x v="135"/>
    <n v="766512.66"/>
    <x v="1"/>
    <n v="75.7"/>
    <n v="3.911"/>
    <n v="191.57767559999999"/>
    <n v="8.6839999999999993"/>
  </r>
  <r>
    <x v="44"/>
    <x v="136"/>
    <n v="702238.27"/>
    <x v="0"/>
    <n v="67.87"/>
    <n v="3.948"/>
    <n v="191.69985"/>
    <n v="8.6839999999999993"/>
  </r>
  <r>
    <x v="44"/>
    <x v="137"/>
    <n v="723086.2"/>
    <x v="0"/>
    <n v="65.319999999999993"/>
    <n v="4.0380000000000003"/>
    <n v="191.85670379999999"/>
    <n v="8.6839999999999993"/>
  </r>
  <r>
    <x v="44"/>
    <x v="138"/>
    <n v="713173.95"/>
    <x v="0"/>
    <n v="64.88"/>
    <n v="3.9969999999999999"/>
    <n v="192.01355770000001"/>
    <n v="8.6839999999999993"/>
  </r>
  <r>
    <x v="44"/>
    <x v="139"/>
    <n v="733455.07"/>
    <x v="0"/>
    <n v="64.89"/>
    <n v="3.9849999999999999"/>
    <n v="192.1704115"/>
    <n v="8.6669999999999998"/>
  </r>
  <r>
    <x v="44"/>
    <x v="140"/>
    <n v="734464.36"/>
    <x v="0"/>
    <n v="54.47"/>
    <n v="4"/>
    <n v="192.32726539999999"/>
    <n v="8.6669999999999998"/>
  </r>
  <r>
    <x v="44"/>
    <x v="141"/>
    <n v="718125.53"/>
    <x v="0"/>
    <n v="56.47"/>
    <n v="3.9689999999999999"/>
    <n v="192.3308542"/>
    <n v="8.6669999999999998"/>
  </r>
  <r>
    <x v="44"/>
    <x v="142"/>
    <n v="760281.43"/>
    <x v="0"/>
    <n v="58.85"/>
    <n v="3.8820000000000001"/>
    <n v="192.3088989"/>
    <n v="8.666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60248-8DB4-4917-A1BE-992FEDCA38DE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oliday">
  <location ref="P5:Q7" firstHeaderRow="1" firstDataRow="1" firstDataCol="1"/>
  <pivotFields count="11">
    <pivotField showAll="0"/>
    <pivotField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2">
    <i>
      <x/>
    </i>
    <i>
      <x v="1"/>
    </i>
  </rowItems>
  <colItems count="1">
    <i/>
  </colItems>
  <dataFields count="1">
    <dataField name="Avg of Weekly_Sales" fld="2" subtotal="average" baseField="0" baseItem="0" numFmtId="168"/>
  </dataFields>
  <formats count="20">
    <format dxfId="26">
      <pivotArea outline="0" collapsedLevelsAreSubtotals="1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3" type="button" dataOnly="0" labelOnly="1" outline="0" axis="axisRow" fieldPosition="0"/>
    </format>
    <format dxfId="22">
      <pivotArea dataOnly="0" labelOnly="1" fieldPosition="0">
        <references count="1">
          <reference field="3" count="0"/>
        </references>
      </pivotArea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3" type="button" dataOnly="0" labelOnly="1" outline="0" axis="axisRow" fieldPosition="0"/>
    </format>
    <format dxfId="17">
      <pivotArea dataOnly="0" labelOnly="1" fieldPosition="0">
        <references count="1">
          <reference field="3" count="0"/>
        </references>
      </pivotArea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3" type="button" dataOnly="0" labelOnly="1" outline="0" axis="axisRow" fieldPosition="0"/>
    </format>
    <format dxfId="12">
      <pivotArea dataOnly="0" labelOnly="1" fieldPosition="0">
        <references count="1">
          <reference field="3" count="0"/>
        </references>
      </pivotArea>
    </format>
    <format dxfId="11">
      <pivotArea dataOnly="0" labelOnly="1" outline="0" axis="axisValues" fieldPosition="0"/>
    </format>
    <format dxfId="10">
      <pivotArea collapsedLevelsAreSubtotals="1" fieldPosition="0">
        <references count="1">
          <reference field="3" count="1">
            <x v="0"/>
          </reference>
        </references>
      </pivotArea>
    </format>
    <format dxfId="9">
      <pivotArea collapsedLevelsAreSubtotals="1" fieldPosition="0">
        <references count="1">
          <reference field="3" count="1">
            <x v="1"/>
          </reference>
        </references>
      </pivotArea>
    </format>
    <format dxfId="8">
      <pivotArea field="3" type="button" dataOnly="0" labelOnly="1" outline="0" axis="axisRow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FD2E5-C52E-44C2-9E4F-E692DED81E8A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Month">
  <location ref="M5:N17" firstHeaderRow="1" firstDataRow="1" firstDataCol="1"/>
  <pivotFields count="11">
    <pivotField showAll="0"/>
    <pivotField axis="axisRow"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8"/>
    <field x="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 of Weekly_Sales" fld="2" baseField="0" baseItem="0" numFmtId="166"/>
  </dataFields>
  <formats count="8">
    <format dxfId="34">
      <pivotArea outline="0" collapsedLevelsAreSubtotals="1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8" type="button" dataOnly="0" labelOnly="1" outline="0" axis="axisRow" fieldPosition="0"/>
    </format>
    <format dxfId="30">
      <pivotArea dataOnly="0" labelOnly="1" fieldPosition="0">
        <references count="1"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9">
      <pivotArea dataOnly="0" labelOnly="1" outline="0" axis="axisValues" fieldPosition="0"/>
    </format>
    <format dxfId="28">
      <pivotArea field="8" type="button" dataOnly="0" labelOnly="1" outline="0" axis="axisRow" fieldPosition="0"/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9D807-4279-4E57-9F81-684F414DB5DE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 rowHeaderCaption="Store">
  <location ref="G14:H19" firstHeaderRow="1" firstDataRow="1" firstDataCol="1"/>
  <pivotFields count="11">
    <pivotField axis="axisRow" showAll="0" measureFilter="1" sortType="descending">
      <items count="46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5">
    <i>
      <x v="31"/>
    </i>
    <i>
      <x v="29"/>
    </i>
    <i>
      <x v="40"/>
    </i>
    <i>
      <x v="38"/>
    </i>
    <i>
      <x v="26"/>
    </i>
  </rowItems>
  <colItems count="1">
    <i/>
  </colItems>
  <dataFields count="1">
    <dataField name="Total_Weekly_Sales" fld="2" baseField="0" baseItem="0"/>
  </dataFields>
  <formats count="15">
    <format dxfId="49">
      <pivotArea collapsedLevelsAreSubtotals="1" fieldPosition="0">
        <references count="1">
          <reference field="0" count="1">
            <x v="12"/>
          </reference>
        </references>
      </pivotArea>
    </format>
    <format dxfId="48">
      <pivotArea collapsedLevelsAreSubtotals="1" fieldPosition="0">
        <references count="1">
          <reference field="0" count="4">
            <x v="4"/>
            <x v="5"/>
            <x v="11"/>
            <x v="33"/>
          </reference>
        </references>
      </pivotArea>
    </format>
    <format dxfId="47">
      <pivotArea collapsedLevelsAreSubtotals="1" fieldPosition="0">
        <references count="1">
          <reference field="0" count="5">
            <x v="26"/>
            <x v="29"/>
            <x v="31"/>
            <x v="38"/>
            <x v="40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5">
            <x v="26"/>
            <x v="29"/>
            <x v="31"/>
            <x v="38"/>
            <x v="40"/>
          </reference>
        </references>
      </pivotArea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5">
            <x v="26"/>
            <x v="29"/>
            <x v="31"/>
            <x v="38"/>
            <x v="40"/>
          </reference>
        </references>
      </pivotArea>
    </format>
    <format dxfId="37">
      <pivotArea dataOnly="0" labelOnly="1" outline="0" axis="axisValues" fieldPosition="0"/>
    </format>
    <format dxfId="36">
      <pivotArea field="0" type="button" dataOnly="0" labelOnly="1" outline="0" axis="axisRow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5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5E50C-281A-4040-902F-5C813BDC4A0B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 rowHeaderCaption="Store">
  <location ref="G5:H10" firstHeaderRow="1" firstDataRow="1" firstDataCol="1"/>
  <pivotFields count="11">
    <pivotField axis="axisRow" showAll="0" measureFilter="1" sortType="descending">
      <items count="46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5">
    <i>
      <x v="12"/>
    </i>
    <i>
      <x v="33"/>
    </i>
    <i>
      <x v="5"/>
    </i>
    <i>
      <x v="4"/>
    </i>
    <i>
      <x v="11"/>
    </i>
  </rowItems>
  <colItems count="1">
    <i/>
  </colItems>
  <dataFields count="1">
    <dataField name="Total_Weekly_Sales" fld="2" baseField="0" baseItem="0"/>
  </dataFields>
  <formats count="15">
    <format dxfId="64">
      <pivotArea collapsedLevelsAreSubtotals="1" fieldPosition="0">
        <references count="1">
          <reference field="0" count="1">
            <x v="12"/>
          </reference>
        </references>
      </pivotArea>
    </format>
    <format dxfId="63">
      <pivotArea collapsedLevelsAreSubtotals="1" fieldPosition="0">
        <references count="1">
          <reference field="0" count="4">
            <x v="4"/>
            <x v="5"/>
            <x v="11"/>
            <x v="33"/>
          </reference>
        </references>
      </pivotArea>
    </format>
    <format dxfId="62">
      <pivotArea collapsedLevelsAreSubtotals="1" fieldPosition="0">
        <references count="1">
          <reference field="0" count="5">
            <x v="26"/>
            <x v="29"/>
            <x v="31"/>
            <x v="38"/>
            <x v="40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0" type="button" dataOnly="0" labelOnly="1" outline="0" axis="axisRow" fieldPosition="0"/>
    </format>
    <format dxfId="58">
      <pivotArea dataOnly="0" labelOnly="1" fieldPosition="0">
        <references count="1">
          <reference field="0" count="5">
            <x v="4"/>
            <x v="5"/>
            <x v="11"/>
            <x v="12"/>
            <x v="33"/>
          </reference>
        </references>
      </pivotArea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0" type="button" dataOnly="0" labelOnly="1" outline="0" axis="axisRow" fieldPosition="0"/>
    </format>
    <format dxfId="53">
      <pivotArea dataOnly="0" labelOnly="1" fieldPosition="0">
        <references count="1">
          <reference field="0" count="5">
            <x v="4"/>
            <x v="5"/>
            <x v="11"/>
            <x v="12"/>
            <x v="33"/>
          </reference>
        </references>
      </pivotArea>
    </format>
    <format dxfId="52">
      <pivotArea dataOnly="0" labelOnly="1" outline="0" axis="axisValues" fieldPosition="0"/>
    </format>
    <format dxfId="51">
      <pivotArea field="0" type="button" dataOnly="0" labelOnly="1" outline="0" axis="axisRow" fieldPosition="0"/>
    </format>
    <format dxfId="5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BD3AC-049F-4E82-9820-55C69677D57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ate">
  <location ref="J5:K149" firstHeaderRow="1" firstDataRow="1" firstDataCol="1"/>
  <pivotFields count="11">
    <pivotField showAll="0"/>
    <pivotField axis="axisRow"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1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 t="grand">
      <x/>
    </i>
  </rowItems>
  <colItems count="1">
    <i/>
  </colItems>
  <dataFields count="1">
    <dataField name="Sum of Weekly_Sales" fld="2" baseField="0" baseItem="0"/>
  </dataFields>
  <formats count="19">
    <format dxfId="83">
      <pivotArea collapsedLevelsAreSubtotals="1" fieldPosition="0">
        <references count="1">
          <reference field="1" count="1">
            <x v="0"/>
          </reference>
        </references>
      </pivotArea>
    </format>
    <format dxfId="82">
      <pivotArea collapsedLevelsAreSubtotals="1" fieldPosition="0">
        <references count="1">
          <reference field="1" count="2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</reference>
        </references>
      </pivotArea>
    </format>
    <format dxfId="81">
      <pivotArea field="1" type="button" dataOnly="0" labelOnly="1" outline="0" axis="axisRow" fieldPosition="0"/>
    </format>
    <format dxfId="80">
      <pivotArea dataOnly="0" labelOnly="1" fieldPosition="0">
        <references count="1">
          <reference field="1" count="2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</reference>
        </references>
      </pivotArea>
    </format>
    <format dxfId="79">
      <pivotArea dataOnly="0" labelOnly="1" outline="0" axis="axisValues" fieldPosition="0"/>
    </format>
    <format dxfId="78">
      <pivotArea field="1" type="button" dataOnly="0" labelOnly="1" outline="0" axis="axisRow" fieldPosition="0"/>
    </format>
    <format dxfId="77">
      <pivotArea dataOnly="0" labelOnly="1" outline="0" axis="axisValues" fieldPosition="0"/>
    </format>
    <format dxfId="76">
      <pivotArea collapsedLevelsAreSubtotals="1" fieldPosition="0">
        <references count="1">
          <reference field="1" count="117"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</reference>
        </references>
      </pivotArea>
    </format>
    <format dxfId="75">
      <pivotArea grandRow="1" outline="0" collapsedLevelsAreSubtotals="1" fieldPosition="0"/>
    </format>
    <format dxfId="74">
      <pivotArea dataOnly="0" labelOnly="1" fieldPosition="0">
        <references count="1">
          <reference field="1" count="50"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</reference>
        </references>
      </pivotArea>
    </format>
    <format dxfId="73">
      <pivotArea dataOnly="0" labelOnly="1" fieldPosition="0">
        <references count="1">
          <reference field="1" count="50"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</reference>
        </references>
      </pivotArea>
    </format>
    <format dxfId="72">
      <pivotArea dataOnly="0" labelOnly="1" fieldPosition="0">
        <references count="1">
          <reference field="1" count="17"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</reference>
        </references>
      </pivotArea>
    </format>
    <format dxfId="71">
      <pivotArea dataOnly="0" labelOnly="1" grandRow="1" outline="0" fieldPosition="0"/>
    </format>
    <format dxfId="70">
      <pivotArea collapsedLevelsAreSubtotals="1" fieldPosition="0">
        <references count="1">
          <reference field="1" count="117"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</reference>
        </references>
      </pivotArea>
    </format>
    <format dxfId="69">
      <pivotArea grandRow="1" outline="0" collapsedLevelsAreSubtotals="1" fieldPosition="0"/>
    </format>
    <format dxfId="68">
      <pivotArea dataOnly="0" labelOnly="1" fieldPosition="0">
        <references count="1">
          <reference field="1" count="50"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</reference>
        </references>
      </pivotArea>
    </format>
    <format dxfId="67">
      <pivotArea dataOnly="0" labelOnly="1" fieldPosition="0">
        <references count="1">
          <reference field="1" count="50"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</reference>
        </references>
      </pivotArea>
    </format>
    <format dxfId="66">
      <pivotArea dataOnly="0" labelOnly="1" fieldPosition="0">
        <references count="1">
          <reference field="1" count="17"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</reference>
        </references>
      </pivotArea>
    </format>
    <format dxfId="6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B3061-854C-4C2C-8AD8-490BE525B62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Holiday">
  <location ref="B11:C14" firstHeaderRow="1" firstDataRow="1" firstDataCol="1"/>
  <pivotFields count="11">
    <pivotField showAll="0"/>
    <pivotField dataField="1" numFmtId="14" showAll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showAll="0"/>
    <pivotField axis="axisRow" showAll="0" sortType="a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3">
    <i>
      <x v="1"/>
    </i>
    <i>
      <x/>
    </i>
    <i t="grand">
      <x/>
    </i>
  </rowItems>
  <colItems count="1">
    <i/>
  </colItems>
  <dataFields count="1">
    <dataField name="Count of Date" fld="1" subtotal="count" baseField="0" baseItem="0"/>
  </dataFields>
  <formats count="20"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3" type="button" dataOnly="0" labelOnly="1" outline="0" axis="axisRow" fieldPosition="0"/>
    </format>
    <format dxfId="100">
      <pivotArea dataOnly="0" labelOnly="1" fieldPosition="0">
        <references count="1">
          <reference field="3" count="0"/>
        </references>
      </pivotArea>
    </format>
    <format dxfId="99">
      <pivotArea dataOnly="0" labelOnly="1" grandRow="1" outline="0" fieldPosition="0"/>
    </format>
    <format dxfId="98">
      <pivotArea dataOnly="0" labelOnly="1" outline="0" axis="axisValues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3" type="button" dataOnly="0" labelOnly="1" outline="0" axis="axisRow" fieldPosition="0"/>
    </format>
    <format dxfId="94">
      <pivotArea dataOnly="0" labelOnly="1" fieldPosition="0">
        <references count="1">
          <reference field="3" count="0"/>
        </references>
      </pivotArea>
    </format>
    <format dxfId="93">
      <pivotArea dataOnly="0" labelOnly="1" grandRow="1" outline="0" fieldPosition="0"/>
    </format>
    <format dxfId="92">
      <pivotArea dataOnly="0" labelOnly="1" outline="0" axis="axisValues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3" type="button" dataOnly="0" labelOnly="1" outline="0" axis="axisRow" fieldPosition="0"/>
    </format>
    <format dxfId="88">
      <pivotArea dataOnly="0" labelOnly="1" fieldPosition="0">
        <references count="1">
          <reference field="3" count="0"/>
        </references>
      </pivotArea>
    </format>
    <format dxfId="87">
      <pivotArea dataOnly="0" labelOnly="1" grandRow="1" outline="0" fieldPosition="0"/>
    </format>
    <format dxfId="86">
      <pivotArea dataOnly="0" labelOnly="1" outline="0" axis="axisValues" fieldPosition="0"/>
    </format>
    <format dxfId="85">
      <pivotArea field="3" type="button" dataOnly="0" labelOnly="1" outline="0" axis="axisRow" fieldPosition="0"/>
    </format>
    <format dxfId="84">
      <pivotArea dataOnly="0" labelOnly="1" outline="0" axis="axisValues" fieldPosition="0"/>
    </format>
  </format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C7553C-8237-4717-A67F-746F004FBA46}" autoFormatId="16" applyNumberFormats="0" applyBorderFormats="0" applyFontFormats="0" applyPatternFormats="0" applyAlignmentFormats="0" applyWidthHeightFormats="0">
  <queryTableRefresh nextId="9">
    <queryTableFields count="8">
      <queryTableField id="1" name="Store" tableColumnId="1"/>
      <queryTableField id="2" name="Date" tableColumnId="2"/>
      <queryTableField id="3" name="Weekly_Sales" tableColumnId="3"/>
      <queryTableField id="4" name="Holiday_Flag" tableColumnId="4"/>
      <queryTableField id="5" name="Temperature" tableColumnId="5"/>
      <queryTableField id="6" name="Fuel_Price" tableColumnId="6"/>
      <queryTableField id="7" name="CPI" tableColumnId="7"/>
      <queryTableField id="8" name="Unemployment" tableColumnId="8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1DB5B4-63DC-4FCD-AF70-465B3AA2BA94}" name="Table2" displayName="Table2" ref="A1:B6" totalsRowShown="0">
  <tableColumns count="2">
    <tableColumn id="1" xr3:uid="{3DABC421-00A7-415A-8B61-20D8C8FDDAED}" name="Store" dataDxfId="106"/>
    <tableColumn id="2" xr3:uid="{8AF8FAEB-ADCD-469E-BA7F-44A638925A86}" name="Total_Weekly_Sales" dataDxfId="10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F79F03-49A8-4473-A025-AFBA2A9DBDA1}" name="Table3" displayName="Table3" ref="A1:B6" totalsRowShown="0">
  <tableColumns count="2">
    <tableColumn id="1" xr3:uid="{3D220664-C804-4237-A4A2-7FFB874F361C}" name="Store"/>
    <tableColumn id="2" xr3:uid="{F257FB6F-1F11-4456-8873-85E9BB893308}" name="Total_Weekly_Sales" dataDxfId="10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0595EE-148A-4E12-A4F2-7FF5F1D4136F}" name="Walmart" displayName="Walmart" ref="A1:H6436" tableType="queryTable" totalsRowShown="0">
  <autoFilter ref="A1:H6436" xr:uid="{150595EE-148A-4E12-A4F2-7FF5F1D4136F}"/>
  <tableColumns count="8">
    <tableColumn id="1" xr3:uid="{C3BB6891-0D9F-4517-99C9-F33153E4E16C}" uniqueName="1" name="Store" queryTableFieldId="1" dataDxfId="108"/>
    <tableColumn id="2" xr3:uid="{5B2D3A03-6E7A-4115-B228-255AB1ABEC63}" uniqueName="2" name="Date" queryTableFieldId="2" dataDxfId="107"/>
    <tableColumn id="3" xr3:uid="{25BD2C06-851A-4B88-A7C5-984D8A8C18E1}" uniqueName="3" name="Weekly_Sales" queryTableFieldId="3"/>
    <tableColumn id="4" xr3:uid="{C8D28BFC-C369-4E6B-AA57-506E3E8FCFCE}" uniqueName="4" name="Holiday_Flag" queryTableFieldId="4"/>
    <tableColumn id="5" xr3:uid="{526FD1BF-67E3-417D-93DD-CC0284810AFE}" uniqueName="5" name="Temperature" queryTableFieldId="5"/>
    <tableColumn id="6" xr3:uid="{7D34F058-C4E9-4B04-A861-2019B883F789}" uniqueName="6" name="Fuel_Price" queryTableFieldId="6"/>
    <tableColumn id="7" xr3:uid="{CC059CA5-5F31-4CBC-99C3-55D32A8F8550}" uniqueName="7" name="CPI" queryTableFieldId="7"/>
    <tableColumn id="8" xr3:uid="{7832E474-4491-4631-9F78-387D4F4217C9}" uniqueName="8" name="Unemployment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2E52B9-E2B7-4130-87DE-30BEE605C9F0}" name="Table8" displayName="Table8" ref="P14:Q23" totalsRowShown="0" headerRowDxfId="6" dataDxfId="5">
  <tableColumns count="2">
    <tableColumn id="1" xr3:uid="{D691CFBB-BFE4-4521-8676-643E0AAAFF3E}" name="Variable" dataDxfId="4"/>
    <tableColumn id="2" xr3:uid="{AE62F060-49FA-4BB4-9C2D-8F6E436A057A}" name="Correlation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29BD9E-F697-4663-9FAB-E4404B99397B}" name="Table6" displayName="Table6" ref="A1:B3" totalsRowShown="0">
  <tableColumns count="2">
    <tableColumn id="1" xr3:uid="{BAF968A8-FFF1-4FF7-BE70-89F1F6F2784E}" name="Holiday"/>
    <tableColumn id="2" xr3:uid="{CFB8F44A-57A3-419C-A00D-B03384B74F13}" name="Average of Weekly_Sales" dataDxfId="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C87884-6460-499C-99C6-6E5D02817C25}" name="Table7" displayName="Table7" ref="A1:B4" totalsRowShown="0">
  <tableColumns count="2">
    <tableColumn id="1" xr3:uid="{07C7D1A2-0B42-45F8-8B83-76A37B4EB940}" name="Holiday"/>
    <tableColumn id="2" xr3:uid="{C1425672-DE5C-4E7E-990E-E513876BEAEF}" name="Count of Dat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1BC040-BC4C-40EC-B5C6-0D6D74AA9EFB}" name="Table4" displayName="Table4" ref="A1:B145" totalsRowShown="0">
  <tableColumns count="2">
    <tableColumn id="1" xr3:uid="{7CEC8647-DC5A-4C52-84F3-3FFC18A5EDD2}" name="Date"/>
    <tableColumn id="2" xr3:uid="{2C672C52-2421-4F0E-8CDF-B7B8E1484D59}" name="Sum of Weekly_Sales" dataDxfId="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5ADE8C-63BD-46B8-A9E7-8358DE4F9880}" name="Table5" displayName="Table5" ref="A1:B13" totalsRowShown="0">
  <tableColumns count="2">
    <tableColumn id="1" xr3:uid="{5AA9CA00-2157-42BE-94D4-309CE4B40BC9}" name="Month"/>
    <tableColumn id="2" xr3:uid="{A9224029-DC80-411D-8041-F6FE5FD5A5E9}" name="Sum of Weekly_Sal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701B6-2DAE-4CFF-BF7D-CBECBA0EBD96}">
  <dimension ref="A1:B6"/>
  <sheetViews>
    <sheetView workbookViewId="0">
      <selection activeCell="B10" sqref="B10"/>
    </sheetView>
  </sheetViews>
  <sheetFormatPr defaultRowHeight="14.4" x14ac:dyDescent="0.3"/>
  <cols>
    <col min="1" max="1" width="8.88671875" style="7"/>
    <col min="2" max="2" width="19.5546875" customWidth="1"/>
  </cols>
  <sheetData>
    <row r="1" spans="1:2" x14ac:dyDescent="0.3">
      <c r="A1" s="7" t="s">
        <v>0</v>
      </c>
      <c r="B1" t="s">
        <v>84</v>
      </c>
    </row>
    <row r="2" spans="1:2" x14ac:dyDescent="0.3">
      <c r="A2" s="3" t="s">
        <v>45</v>
      </c>
      <c r="B2" s="2">
        <v>55159626.420000024</v>
      </c>
    </row>
    <row r="3" spans="1:2" x14ac:dyDescent="0.3">
      <c r="A3" s="3" t="s">
        <v>43</v>
      </c>
      <c r="B3" s="2">
        <v>53412214.969999984</v>
      </c>
    </row>
    <row r="4" spans="1:2" x14ac:dyDescent="0.3">
      <c r="A4" s="3" t="s">
        <v>12</v>
      </c>
      <c r="B4" s="2">
        <v>45475688.899999999</v>
      </c>
    </row>
    <row r="5" spans="1:2" x14ac:dyDescent="0.3">
      <c r="A5" s="3" t="s">
        <v>51</v>
      </c>
      <c r="B5" s="2">
        <v>43293087.839999989</v>
      </c>
    </row>
    <row r="6" spans="1:2" x14ac:dyDescent="0.3">
      <c r="A6" s="3" t="s">
        <v>40</v>
      </c>
      <c r="B6" s="2">
        <v>37160221.960000016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F067-21E9-4AD8-A569-9F6936D1D782}">
  <dimension ref="A1:B6"/>
  <sheetViews>
    <sheetView workbookViewId="0">
      <selection activeCell="D6" sqref="D6"/>
    </sheetView>
  </sheetViews>
  <sheetFormatPr defaultRowHeight="14.4" x14ac:dyDescent="0.3"/>
  <cols>
    <col min="2" max="2" width="19.5546875" customWidth="1"/>
  </cols>
  <sheetData>
    <row r="1" spans="1:2" x14ac:dyDescent="0.3">
      <c r="A1" t="s">
        <v>0</v>
      </c>
      <c r="B1" t="s">
        <v>84</v>
      </c>
    </row>
    <row r="2" spans="1:2" x14ac:dyDescent="0.3">
      <c r="A2" t="s">
        <v>27</v>
      </c>
      <c r="B2" s="2">
        <v>301397792.46000004</v>
      </c>
    </row>
    <row r="3" spans="1:2" x14ac:dyDescent="0.3">
      <c r="A3" t="s">
        <v>11</v>
      </c>
      <c r="B3" s="2">
        <v>299543953.38</v>
      </c>
    </row>
    <row r="4" spans="1:2" x14ac:dyDescent="0.3">
      <c r="A4" t="s">
        <v>21</v>
      </c>
      <c r="B4" s="2">
        <v>288999911.34000003</v>
      </c>
    </row>
    <row r="5" spans="1:2" x14ac:dyDescent="0.3">
      <c r="A5" t="s">
        <v>20</v>
      </c>
      <c r="B5" s="2">
        <v>286517703.80000013</v>
      </c>
    </row>
    <row r="6" spans="1:2" x14ac:dyDescent="0.3">
      <c r="A6" t="s">
        <v>9</v>
      </c>
      <c r="B6" s="2">
        <v>275382440.98000008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D40E-863C-4F6D-B19B-FC31F62BCBBE}">
  <dimension ref="A1:H6436"/>
  <sheetViews>
    <sheetView workbookViewId="0">
      <selection activeCell="L8" sqref="L8"/>
    </sheetView>
  </sheetViews>
  <sheetFormatPr defaultRowHeight="14.4" x14ac:dyDescent="0.3"/>
  <cols>
    <col min="1" max="1" width="7.6640625" bestFit="1" customWidth="1"/>
    <col min="2" max="2" width="10.109375" bestFit="1" customWidth="1"/>
    <col min="3" max="3" width="14.6640625" bestFit="1" customWidth="1"/>
    <col min="4" max="4" width="13.88671875" bestFit="1" customWidth="1"/>
    <col min="5" max="5" width="14.109375" bestFit="1" customWidth="1"/>
    <col min="6" max="6" width="11.77734375" bestFit="1" customWidth="1"/>
    <col min="7" max="7" width="12" bestFit="1" customWidth="1"/>
    <col min="8" max="8" width="16.5546875" bestFit="1" customWidth="1"/>
    <col min="12" max="12" width="17.44140625" bestFit="1" customWidth="1"/>
    <col min="19" max="19" width="8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40214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</row>
    <row r="3" spans="1:8" x14ac:dyDescent="0.3">
      <c r="A3" t="s">
        <v>8</v>
      </c>
      <c r="B3" s="1">
        <v>40221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</row>
    <row r="4" spans="1:8" x14ac:dyDescent="0.3">
      <c r="A4" t="s">
        <v>8</v>
      </c>
      <c r="B4" s="1">
        <v>40228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</row>
    <row r="5" spans="1:8" x14ac:dyDescent="0.3">
      <c r="A5" t="s">
        <v>8</v>
      </c>
      <c r="B5" s="1">
        <v>40235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</row>
    <row r="6" spans="1:8" x14ac:dyDescent="0.3">
      <c r="A6" t="s">
        <v>8</v>
      </c>
      <c r="B6" s="1">
        <v>40242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</row>
    <row r="7" spans="1:8" x14ac:dyDescent="0.3">
      <c r="A7" t="s">
        <v>8</v>
      </c>
      <c r="B7" s="1">
        <v>40249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</row>
    <row r="8" spans="1:8" x14ac:dyDescent="0.3">
      <c r="A8" t="s">
        <v>8</v>
      </c>
      <c r="B8" s="1">
        <v>40256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</row>
    <row r="9" spans="1:8" x14ac:dyDescent="0.3">
      <c r="A9" t="s">
        <v>8</v>
      </c>
      <c r="B9" s="1">
        <v>40263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</row>
    <row r="10" spans="1:8" x14ac:dyDescent="0.3">
      <c r="A10" t="s">
        <v>8</v>
      </c>
      <c r="B10" s="1">
        <v>40270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</row>
    <row r="11" spans="1:8" x14ac:dyDescent="0.3">
      <c r="A11" t="s">
        <v>8</v>
      </c>
      <c r="B11" s="1">
        <v>40277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</row>
    <row r="12" spans="1:8" x14ac:dyDescent="0.3">
      <c r="A12" t="s">
        <v>8</v>
      </c>
      <c r="B12" s="1">
        <v>40284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</row>
    <row r="13" spans="1:8" x14ac:dyDescent="0.3">
      <c r="A13" t="s">
        <v>8</v>
      </c>
      <c r="B13" s="1">
        <v>40291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</row>
    <row r="14" spans="1:8" x14ac:dyDescent="0.3">
      <c r="A14" t="s">
        <v>8</v>
      </c>
      <c r="B14" s="1">
        <v>40298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</row>
    <row r="15" spans="1:8" x14ac:dyDescent="0.3">
      <c r="A15" t="s">
        <v>8</v>
      </c>
      <c r="B15" s="1">
        <v>40305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</row>
    <row r="16" spans="1:8" x14ac:dyDescent="0.3">
      <c r="A16" t="s">
        <v>8</v>
      </c>
      <c r="B16" s="1">
        <v>40312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</row>
    <row r="17" spans="1:8" x14ac:dyDescent="0.3">
      <c r="A17" t="s">
        <v>8</v>
      </c>
      <c r="B17" s="1">
        <v>40319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</row>
    <row r="18" spans="1:8" x14ac:dyDescent="0.3">
      <c r="A18" t="s">
        <v>8</v>
      </c>
      <c r="B18" s="1">
        <v>40326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</row>
    <row r="19" spans="1:8" x14ac:dyDescent="0.3">
      <c r="A19" t="s">
        <v>8</v>
      </c>
      <c r="B19" s="1">
        <v>40333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</row>
    <row r="20" spans="1:8" x14ac:dyDescent="0.3">
      <c r="A20" t="s">
        <v>8</v>
      </c>
      <c r="B20" s="1">
        <v>40340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</row>
    <row r="21" spans="1:8" x14ac:dyDescent="0.3">
      <c r="A21" t="s">
        <v>8</v>
      </c>
      <c r="B21" s="1">
        <v>40347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</row>
    <row r="22" spans="1:8" x14ac:dyDescent="0.3">
      <c r="A22" t="s">
        <v>8</v>
      </c>
      <c r="B22" s="1">
        <v>40354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</row>
    <row r="23" spans="1:8" x14ac:dyDescent="0.3">
      <c r="A23" t="s">
        <v>8</v>
      </c>
      <c r="B23" s="1">
        <v>40361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</row>
    <row r="24" spans="1:8" x14ac:dyDescent="0.3">
      <c r="A24" t="s">
        <v>8</v>
      </c>
      <c r="B24" s="1">
        <v>40368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</row>
    <row r="25" spans="1:8" x14ac:dyDescent="0.3">
      <c r="A25" t="s">
        <v>8</v>
      </c>
      <c r="B25" s="1">
        <v>40375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</row>
    <row r="26" spans="1:8" x14ac:dyDescent="0.3">
      <c r="A26" t="s">
        <v>8</v>
      </c>
      <c r="B26" s="1">
        <v>40382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</row>
    <row r="27" spans="1:8" x14ac:dyDescent="0.3">
      <c r="A27" t="s">
        <v>8</v>
      </c>
      <c r="B27" s="1">
        <v>40389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</row>
    <row r="28" spans="1:8" x14ac:dyDescent="0.3">
      <c r="A28" t="s">
        <v>8</v>
      </c>
      <c r="B28" s="1">
        <v>40396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</row>
    <row r="29" spans="1:8" x14ac:dyDescent="0.3">
      <c r="A29" t="s">
        <v>8</v>
      </c>
      <c r="B29" s="1">
        <v>40403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</row>
    <row r="30" spans="1:8" x14ac:dyDescent="0.3">
      <c r="A30" t="s">
        <v>8</v>
      </c>
      <c r="B30" s="1">
        <v>40410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</row>
    <row r="31" spans="1:8" x14ac:dyDescent="0.3">
      <c r="A31" t="s">
        <v>8</v>
      </c>
      <c r="B31" s="1">
        <v>40417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</row>
    <row r="32" spans="1:8" x14ac:dyDescent="0.3">
      <c r="A32" t="s">
        <v>8</v>
      </c>
      <c r="B32" s="1">
        <v>40424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</row>
    <row r="33" spans="1:8" x14ac:dyDescent="0.3">
      <c r="A33" t="s">
        <v>8</v>
      </c>
      <c r="B33" s="1">
        <v>40431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</row>
    <row r="34" spans="1:8" x14ac:dyDescent="0.3">
      <c r="A34" t="s">
        <v>8</v>
      </c>
      <c r="B34" s="1">
        <v>40438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</row>
    <row r="35" spans="1:8" x14ac:dyDescent="0.3">
      <c r="A35" t="s">
        <v>8</v>
      </c>
      <c r="B35" s="1">
        <v>40445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</row>
    <row r="36" spans="1:8" x14ac:dyDescent="0.3">
      <c r="A36" t="s">
        <v>8</v>
      </c>
      <c r="B36" s="1">
        <v>40452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</row>
    <row r="37" spans="1:8" x14ac:dyDescent="0.3">
      <c r="A37" t="s">
        <v>8</v>
      </c>
      <c r="B37" s="1">
        <v>40459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</row>
    <row r="38" spans="1:8" x14ac:dyDescent="0.3">
      <c r="A38" t="s">
        <v>8</v>
      </c>
      <c r="B38" s="1">
        <v>40466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</row>
    <row r="39" spans="1:8" x14ac:dyDescent="0.3">
      <c r="A39" t="s">
        <v>8</v>
      </c>
      <c r="B39" s="1">
        <v>40473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</row>
    <row r="40" spans="1:8" x14ac:dyDescent="0.3">
      <c r="A40" t="s">
        <v>8</v>
      </c>
      <c r="B40" s="1">
        <v>40480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</row>
    <row r="41" spans="1:8" x14ac:dyDescent="0.3">
      <c r="A41" t="s">
        <v>8</v>
      </c>
      <c r="B41" s="1">
        <v>40487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</row>
    <row r="42" spans="1:8" x14ac:dyDescent="0.3">
      <c r="A42" t="s">
        <v>8</v>
      </c>
      <c r="B42" s="1">
        <v>40494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</row>
    <row r="43" spans="1:8" x14ac:dyDescent="0.3">
      <c r="A43" t="s">
        <v>8</v>
      </c>
      <c r="B43" s="1">
        <v>40501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</row>
    <row r="44" spans="1:8" x14ac:dyDescent="0.3">
      <c r="A44" t="s">
        <v>8</v>
      </c>
      <c r="B44" s="1">
        <v>40508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</row>
    <row r="45" spans="1:8" x14ac:dyDescent="0.3">
      <c r="A45" t="s">
        <v>8</v>
      </c>
      <c r="B45" s="1">
        <v>40515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</row>
    <row r="46" spans="1:8" x14ac:dyDescent="0.3">
      <c r="A46" t="s">
        <v>8</v>
      </c>
      <c r="B46" s="1">
        <v>40522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</row>
    <row r="47" spans="1:8" x14ac:dyDescent="0.3">
      <c r="A47" t="s">
        <v>8</v>
      </c>
      <c r="B47" s="1">
        <v>40529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</row>
    <row r="48" spans="1:8" x14ac:dyDescent="0.3">
      <c r="A48" t="s">
        <v>8</v>
      </c>
      <c r="B48" s="1">
        <v>40536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</row>
    <row r="49" spans="1:8" x14ac:dyDescent="0.3">
      <c r="A49" t="s">
        <v>8</v>
      </c>
      <c r="B49" s="1">
        <v>40543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</row>
    <row r="50" spans="1:8" x14ac:dyDescent="0.3">
      <c r="A50" t="s">
        <v>8</v>
      </c>
      <c r="B50" s="1">
        <v>40550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 x14ac:dyDescent="0.3">
      <c r="A51" t="s">
        <v>8</v>
      </c>
      <c r="B51" s="1">
        <v>40557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</row>
    <row r="52" spans="1:8" x14ac:dyDescent="0.3">
      <c r="A52" t="s">
        <v>8</v>
      </c>
      <c r="B52" s="1">
        <v>40564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</row>
    <row r="53" spans="1:8" x14ac:dyDescent="0.3">
      <c r="A53" t="s">
        <v>8</v>
      </c>
      <c r="B53" s="1">
        <v>40571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</row>
    <row r="54" spans="1:8" x14ac:dyDescent="0.3">
      <c r="A54" t="s">
        <v>8</v>
      </c>
      <c r="B54" s="1">
        <v>40578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</row>
    <row r="55" spans="1:8" x14ac:dyDescent="0.3">
      <c r="A55" t="s">
        <v>8</v>
      </c>
      <c r="B55" s="1">
        <v>40585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</row>
    <row r="56" spans="1:8" x14ac:dyDescent="0.3">
      <c r="A56" t="s">
        <v>8</v>
      </c>
      <c r="B56" s="1">
        <v>40592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</row>
    <row r="57" spans="1:8" x14ac:dyDescent="0.3">
      <c r="A57" t="s">
        <v>8</v>
      </c>
      <c r="B57" s="1">
        <v>40599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</row>
    <row r="58" spans="1:8" x14ac:dyDescent="0.3">
      <c r="A58" t="s">
        <v>8</v>
      </c>
      <c r="B58" s="1">
        <v>40606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</row>
    <row r="59" spans="1:8" x14ac:dyDescent="0.3">
      <c r="A59" t="s">
        <v>8</v>
      </c>
      <c r="B59" s="1">
        <v>40613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</row>
    <row r="60" spans="1:8" x14ac:dyDescent="0.3">
      <c r="A60" t="s">
        <v>8</v>
      </c>
      <c r="B60" s="1">
        <v>40620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</row>
    <row r="61" spans="1:8" x14ac:dyDescent="0.3">
      <c r="A61" t="s">
        <v>8</v>
      </c>
      <c r="B61" s="1">
        <v>40627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</row>
    <row r="62" spans="1:8" x14ac:dyDescent="0.3">
      <c r="A62" t="s">
        <v>8</v>
      </c>
      <c r="B62" s="1">
        <v>40634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</row>
    <row r="63" spans="1:8" x14ac:dyDescent="0.3">
      <c r="A63" t="s">
        <v>8</v>
      </c>
      <c r="B63" s="1">
        <v>40641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</row>
    <row r="64" spans="1:8" x14ac:dyDescent="0.3">
      <c r="A64" t="s">
        <v>8</v>
      </c>
      <c r="B64" s="1">
        <v>40648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</row>
    <row r="65" spans="1:8" x14ac:dyDescent="0.3">
      <c r="A65" t="s">
        <v>8</v>
      </c>
      <c r="B65" s="1">
        <v>40655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</row>
    <row r="66" spans="1:8" x14ac:dyDescent="0.3">
      <c r="A66" t="s">
        <v>8</v>
      </c>
      <c r="B66" s="1">
        <v>40662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</row>
    <row r="67" spans="1:8" x14ac:dyDescent="0.3">
      <c r="A67" t="s">
        <v>8</v>
      </c>
      <c r="B67" s="1">
        <v>40669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</row>
    <row r="68" spans="1:8" x14ac:dyDescent="0.3">
      <c r="A68" t="s">
        <v>8</v>
      </c>
      <c r="B68" s="1">
        <v>40676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</row>
    <row r="69" spans="1:8" x14ac:dyDescent="0.3">
      <c r="A69" t="s">
        <v>8</v>
      </c>
      <c r="B69" s="1">
        <v>40683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</row>
    <row r="70" spans="1:8" x14ac:dyDescent="0.3">
      <c r="A70" t="s">
        <v>8</v>
      </c>
      <c r="B70" s="1">
        <v>40690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</row>
    <row r="71" spans="1:8" x14ac:dyDescent="0.3">
      <c r="A71" t="s">
        <v>8</v>
      </c>
      <c r="B71" s="1">
        <v>40697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</row>
    <row r="72" spans="1:8" x14ac:dyDescent="0.3">
      <c r="A72" t="s">
        <v>8</v>
      </c>
      <c r="B72" s="1">
        <v>40704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</row>
    <row r="73" spans="1:8" x14ac:dyDescent="0.3">
      <c r="A73" t="s">
        <v>8</v>
      </c>
      <c r="B73" s="1">
        <v>40711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</row>
    <row r="74" spans="1:8" x14ac:dyDescent="0.3">
      <c r="A74" t="s">
        <v>8</v>
      </c>
      <c r="B74" s="1">
        <v>40718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</row>
    <row r="75" spans="1:8" x14ac:dyDescent="0.3">
      <c r="A75" t="s">
        <v>8</v>
      </c>
      <c r="B75" s="1">
        <v>40725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</row>
    <row r="76" spans="1:8" x14ac:dyDescent="0.3">
      <c r="A76" t="s">
        <v>8</v>
      </c>
      <c r="B76" s="1">
        <v>40732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</row>
    <row r="77" spans="1:8" x14ac:dyDescent="0.3">
      <c r="A77" t="s">
        <v>8</v>
      </c>
      <c r="B77" s="1">
        <v>40739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</row>
    <row r="78" spans="1:8" x14ac:dyDescent="0.3">
      <c r="A78" t="s">
        <v>8</v>
      </c>
      <c r="B78" s="1">
        <v>40746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</row>
    <row r="79" spans="1:8" x14ac:dyDescent="0.3">
      <c r="A79" t="s">
        <v>8</v>
      </c>
      <c r="B79" s="1">
        <v>40753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</row>
    <row r="80" spans="1:8" x14ac:dyDescent="0.3">
      <c r="A80" t="s">
        <v>8</v>
      </c>
      <c r="B80" s="1">
        <v>40760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</row>
    <row r="81" spans="1:8" x14ac:dyDescent="0.3">
      <c r="A81" t="s">
        <v>8</v>
      </c>
      <c r="B81" s="1">
        <v>40767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</row>
    <row r="82" spans="1:8" x14ac:dyDescent="0.3">
      <c r="A82" t="s">
        <v>8</v>
      </c>
      <c r="B82" s="1">
        <v>40774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</row>
    <row r="83" spans="1:8" x14ac:dyDescent="0.3">
      <c r="A83" t="s">
        <v>8</v>
      </c>
      <c r="B83" s="1">
        <v>40781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</row>
    <row r="84" spans="1:8" x14ac:dyDescent="0.3">
      <c r="A84" t="s">
        <v>8</v>
      </c>
      <c r="B84" s="1">
        <v>40788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</row>
    <row r="85" spans="1:8" x14ac:dyDescent="0.3">
      <c r="A85" t="s">
        <v>8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</row>
    <row r="86" spans="1:8" x14ac:dyDescent="0.3">
      <c r="A86" t="s">
        <v>8</v>
      </c>
      <c r="B86" s="1">
        <v>40802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</row>
    <row r="87" spans="1:8" x14ac:dyDescent="0.3">
      <c r="A87" t="s">
        <v>8</v>
      </c>
      <c r="B87" s="1">
        <v>40809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</row>
    <row r="88" spans="1:8" x14ac:dyDescent="0.3">
      <c r="A88" t="s">
        <v>8</v>
      </c>
      <c r="B88" s="1">
        <v>40816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</row>
    <row r="89" spans="1:8" x14ac:dyDescent="0.3">
      <c r="A89" t="s">
        <v>8</v>
      </c>
      <c r="B89" s="1">
        <v>40823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</row>
    <row r="90" spans="1:8" x14ac:dyDescent="0.3">
      <c r="A90" t="s">
        <v>8</v>
      </c>
      <c r="B90" s="1">
        <v>40830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</row>
    <row r="91" spans="1:8" x14ac:dyDescent="0.3">
      <c r="A91" t="s">
        <v>8</v>
      </c>
      <c r="B91" s="1">
        <v>40837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</row>
    <row r="92" spans="1:8" x14ac:dyDescent="0.3">
      <c r="A92" t="s">
        <v>8</v>
      </c>
      <c r="B92" s="1">
        <v>40844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</row>
    <row r="93" spans="1:8" x14ac:dyDescent="0.3">
      <c r="A93" t="s">
        <v>8</v>
      </c>
      <c r="B93" s="1">
        <v>40851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</row>
    <row r="94" spans="1:8" x14ac:dyDescent="0.3">
      <c r="A94" t="s">
        <v>8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</row>
    <row r="95" spans="1:8" x14ac:dyDescent="0.3">
      <c r="A95" t="s">
        <v>8</v>
      </c>
      <c r="B95" s="1">
        <v>40865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</row>
    <row r="96" spans="1:8" x14ac:dyDescent="0.3">
      <c r="A96" t="s">
        <v>8</v>
      </c>
      <c r="B96" s="1">
        <v>40872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</row>
    <row r="97" spans="1:8" x14ac:dyDescent="0.3">
      <c r="A97" t="s">
        <v>8</v>
      </c>
      <c r="B97" s="1">
        <v>40879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</row>
    <row r="98" spans="1:8" x14ac:dyDescent="0.3">
      <c r="A98" t="s">
        <v>8</v>
      </c>
      <c r="B98" s="1">
        <v>40886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</row>
    <row r="99" spans="1:8" x14ac:dyDescent="0.3">
      <c r="A99" t="s">
        <v>8</v>
      </c>
      <c r="B99" s="1">
        <v>40893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</row>
    <row r="100" spans="1:8" x14ac:dyDescent="0.3">
      <c r="A100" t="s">
        <v>8</v>
      </c>
      <c r="B100" s="1">
        <v>40900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</row>
    <row r="101" spans="1:8" x14ac:dyDescent="0.3">
      <c r="A101" t="s">
        <v>8</v>
      </c>
      <c r="B101" s="1">
        <v>40907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</row>
    <row r="102" spans="1:8" x14ac:dyDescent="0.3">
      <c r="A102" t="s">
        <v>8</v>
      </c>
      <c r="B102" s="1">
        <v>40914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</row>
    <row r="103" spans="1:8" x14ac:dyDescent="0.3">
      <c r="A103" t="s">
        <v>8</v>
      </c>
      <c r="B103" s="1">
        <v>40921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</row>
    <row r="104" spans="1:8" x14ac:dyDescent="0.3">
      <c r="A104" t="s">
        <v>8</v>
      </c>
      <c r="B104" s="1">
        <v>40928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</row>
    <row r="105" spans="1:8" x14ac:dyDescent="0.3">
      <c r="A105" t="s">
        <v>8</v>
      </c>
      <c r="B105" s="1">
        <v>40935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</row>
    <row r="106" spans="1:8" x14ac:dyDescent="0.3">
      <c r="A106" t="s">
        <v>8</v>
      </c>
      <c r="B106" s="1">
        <v>40942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</row>
    <row r="107" spans="1:8" x14ac:dyDescent="0.3">
      <c r="A107" t="s">
        <v>8</v>
      </c>
      <c r="B107" s="1">
        <v>40949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</row>
    <row r="108" spans="1:8" x14ac:dyDescent="0.3">
      <c r="A108" t="s">
        <v>8</v>
      </c>
      <c r="B108" s="1">
        <v>40956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</row>
    <row r="109" spans="1:8" x14ac:dyDescent="0.3">
      <c r="A109" t="s">
        <v>8</v>
      </c>
      <c r="B109" s="1">
        <v>40963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</row>
    <row r="110" spans="1:8" x14ac:dyDescent="0.3">
      <c r="A110" t="s">
        <v>8</v>
      </c>
      <c r="B110" s="1">
        <v>40970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</row>
    <row r="111" spans="1:8" x14ac:dyDescent="0.3">
      <c r="A111" t="s">
        <v>8</v>
      </c>
      <c r="B111" s="1">
        <v>40977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</row>
    <row r="112" spans="1:8" x14ac:dyDescent="0.3">
      <c r="A112" t="s">
        <v>8</v>
      </c>
      <c r="B112" s="1">
        <v>40984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</row>
    <row r="113" spans="1:8" x14ac:dyDescent="0.3">
      <c r="A113" t="s">
        <v>8</v>
      </c>
      <c r="B113" s="1">
        <v>40991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</row>
    <row r="114" spans="1:8" x14ac:dyDescent="0.3">
      <c r="A114" t="s">
        <v>8</v>
      </c>
      <c r="B114" s="1">
        <v>40998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</row>
    <row r="115" spans="1:8" x14ac:dyDescent="0.3">
      <c r="A115" t="s">
        <v>8</v>
      </c>
      <c r="B115" s="1">
        <v>41005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</row>
    <row r="116" spans="1:8" x14ac:dyDescent="0.3">
      <c r="A116" t="s">
        <v>8</v>
      </c>
      <c r="B116" s="1">
        <v>41012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</row>
    <row r="117" spans="1:8" x14ac:dyDescent="0.3">
      <c r="A117" t="s">
        <v>8</v>
      </c>
      <c r="B117" s="1">
        <v>41019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</row>
    <row r="118" spans="1:8" x14ac:dyDescent="0.3">
      <c r="A118" t="s">
        <v>8</v>
      </c>
      <c r="B118" s="1">
        <v>41026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</row>
    <row r="119" spans="1:8" x14ac:dyDescent="0.3">
      <c r="A119" t="s">
        <v>8</v>
      </c>
      <c r="B119" s="1">
        <v>41033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</row>
    <row r="120" spans="1:8" x14ac:dyDescent="0.3">
      <c r="A120" t="s">
        <v>8</v>
      </c>
      <c r="B120" s="1">
        <v>41040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</row>
    <row r="121" spans="1:8" x14ac:dyDescent="0.3">
      <c r="A121" t="s">
        <v>8</v>
      </c>
      <c r="B121" s="1">
        <v>41047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</row>
    <row r="122" spans="1:8" x14ac:dyDescent="0.3">
      <c r="A122" t="s">
        <v>8</v>
      </c>
      <c r="B122" s="1">
        <v>41054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</row>
    <row r="123" spans="1:8" x14ac:dyDescent="0.3">
      <c r="A123" t="s">
        <v>8</v>
      </c>
      <c r="B123" s="1">
        <v>41061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</row>
    <row r="124" spans="1:8" x14ac:dyDescent="0.3">
      <c r="A124" t="s">
        <v>8</v>
      </c>
      <c r="B124" s="1">
        <v>41068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</row>
    <row r="125" spans="1:8" x14ac:dyDescent="0.3">
      <c r="A125" t="s">
        <v>8</v>
      </c>
      <c r="B125" s="1">
        <v>41075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</row>
    <row r="126" spans="1:8" x14ac:dyDescent="0.3">
      <c r="A126" t="s">
        <v>8</v>
      </c>
      <c r="B126" s="1">
        <v>41082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</row>
    <row r="127" spans="1:8" x14ac:dyDescent="0.3">
      <c r="A127" t="s">
        <v>8</v>
      </c>
      <c r="B127" s="1">
        <v>41089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</row>
    <row r="128" spans="1:8" x14ac:dyDescent="0.3">
      <c r="A128" t="s">
        <v>8</v>
      </c>
      <c r="B128" s="1">
        <v>41096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</row>
    <row r="129" spans="1:8" x14ac:dyDescent="0.3">
      <c r="A129" t="s">
        <v>8</v>
      </c>
      <c r="B129" s="1">
        <v>41103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</row>
    <row r="130" spans="1:8" x14ac:dyDescent="0.3">
      <c r="A130" t="s">
        <v>8</v>
      </c>
      <c r="B130" s="1">
        <v>41110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</row>
    <row r="131" spans="1:8" x14ac:dyDescent="0.3">
      <c r="A131" t="s">
        <v>8</v>
      </c>
      <c r="B131" s="1">
        <v>41117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</row>
    <row r="132" spans="1:8" x14ac:dyDescent="0.3">
      <c r="A132" t="s">
        <v>8</v>
      </c>
      <c r="B132" s="1">
        <v>41124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</row>
    <row r="133" spans="1:8" x14ac:dyDescent="0.3">
      <c r="A133" t="s">
        <v>8</v>
      </c>
      <c r="B133" s="1">
        <v>41131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</row>
    <row r="134" spans="1:8" x14ac:dyDescent="0.3">
      <c r="A134" t="s">
        <v>8</v>
      </c>
      <c r="B134" s="1">
        <v>41138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</row>
    <row r="135" spans="1:8" x14ac:dyDescent="0.3">
      <c r="A135" t="s">
        <v>8</v>
      </c>
      <c r="B135" s="1">
        <v>41145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</row>
    <row r="136" spans="1:8" x14ac:dyDescent="0.3">
      <c r="A136" t="s">
        <v>8</v>
      </c>
      <c r="B136" s="1">
        <v>41152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</row>
    <row r="137" spans="1:8" x14ac:dyDescent="0.3">
      <c r="A137" t="s">
        <v>8</v>
      </c>
      <c r="B137" s="1">
        <v>41159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</row>
    <row r="138" spans="1:8" x14ac:dyDescent="0.3">
      <c r="A138" t="s">
        <v>8</v>
      </c>
      <c r="B138" s="1">
        <v>41166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</row>
    <row r="139" spans="1:8" x14ac:dyDescent="0.3">
      <c r="A139" t="s">
        <v>8</v>
      </c>
      <c r="B139" s="1">
        <v>41173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</row>
    <row r="140" spans="1:8" x14ac:dyDescent="0.3">
      <c r="A140" t="s">
        <v>8</v>
      </c>
      <c r="B140" s="1">
        <v>41180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</row>
    <row r="141" spans="1:8" x14ac:dyDescent="0.3">
      <c r="A141" t="s">
        <v>8</v>
      </c>
      <c r="B141" s="1">
        <v>41187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</row>
    <row r="142" spans="1:8" x14ac:dyDescent="0.3">
      <c r="A142" t="s">
        <v>8</v>
      </c>
      <c r="B142" s="1">
        <v>41194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</row>
    <row r="143" spans="1:8" x14ac:dyDescent="0.3">
      <c r="A143" t="s">
        <v>8</v>
      </c>
      <c r="B143" s="1">
        <v>41201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</row>
    <row r="144" spans="1:8" x14ac:dyDescent="0.3">
      <c r="A144" t="s">
        <v>8</v>
      </c>
      <c r="B144" s="1">
        <v>41208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</row>
    <row r="145" spans="1:8" x14ac:dyDescent="0.3">
      <c r="A145" t="s">
        <v>9</v>
      </c>
      <c r="B145" s="1">
        <v>40214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</row>
    <row r="146" spans="1:8" x14ac:dyDescent="0.3">
      <c r="A146" t="s">
        <v>9</v>
      </c>
      <c r="B146" s="1">
        <v>40221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</row>
    <row r="147" spans="1:8" x14ac:dyDescent="0.3">
      <c r="A147" t="s">
        <v>9</v>
      </c>
      <c r="B147" s="1">
        <v>40228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</row>
    <row r="148" spans="1:8" x14ac:dyDescent="0.3">
      <c r="A148" t="s">
        <v>9</v>
      </c>
      <c r="B148" s="1">
        <v>40235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</row>
    <row r="149" spans="1:8" x14ac:dyDescent="0.3">
      <c r="A149" t="s">
        <v>9</v>
      </c>
      <c r="B149" s="1">
        <v>40242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</row>
    <row r="150" spans="1:8" x14ac:dyDescent="0.3">
      <c r="A150" t="s">
        <v>9</v>
      </c>
      <c r="B150" s="1">
        <v>40249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</row>
    <row r="151" spans="1:8" x14ac:dyDescent="0.3">
      <c r="A151" t="s">
        <v>9</v>
      </c>
      <c r="B151" s="1">
        <v>40256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</row>
    <row r="152" spans="1:8" x14ac:dyDescent="0.3">
      <c r="A152" t="s">
        <v>9</v>
      </c>
      <c r="B152" s="1">
        <v>40263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</row>
    <row r="153" spans="1:8" x14ac:dyDescent="0.3">
      <c r="A153" t="s">
        <v>9</v>
      </c>
      <c r="B153" s="1">
        <v>40270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</row>
    <row r="154" spans="1:8" x14ac:dyDescent="0.3">
      <c r="A154" t="s">
        <v>9</v>
      </c>
      <c r="B154" s="1">
        <v>40277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</row>
    <row r="155" spans="1:8" x14ac:dyDescent="0.3">
      <c r="A155" t="s">
        <v>9</v>
      </c>
      <c r="B155" s="1">
        <v>40284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</row>
    <row r="156" spans="1:8" x14ac:dyDescent="0.3">
      <c r="A156" t="s">
        <v>9</v>
      </c>
      <c r="B156" s="1">
        <v>40291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</row>
    <row r="157" spans="1:8" x14ac:dyDescent="0.3">
      <c r="A157" t="s">
        <v>9</v>
      </c>
      <c r="B157" s="1">
        <v>40298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</row>
    <row r="158" spans="1:8" x14ac:dyDescent="0.3">
      <c r="A158" t="s">
        <v>9</v>
      </c>
      <c r="B158" s="1">
        <v>40305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</row>
    <row r="159" spans="1:8" x14ac:dyDescent="0.3">
      <c r="A159" t="s">
        <v>9</v>
      </c>
      <c r="B159" s="1">
        <v>40312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</row>
    <row r="160" spans="1:8" x14ac:dyDescent="0.3">
      <c r="A160" t="s">
        <v>9</v>
      </c>
      <c r="B160" s="1">
        <v>40319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</row>
    <row r="161" spans="1:8" x14ac:dyDescent="0.3">
      <c r="A161" t="s">
        <v>9</v>
      </c>
      <c r="B161" s="1">
        <v>40326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</row>
    <row r="162" spans="1:8" x14ac:dyDescent="0.3">
      <c r="A162" t="s">
        <v>9</v>
      </c>
      <c r="B162" s="1">
        <v>40333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</row>
    <row r="163" spans="1:8" x14ac:dyDescent="0.3">
      <c r="A163" t="s">
        <v>9</v>
      </c>
      <c r="B163" s="1">
        <v>40340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</row>
    <row r="164" spans="1:8" x14ac:dyDescent="0.3">
      <c r="A164" t="s">
        <v>9</v>
      </c>
      <c r="B164" s="1">
        <v>40347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</row>
    <row r="165" spans="1:8" x14ac:dyDescent="0.3">
      <c r="A165" t="s">
        <v>9</v>
      </c>
      <c r="B165" s="1">
        <v>40354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</row>
    <row r="166" spans="1:8" x14ac:dyDescent="0.3">
      <c r="A166" t="s">
        <v>9</v>
      </c>
      <c r="B166" s="1">
        <v>40361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</row>
    <row r="167" spans="1:8" x14ac:dyDescent="0.3">
      <c r="A167" t="s">
        <v>9</v>
      </c>
      <c r="B167" s="1">
        <v>40368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</row>
    <row r="168" spans="1:8" x14ac:dyDescent="0.3">
      <c r="A168" t="s">
        <v>9</v>
      </c>
      <c r="B168" s="1">
        <v>40375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</row>
    <row r="169" spans="1:8" x14ac:dyDescent="0.3">
      <c r="A169" t="s">
        <v>9</v>
      </c>
      <c r="B169" s="1">
        <v>40382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</row>
    <row r="170" spans="1:8" x14ac:dyDescent="0.3">
      <c r="A170" t="s">
        <v>9</v>
      </c>
      <c r="B170" s="1">
        <v>40389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</row>
    <row r="171" spans="1:8" x14ac:dyDescent="0.3">
      <c r="A171" t="s">
        <v>9</v>
      </c>
      <c r="B171" s="1">
        <v>40396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</row>
    <row r="172" spans="1:8" x14ac:dyDescent="0.3">
      <c r="A172" t="s">
        <v>9</v>
      </c>
      <c r="B172" s="1">
        <v>40403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</row>
    <row r="173" spans="1:8" x14ac:dyDescent="0.3">
      <c r="A173" t="s">
        <v>9</v>
      </c>
      <c r="B173" s="1">
        <v>40410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</row>
    <row r="174" spans="1:8" x14ac:dyDescent="0.3">
      <c r="A174" t="s">
        <v>9</v>
      </c>
      <c r="B174" s="1">
        <v>40417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</row>
    <row r="175" spans="1:8" x14ac:dyDescent="0.3">
      <c r="A175" t="s">
        <v>9</v>
      </c>
      <c r="B175" s="1">
        <v>40424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</row>
    <row r="176" spans="1:8" x14ac:dyDescent="0.3">
      <c r="A176" t="s">
        <v>9</v>
      </c>
      <c r="B176" s="1">
        <v>40431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</row>
    <row r="177" spans="1:8" x14ac:dyDescent="0.3">
      <c r="A177" t="s">
        <v>9</v>
      </c>
      <c r="B177" s="1">
        <v>40438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</row>
    <row r="178" spans="1:8" x14ac:dyDescent="0.3">
      <c r="A178" t="s">
        <v>9</v>
      </c>
      <c r="B178" s="1">
        <v>40445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</row>
    <row r="179" spans="1:8" x14ac:dyDescent="0.3">
      <c r="A179" t="s">
        <v>9</v>
      </c>
      <c r="B179" s="1">
        <v>40452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</row>
    <row r="180" spans="1:8" x14ac:dyDescent="0.3">
      <c r="A180" t="s">
        <v>9</v>
      </c>
      <c r="B180" s="1">
        <v>40459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</row>
    <row r="181" spans="1:8" x14ac:dyDescent="0.3">
      <c r="A181" t="s">
        <v>9</v>
      </c>
      <c r="B181" s="1">
        <v>40466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</row>
    <row r="182" spans="1:8" x14ac:dyDescent="0.3">
      <c r="A182" t="s">
        <v>9</v>
      </c>
      <c r="B182" s="1">
        <v>40473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</row>
    <row r="183" spans="1:8" x14ac:dyDescent="0.3">
      <c r="A183" t="s">
        <v>9</v>
      </c>
      <c r="B183" s="1">
        <v>40480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</row>
    <row r="184" spans="1:8" x14ac:dyDescent="0.3">
      <c r="A184" t="s">
        <v>9</v>
      </c>
      <c r="B184" s="1">
        <v>40487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</row>
    <row r="185" spans="1:8" x14ac:dyDescent="0.3">
      <c r="A185" t="s">
        <v>9</v>
      </c>
      <c r="B185" s="1">
        <v>40494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</row>
    <row r="186" spans="1:8" x14ac:dyDescent="0.3">
      <c r="A186" t="s">
        <v>9</v>
      </c>
      <c r="B186" s="1">
        <v>40501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</row>
    <row r="187" spans="1:8" x14ac:dyDescent="0.3">
      <c r="A187" t="s">
        <v>9</v>
      </c>
      <c r="B187" s="1">
        <v>40508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</row>
    <row r="188" spans="1:8" x14ac:dyDescent="0.3">
      <c r="A188" t="s">
        <v>9</v>
      </c>
      <c r="B188" s="1">
        <v>40515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</row>
    <row r="189" spans="1:8" x14ac:dyDescent="0.3">
      <c r="A189" t="s">
        <v>9</v>
      </c>
      <c r="B189" s="1">
        <v>40522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</row>
    <row r="190" spans="1:8" x14ac:dyDescent="0.3">
      <c r="A190" t="s">
        <v>9</v>
      </c>
      <c r="B190" s="1">
        <v>40529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</row>
    <row r="191" spans="1:8" x14ac:dyDescent="0.3">
      <c r="A191" t="s">
        <v>9</v>
      </c>
      <c r="B191" s="1">
        <v>40536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</row>
    <row r="192" spans="1:8" x14ac:dyDescent="0.3">
      <c r="A192" t="s">
        <v>9</v>
      </c>
      <c r="B192" s="1">
        <v>40543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</row>
    <row r="193" spans="1:8" x14ac:dyDescent="0.3">
      <c r="A193" t="s">
        <v>9</v>
      </c>
      <c r="B193" s="1">
        <v>40550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</row>
    <row r="194" spans="1:8" x14ac:dyDescent="0.3">
      <c r="A194" t="s">
        <v>9</v>
      </c>
      <c r="B194" s="1">
        <v>40557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</row>
    <row r="195" spans="1:8" x14ac:dyDescent="0.3">
      <c r="A195" t="s">
        <v>9</v>
      </c>
      <c r="B195" s="1">
        <v>40564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</row>
    <row r="196" spans="1:8" x14ac:dyDescent="0.3">
      <c r="A196" t="s">
        <v>9</v>
      </c>
      <c r="B196" s="1">
        <v>40571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</row>
    <row r="197" spans="1:8" x14ac:dyDescent="0.3">
      <c r="A197" t="s">
        <v>9</v>
      </c>
      <c r="B197" s="1">
        <v>40578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</row>
    <row r="198" spans="1:8" x14ac:dyDescent="0.3">
      <c r="A198" t="s">
        <v>9</v>
      </c>
      <c r="B198" s="1">
        <v>40585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</row>
    <row r="199" spans="1:8" x14ac:dyDescent="0.3">
      <c r="A199" t="s">
        <v>9</v>
      </c>
      <c r="B199" s="1">
        <v>40592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</row>
    <row r="200" spans="1:8" x14ac:dyDescent="0.3">
      <c r="A200" t="s">
        <v>9</v>
      </c>
      <c r="B200" s="1">
        <v>40599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</row>
    <row r="201" spans="1:8" x14ac:dyDescent="0.3">
      <c r="A201" t="s">
        <v>9</v>
      </c>
      <c r="B201" s="1">
        <v>40606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</row>
    <row r="202" spans="1:8" x14ac:dyDescent="0.3">
      <c r="A202" t="s">
        <v>9</v>
      </c>
      <c r="B202" s="1">
        <v>40613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</row>
    <row r="203" spans="1:8" x14ac:dyDescent="0.3">
      <c r="A203" t="s">
        <v>9</v>
      </c>
      <c r="B203" s="1">
        <v>40620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</row>
    <row r="204" spans="1:8" x14ac:dyDescent="0.3">
      <c r="A204" t="s">
        <v>9</v>
      </c>
      <c r="B204" s="1">
        <v>40627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</row>
    <row r="205" spans="1:8" x14ac:dyDescent="0.3">
      <c r="A205" t="s">
        <v>9</v>
      </c>
      <c r="B205" s="1">
        <v>40634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 x14ac:dyDescent="0.3">
      <c r="A206" t="s">
        <v>9</v>
      </c>
      <c r="B206" s="1">
        <v>40641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</row>
    <row r="207" spans="1:8" x14ac:dyDescent="0.3">
      <c r="A207" t="s">
        <v>9</v>
      </c>
      <c r="B207" s="1">
        <v>40648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</row>
    <row r="208" spans="1:8" x14ac:dyDescent="0.3">
      <c r="A208" t="s">
        <v>9</v>
      </c>
      <c r="B208" s="1">
        <v>40655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</row>
    <row r="209" spans="1:8" x14ac:dyDescent="0.3">
      <c r="A209" t="s">
        <v>9</v>
      </c>
      <c r="B209" s="1">
        <v>40662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</row>
    <row r="210" spans="1:8" x14ac:dyDescent="0.3">
      <c r="A210" t="s">
        <v>9</v>
      </c>
      <c r="B210" s="1">
        <v>40669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</row>
    <row r="211" spans="1:8" x14ac:dyDescent="0.3">
      <c r="A211" t="s">
        <v>9</v>
      </c>
      <c r="B211" s="1">
        <v>40676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</row>
    <row r="212" spans="1:8" x14ac:dyDescent="0.3">
      <c r="A212" t="s">
        <v>9</v>
      </c>
      <c r="B212" s="1">
        <v>40683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</row>
    <row r="213" spans="1:8" x14ac:dyDescent="0.3">
      <c r="A213" t="s">
        <v>9</v>
      </c>
      <c r="B213" s="1">
        <v>40690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</row>
    <row r="214" spans="1:8" x14ac:dyDescent="0.3">
      <c r="A214" t="s">
        <v>9</v>
      </c>
      <c r="B214" s="1">
        <v>40697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</row>
    <row r="215" spans="1:8" x14ac:dyDescent="0.3">
      <c r="A215" t="s">
        <v>9</v>
      </c>
      <c r="B215" s="1">
        <v>40704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</row>
    <row r="216" spans="1:8" x14ac:dyDescent="0.3">
      <c r="A216" t="s">
        <v>9</v>
      </c>
      <c r="B216" s="1">
        <v>40711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</row>
    <row r="217" spans="1:8" x14ac:dyDescent="0.3">
      <c r="A217" t="s">
        <v>9</v>
      </c>
      <c r="B217" s="1">
        <v>40718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</row>
    <row r="218" spans="1:8" x14ac:dyDescent="0.3">
      <c r="A218" t="s">
        <v>9</v>
      </c>
      <c r="B218" s="1">
        <v>40725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</row>
    <row r="219" spans="1:8" x14ac:dyDescent="0.3">
      <c r="A219" t="s">
        <v>9</v>
      </c>
      <c r="B219" s="1">
        <v>40732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</row>
    <row r="220" spans="1:8" x14ac:dyDescent="0.3">
      <c r="A220" t="s">
        <v>9</v>
      </c>
      <c r="B220" s="1">
        <v>40739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</row>
    <row r="221" spans="1:8" x14ac:dyDescent="0.3">
      <c r="A221" t="s">
        <v>9</v>
      </c>
      <c r="B221" s="1">
        <v>40746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</row>
    <row r="222" spans="1:8" x14ac:dyDescent="0.3">
      <c r="A222" t="s">
        <v>9</v>
      </c>
      <c r="B222" s="1">
        <v>40753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</row>
    <row r="223" spans="1:8" x14ac:dyDescent="0.3">
      <c r="A223" t="s">
        <v>9</v>
      </c>
      <c r="B223" s="1">
        <v>40760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</row>
    <row r="224" spans="1:8" x14ac:dyDescent="0.3">
      <c r="A224" t="s">
        <v>9</v>
      </c>
      <c r="B224" s="1">
        <v>40767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</row>
    <row r="225" spans="1:8" x14ac:dyDescent="0.3">
      <c r="A225" t="s">
        <v>9</v>
      </c>
      <c r="B225" s="1">
        <v>40774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</row>
    <row r="226" spans="1:8" x14ac:dyDescent="0.3">
      <c r="A226" t="s">
        <v>9</v>
      </c>
      <c r="B226" s="1">
        <v>40781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</row>
    <row r="227" spans="1:8" x14ac:dyDescent="0.3">
      <c r="A227" t="s">
        <v>9</v>
      </c>
      <c r="B227" s="1">
        <v>40788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</row>
    <row r="228" spans="1:8" x14ac:dyDescent="0.3">
      <c r="A228" t="s">
        <v>9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</row>
    <row r="229" spans="1:8" x14ac:dyDescent="0.3">
      <c r="A229" t="s">
        <v>9</v>
      </c>
      <c r="B229" s="1">
        <v>40802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</row>
    <row r="230" spans="1:8" x14ac:dyDescent="0.3">
      <c r="A230" t="s">
        <v>9</v>
      </c>
      <c r="B230" s="1">
        <v>40809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</row>
    <row r="231" spans="1:8" x14ac:dyDescent="0.3">
      <c r="A231" t="s">
        <v>9</v>
      </c>
      <c r="B231" s="1">
        <v>40816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</row>
    <row r="232" spans="1:8" x14ac:dyDescent="0.3">
      <c r="A232" t="s">
        <v>9</v>
      </c>
      <c r="B232" s="1">
        <v>40823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</row>
    <row r="233" spans="1:8" x14ac:dyDescent="0.3">
      <c r="A233" t="s">
        <v>9</v>
      </c>
      <c r="B233" s="1">
        <v>40830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</row>
    <row r="234" spans="1:8" x14ac:dyDescent="0.3">
      <c r="A234" t="s">
        <v>9</v>
      </c>
      <c r="B234" s="1">
        <v>40837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</row>
    <row r="235" spans="1:8" x14ac:dyDescent="0.3">
      <c r="A235" t="s">
        <v>9</v>
      </c>
      <c r="B235" s="1">
        <v>40844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</row>
    <row r="236" spans="1:8" x14ac:dyDescent="0.3">
      <c r="A236" t="s">
        <v>9</v>
      </c>
      <c r="B236" s="1">
        <v>40851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</row>
    <row r="237" spans="1:8" x14ac:dyDescent="0.3">
      <c r="A237" t="s">
        <v>9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</row>
    <row r="238" spans="1:8" x14ac:dyDescent="0.3">
      <c r="A238" t="s">
        <v>9</v>
      </c>
      <c r="B238" s="1">
        <v>40865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</row>
    <row r="239" spans="1:8" x14ac:dyDescent="0.3">
      <c r="A239" t="s">
        <v>9</v>
      </c>
      <c r="B239" s="1">
        <v>40872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</row>
    <row r="240" spans="1:8" x14ac:dyDescent="0.3">
      <c r="A240" t="s">
        <v>9</v>
      </c>
      <c r="B240" s="1">
        <v>40879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</row>
    <row r="241" spans="1:8" x14ac:dyDescent="0.3">
      <c r="A241" t="s">
        <v>9</v>
      </c>
      <c r="B241" s="1">
        <v>40886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</row>
    <row r="242" spans="1:8" x14ac:dyDescent="0.3">
      <c r="A242" t="s">
        <v>9</v>
      </c>
      <c r="B242" s="1">
        <v>40893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</row>
    <row r="243" spans="1:8" x14ac:dyDescent="0.3">
      <c r="A243" t="s">
        <v>9</v>
      </c>
      <c r="B243" s="1">
        <v>40900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</row>
    <row r="244" spans="1:8" x14ac:dyDescent="0.3">
      <c r="A244" t="s">
        <v>9</v>
      </c>
      <c r="B244" s="1">
        <v>40907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</row>
    <row r="245" spans="1:8" x14ac:dyDescent="0.3">
      <c r="A245" t="s">
        <v>9</v>
      </c>
      <c r="B245" s="1">
        <v>40914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</row>
    <row r="246" spans="1:8" x14ac:dyDescent="0.3">
      <c r="A246" t="s">
        <v>9</v>
      </c>
      <c r="B246" s="1">
        <v>40921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</row>
    <row r="247" spans="1:8" x14ac:dyDescent="0.3">
      <c r="A247" t="s">
        <v>9</v>
      </c>
      <c r="B247" s="1">
        <v>40928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</row>
    <row r="248" spans="1:8" x14ac:dyDescent="0.3">
      <c r="A248" t="s">
        <v>9</v>
      </c>
      <c r="B248" s="1">
        <v>40935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</row>
    <row r="249" spans="1:8" x14ac:dyDescent="0.3">
      <c r="A249" t="s">
        <v>9</v>
      </c>
      <c r="B249" s="1">
        <v>40942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</row>
    <row r="250" spans="1:8" x14ac:dyDescent="0.3">
      <c r="A250" t="s">
        <v>9</v>
      </c>
      <c r="B250" s="1">
        <v>40949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</row>
    <row r="251" spans="1:8" x14ac:dyDescent="0.3">
      <c r="A251" t="s">
        <v>9</v>
      </c>
      <c r="B251" s="1">
        <v>40956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</row>
    <row r="252" spans="1:8" x14ac:dyDescent="0.3">
      <c r="A252" t="s">
        <v>9</v>
      </c>
      <c r="B252" s="1">
        <v>40963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</row>
    <row r="253" spans="1:8" x14ac:dyDescent="0.3">
      <c r="A253" t="s">
        <v>9</v>
      </c>
      <c r="B253" s="1">
        <v>40970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</row>
    <row r="254" spans="1:8" x14ac:dyDescent="0.3">
      <c r="A254" t="s">
        <v>9</v>
      </c>
      <c r="B254" s="1">
        <v>40977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</row>
    <row r="255" spans="1:8" x14ac:dyDescent="0.3">
      <c r="A255" t="s">
        <v>9</v>
      </c>
      <c r="B255" s="1">
        <v>40984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</row>
    <row r="256" spans="1:8" x14ac:dyDescent="0.3">
      <c r="A256" t="s">
        <v>9</v>
      </c>
      <c r="B256" s="1">
        <v>40991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</row>
    <row r="257" spans="1:8" x14ac:dyDescent="0.3">
      <c r="A257" t="s">
        <v>9</v>
      </c>
      <c r="B257" s="1">
        <v>40998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</row>
    <row r="258" spans="1:8" x14ac:dyDescent="0.3">
      <c r="A258" t="s">
        <v>9</v>
      </c>
      <c r="B258" s="1">
        <v>41005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</row>
    <row r="259" spans="1:8" x14ac:dyDescent="0.3">
      <c r="A259" t="s">
        <v>9</v>
      </c>
      <c r="B259" s="1">
        <v>41012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</row>
    <row r="260" spans="1:8" x14ac:dyDescent="0.3">
      <c r="A260" t="s">
        <v>9</v>
      </c>
      <c r="B260" s="1">
        <v>41019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</row>
    <row r="261" spans="1:8" x14ac:dyDescent="0.3">
      <c r="A261" t="s">
        <v>9</v>
      </c>
      <c r="B261" s="1">
        <v>41026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</row>
    <row r="262" spans="1:8" x14ac:dyDescent="0.3">
      <c r="A262" t="s">
        <v>9</v>
      </c>
      <c r="B262" s="1">
        <v>41033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</row>
    <row r="263" spans="1:8" x14ac:dyDescent="0.3">
      <c r="A263" t="s">
        <v>9</v>
      </c>
      <c r="B263" s="1">
        <v>41040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</row>
    <row r="264" spans="1:8" x14ac:dyDescent="0.3">
      <c r="A264" t="s">
        <v>9</v>
      </c>
      <c r="B264" s="1">
        <v>41047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</row>
    <row r="265" spans="1:8" x14ac:dyDescent="0.3">
      <c r="A265" t="s">
        <v>9</v>
      </c>
      <c r="B265" s="1">
        <v>41054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</row>
    <row r="266" spans="1:8" x14ac:dyDescent="0.3">
      <c r="A266" t="s">
        <v>9</v>
      </c>
      <c r="B266" s="1">
        <v>41061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</row>
    <row r="267" spans="1:8" x14ac:dyDescent="0.3">
      <c r="A267" t="s">
        <v>9</v>
      </c>
      <c r="B267" s="1">
        <v>41068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</row>
    <row r="268" spans="1:8" x14ac:dyDescent="0.3">
      <c r="A268" t="s">
        <v>9</v>
      </c>
      <c r="B268" s="1">
        <v>41075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</row>
    <row r="269" spans="1:8" x14ac:dyDescent="0.3">
      <c r="A269" t="s">
        <v>9</v>
      </c>
      <c r="B269" s="1">
        <v>41082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</row>
    <row r="270" spans="1:8" x14ac:dyDescent="0.3">
      <c r="A270" t="s">
        <v>9</v>
      </c>
      <c r="B270" s="1">
        <v>41089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</row>
    <row r="271" spans="1:8" x14ac:dyDescent="0.3">
      <c r="A271" t="s">
        <v>9</v>
      </c>
      <c r="B271" s="1">
        <v>41096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</row>
    <row r="272" spans="1:8" x14ac:dyDescent="0.3">
      <c r="A272" t="s">
        <v>9</v>
      </c>
      <c r="B272" s="1">
        <v>41103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</row>
    <row r="273" spans="1:8" x14ac:dyDescent="0.3">
      <c r="A273" t="s">
        <v>9</v>
      </c>
      <c r="B273" s="1">
        <v>41110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</row>
    <row r="274" spans="1:8" x14ac:dyDescent="0.3">
      <c r="A274" t="s">
        <v>9</v>
      </c>
      <c r="B274" s="1">
        <v>41117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</row>
    <row r="275" spans="1:8" x14ac:dyDescent="0.3">
      <c r="A275" t="s">
        <v>9</v>
      </c>
      <c r="B275" s="1">
        <v>41124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</row>
    <row r="276" spans="1:8" x14ac:dyDescent="0.3">
      <c r="A276" t="s">
        <v>9</v>
      </c>
      <c r="B276" s="1">
        <v>41131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</row>
    <row r="277" spans="1:8" x14ac:dyDescent="0.3">
      <c r="A277" t="s">
        <v>9</v>
      </c>
      <c r="B277" s="1">
        <v>41138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</row>
    <row r="278" spans="1:8" x14ac:dyDescent="0.3">
      <c r="A278" t="s">
        <v>9</v>
      </c>
      <c r="B278" s="1">
        <v>41145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</row>
    <row r="279" spans="1:8" x14ac:dyDescent="0.3">
      <c r="A279" t="s">
        <v>9</v>
      </c>
      <c r="B279" s="1">
        <v>41152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</row>
    <row r="280" spans="1:8" x14ac:dyDescent="0.3">
      <c r="A280" t="s">
        <v>9</v>
      </c>
      <c r="B280" s="1">
        <v>41159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</row>
    <row r="281" spans="1:8" x14ac:dyDescent="0.3">
      <c r="A281" t="s">
        <v>9</v>
      </c>
      <c r="B281" s="1">
        <v>41166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</row>
    <row r="282" spans="1:8" x14ac:dyDescent="0.3">
      <c r="A282" t="s">
        <v>9</v>
      </c>
      <c r="B282" s="1">
        <v>41173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</row>
    <row r="283" spans="1:8" x14ac:dyDescent="0.3">
      <c r="A283" t="s">
        <v>9</v>
      </c>
      <c r="B283" s="1">
        <v>41180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</row>
    <row r="284" spans="1:8" x14ac:dyDescent="0.3">
      <c r="A284" t="s">
        <v>9</v>
      </c>
      <c r="B284" s="1">
        <v>41187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 x14ac:dyDescent="0.3">
      <c r="A285" t="s">
        <v>9</v>
      </c>
      <c r="B285" s="1">
        <v>41194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 x14ac:dyDescent="0.3">
      <c r="A286" t="s">
        <v>9</v>
      </c>
      <c r="B286" s="1">
        <v>41201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</row>
    <row r="287" spans="1:8" x14ac:dyDescent="0.3">
      <c r="A287" t="s">
        <v>9</v>
      </c>
      <c r="B287" s="1">
        <v>41208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</row>
    <row r="288" spans="1:8" x14ac:dyDescent="0.3">
      <c r="A288" t="s">
        <v>10</v>
      </c>
      <c r="B288" s="1">
        <v>40214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</row>
    <row r="289" spans="1:8" x14ac:dyDescent="0.3">
      <c r="A289" t="s">
        <v>10</v>
      </c>
      <c r="B289" s="1">
        <v>40221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</row>
    <row r="290" spans="1:8" x14ac:dyDescent="0.3">
      <c r="A290" t="s">
        <v>10</v>
      </c>
      <c r="B290" s="1">
        <v>40228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</row>
    <row r="291" spans="1:8" x14ac:dyDescent="0.3">
      <c r="A291" t="s">
        <v>10</v>
      </c>
      <c r="B291" s="1">
        <v>40235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</row>
    <row r="292" spans="1:8" x14ac:dyDescent="0.3">
      <c r="A292" t="s">
        <v>10</v>
      </c>
      <c r="B292" s="1">
        <v>40242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</row>
    <row r="293" spans="1:8" x14ac:dyDescent="0.3">
      <c r="A293" t="s">
        <v>10</v>
      </c>
      <c r="B293" s="1">
        <v>40249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</row>
    <row r="294" spans="1:8" x14ac:dyDescent="0.3">
      <c r="A294" t="s">
        <v>10</v>
      </c>
      <c r="B294" s="1">
        <v>40256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</row>
    <row r="295" spans="1:8" x14ac:dyDescent="0.3">
      <c r="A295" t="s">
        <v>10</v>
      </c>
      <c r="B295" s="1">
        <v>40263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</row>
    <row r="296" spans="1:8" x14ac:dyDescent="0.3">
      <c r="A296" t="s">
        <v>10</v>
      </c>
      <c r="B296" s="1">
        <v>40270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</row>
    <row r="297" spans="1:8" x14ac:dyDescent="0.3">
      <c r="A297" t="s">
        <v>10</v>
      </c>
      <c r="B297" s="1">
        <v>40277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 x14ac:dyDescent="0.3">
      <c r="A298" t="s">
        <v>10</v>
      </c>
      <c r="B298" s="1">
        <v>40284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</row>
    <row r="299" spans="1:8" x14ac:dyDescent="0.3">
      <c r="A299" t="s">
        <v>10</v>
      </c>
      <c r="B299" s="1">
        <v>40291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</row>
    <row r="300" spans="1:8" x14ac:dyDescent="0.3">
      <c r="A300" t="s">
        <v>10</v>
      </c>
      <c r="B300" s="1">
        <v>40298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</row>
    <row r="301" spans="1:8" x14ac:dyDescent="0.3">
      <c r="A301" t="s">
        <v>10</v>
      </c>
      <c r="B301" s="1">
        <v>40305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 x14ac:dyDescent="0.3">
      <c r="A302" t="s">
        <v>10</v>
      </c>
      <c r="B302" s="1">
        <v>40312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</row>
    <row r="303" spans="1:8" x14ac:dyDescent="0.3">
      <c r="A303" t="s">
        <v>10</v>
      </c>
      <c r="B303" s="1">
        <v>40319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</row>
    <row r="304" spans="1:8" x14ac:dyDescent="0.3">
      <c r="A304" t="s">
        <v>10</v>
      </c>
      <c r="B304" s="1">
        <v>40326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</row>
    <row r="305" spans="1:8" x14ac:dyDescent="0.3">
      <c r="A305" t="s">
        <v>10</v>
      </c>
      <c r="B305" s="1">
        <v>40333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</row>
    <row r="306" spans="1:8" x14ac:dyDescent="0.3">
      <c r="A306" t="s">
        <v>10</v>
      </c>
      <c r="B306" s="1">
        <v>40340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</row>
    <row r="307" spans="1:8" x14ac:dyDescent="0.3">
      <c r="A307" t="s">
        <v>10</v>
      </c>
      <c r="B307" s="1">
        <v>40347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</row>
    <row r="308" spans="1:8" x14ac:dyDescent="0.3">
      <c r="A308" t="s">
        <v>10</v>
      </c>
      <c r="B308" s="1">
        <v>40354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</row>
    <row r="309" spans="1:8" x14ac:dyDescent="0.3">
      <c r="A309" t="s">
        <v>10</v>
      </c>
      <c r="B309" s="1">
        <v>40361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</row>
    <row r="310" spans="1:8" x14ac:dyDescent="0.3">
      <c r="A310" t="s">
        <v>10</v>
      </c>
      <c r="B310" s="1">
        <v>40368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</row>
    <row r="311" spans="1:8" x14ac:dyDescent="0.3">
      <c r="A311" t="s">
        <v>10</v>
      </c>
      <c r="B311" s="1">
        <v>40375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</row>
    <row r="312" spans="1:8" x14ac:dyDescent="0.3">
      <c r="A312" t="s">
        <v>10</v>
      </c>
      <c r="B312" s="1">
        <v>40382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</row>
    <row r="313" spans="1:8" x14ac:dyDescent="0.3">
      <c r="A313" t="s">
        <v>10</v>
      </c>
      <c r="B313" s="1">
        <v>40389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</row>
    <row r="314" spans="1:8" x14ac:dyDescent="0.3">
      <c r="A314" t="s">
        <v>10</v>
      </c>
      <c r="B314" s="1">
        <v>40396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</row>
    <row r="315" spans="1:8" x14ac:dyDescent="0.3">
      <c r="A315" t="s">
        <v>10</v>
      </c>
      <c r="B315" s="1">
        <v>40403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</row>
    <row r="316" spans="1:8" x14ac:dyDescent="0.3">
      <c r="A316" t="s">
        <v>10</v>
      </c>
      <c r="B316" s="1">
        <v>40410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</row>
    <row r="317" spans="1:8" x14ac:dyDescent="0.3">
      <c r="A317" t="s">
        <v>10</v>
      </c>
      <c r="B317" s="1">
        <v>40417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</row>
    <row r="318" spans="1:8" x14ac:dyDescent="0.3">
      <c r="A318" t="s">
        <v>10</v>
      </c>
      <c r="B318" s="1">
        <v>40424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</row>
    <row r="319" spans="1:8" x14ac:dyDescent="0.3">
      <c r="A319" t="s">
        <v>10</v>
      </c>
      <c r="B319" s="1">
        <v>40431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</row>
    <row r="320" spans="1:8" x14ac:dyDescent="0.3">
      <c r="A320" t="s">
        <v>10</v>
      </c>
      <c r="B320" s="1">
        <v>40438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</row>
    <row r="321" spans="1:8" x14ac:dyDescent="0.3">
      <c r="A321" t="s">
        <v>10</v>
      </c>
      <c r="B321" s="1">
        <v>40445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</row>
    <row r="322" spans="1:8" x14ac:dyDescent="0.3">
      <c r="A322" t="s">
        <v>10</v>
      </c>
      <c r="B322" s="1">
        <v>40452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</row>
    <row r="323" spans="1:8" x14ac:dyDescent="0.3">
      <c r="A323" t="s">
        <v>10</v>
      </c>
      <c r="B323" s="1">
        <v>40459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</row>
    <row r="324" spans="1:8" x14ac:dyDescent="0.3">
      <c r="A324" t="s">
        <v>10</v>
      </c>
      <c r="B324" s="1">
        <v>40466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</row>
    <row r="325" spans="1:8" x14ac:dyDescent="0.3">
      <c r="A325" t="s">
        <v>10</v>
      </c>
      <c r="B325" s="1">
        <v>40473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</row>
    <row r="326" spans="1:8" x14ac:dyDescent="0.3">
      <c r="A326" t="s">
        <v>10</v>
      </c>
      <c r="B326" s="1">
        <v>40480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</row>
    <row r="327" spans="1:8" x14ac:dyDescent="0.3">
      <c r="A327" t="s">
        <v>10</v>
      </c>
      <c r="B327" s="1">
        <v>40487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</row>
    <row r="328" spans="1:8" x14ac:dyDescent="0.3">
      <c r="A328" t="s">
        <v>10</v>
      </c>
      <c r="B328" s="1">
        <v>40494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</row>
    <row r="329" spans="1:8" x14ac:dyDescent="0.3">
      <c r="A329" t="s">
        <v>10</v>
      </c>
      <c r="B329" s="1">
        <v>40501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</row>
    <row r="330" spans="1:8" x14ac:dyDescent="0.3">
      <c r="A330" t="s">
        <v>10</v>
      </c>
      <c r="B330" s="1">
        <v>40508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</row>
    <row r="331" spans="1:8" x14ac:dyDescent="0.3">
      <c r="A331" t="s">
        <v>10</v>
      </c>
      <c r="B331" s="1">
        <v>40515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</row>
    <row r="332" spans="1:8" x14ac:dyDescent="0.3">
      <c r="A332" t="s">
        <v>10</v>
      </c>
      <c r="B332" s="1">
        <v>40522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</row>
    <row r="333" spans="1:8" x14ac:dyDescent="0.3">
      <c r="A333" t="s">
        <v>10</v>
      </c>
      <c r="B333" s="1">
        <v>40529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</row>
    <row r="334" spans="1:8" x14ac:dyDescent="0.3">
      <c r="A334" t="s">
        <v>10</v>
      </c>
      <c r="B334" s="1">
        <v>40536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</row>
    <row r="335" spans="1:8" x14ac:dyDescent="0.3">
      <c r="A335" t="s">
        <v>10</v>
      </c>
      <c r="B335" s="1">
        <v>40543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</row>
    <row r="336" spans="1:8" x14ac:dyDescent="0.3">
      <c r="A336" t="s">
        <v>10</v>
      </c>
      <c r="B336" s="1">
        <v>40550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</row>
    <row r="337" spans="1:8" x14ac:dyDescent="0.3">
      <c r="A337" t="s">
        <v>10</v>
      </c>
      <c r="B337" s="1">
        <v>40557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</row>
    <row r="338" spans="1:8" x14ac:dyDescent="0.3">
      <c r="A338" t="s">
        <v>10</v>
      </c>
      <c r="B338" s="1">
        <v>40564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</row>
    <row r="339" spans="1:8" x14ac:dyDescent="0.3">
      <c r="A339" t="s">
        <v>10</v>
      </c>
      <c r="B339" s="1">
        <v>40571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</row>
    <row r="340" spans="1:8" x14ac:dyDescent="0.3">
      <c r="A340" t="s">
        <v>10</v>
      </c>
      <c r="B340" s="1">
        <v>40578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</row>
    <row r="341" spans="1:8" x14ac:dyDescent="0.3">
      <c r="A341" t="s">
        <v>10</v>
      </c>
      <c r="B341" s="1">
        <v>40585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</row>
    <row r="342" spans="1:8" x14ac:dyDescent="0.3">
      <c r="A342" t="s">
        <v>10</v>
      </c>
      <c r="B342" s="1">
        <v>40592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</row>
    <row r="343" spans="1:8" x14ac:dyDescent="0.3">
      <c r="A343" t="s">
        <v>10</v>
      </c>
      <c r="B343" s="1">
        <v>40599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</row>
    <row r="344" spans="1:8" x14ac:dyDescent="0.3">
      <c r="A344" t="s">
        <v>10</v>
      </c>
      <c r="B344" s="1">
        <v>40606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</row>
    <row r="345" spans="1:8" x14ac:dyDescent="0.3">
      <c r="A345" t="s">
        <v>10</v>
      </c>
      <c r="B345" s="1">
        <v>40613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</row>
    <row r="346" spans="1:8" x14ac:dyDescent="0.3">
      <c r="A346" t="s">
        <v>10</v>
      </c>
      <c r="B346" s="1">
        <v>40620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</row>
    <row r="347" spans="1:8" x14ac:dyDescent="0.3">
      <c r="A347" t="s">
        <v>10</v>
      </c>
      <c r="B347" s="1">
        <v>40627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</row>
    <row r="348" spans="1:8" x14ac:dyDescent="0.3">
      <c r="A348" t="s">
        <v>10</v>
      </c>
      <c r="B348" s="1">
        <v>40634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</row>
    <row r="349" spans="1:8" x14ac:dyDescent="0.3">
      <c r="A349" t="s">
        <v>10</v>
      </c>
      <c r="B349" s="1">
        <v>40641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</row>
    <row r="350" spans="1:8" x14ac:dyDescent="0.3">
      <c r="A350" t="s">
        <v>10</v>
      </c>
      <c r="B350" s="1">
        <v>40648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</row>
    <row r="351" spans="1:8" x14ac:dyDescent="0.3">
      <c r="A351" t="s">
        <v>10</v>
      </c>
      <c r="B351" s="1">
        <v>40655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</row>
    <row r="352" spans="1:8" x14ac:dyDescent="0.3">
      <c r="A352" t="s">
        <v>10</v>
      </c>
      <c r="B352" s="1">
        <v>40662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</row>
    <row r="353" spans="1:8" x14ac:dyDescent="0.3">
      <c r="A353" t="s">
        <v>10</v>
      </c>
      <c r="B353" s="1">
        <v>40669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</row>
    <row r="354" spans="1:8" x14ac:dyDescent="0.3">
      <c r="A354" t="s">
        <v>10</v>
      </c>
      <c r="B354" s="1">
        <v>40676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</row>
    <row r="355" spans="1:8" x14ac:dyDescent="0.3">
      <c r="A355" t="s">
        <v>10</v>
      </c>
      <c r="B355" s="1">
        <v>40683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</row>
    <row r="356" spans="1:8" x14ac:dyDescent="0.3">
      <c r="A356" t="s">
        <v>10</v>
      </c>
      <c r="B356" s="1">
        <v>40690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</row>
    <row r="357" spans="1:8" x14ac:dyDescent="0.3">
      <c r="A357" t="s">
        <v>10</v>
      </c>
      <c r="B357" s="1">
        <v>40697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</row>
    <row r="358" spans="1:8" x14ac:dyDescent="0.3">
      <c r="A358" t="s">
        <v>10</v>
      </c>
      <c r="B358" s="1">
        <v>40704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</row>
    <row r="359" spans="1:8" x14ac:dyDescent="0.3">
      <c r="A359" t="s">
        <v>10</v>
      </c>
      <c r="B359" s="1">
        <v>40711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</row>
    <row r="360" spans="1:8" x14ac:dyDescent="0.3">
      <c r="A360" t="s">
        <v>10</v>
      </c>
      <c r="B360" s="1">
        <v>40718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</row>
    <row r="361" spans="1:8" x14ac:dyDescent="0.3">
      <c r="A361" t="s">
        <v>10</v>
      </c>
      <c r="B361" s="1">
        <v>40725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</row>
    <row r="362" spans="1:8" x14ac:dyDescent="0.3">
      <c r="A362" t="s">
        <v>10</v>
      </c>
      <c r="B362" s="1">
        <v>40732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</row>
    <row r="363" spans="1:8" x14ac:dyDescent="0.3">
      <c r="A363" t="s">
        <v>10</v>
      </c>
      <c r="B363" s="1">
        <v>40739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</row>
    <row r="364" spans="1:8" x14ac:dyDescent="0.3">
      <c r="A364" t="s">
        <v>10</v>
      </c>
      <c r="B364" s="1">
        <v>40746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</row>
    <row r="365" spans="1:8" x14ac:dyDescent="0.3">
      <c r="A365" t="s">
        <v>10</v>
      </c>
      <c r="B365" s="1">
        <v>40753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</row>
    <row r="366" spans="1:8" x14ac:dyDescent="0.3">
      <c r="A366" t="s">
        <v>10</v>
      </c>
      <c r="B366" s="1">
        <v>40760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</row>
    <row r="367" spans="1:8" x14ac:dyDescent="0.3">
      <c r="A367" t="s">
        <v>10</v>
      </c>
      <c r="B367" s="1">
        <v>40767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</row>
    <row r="368" spans="1:8" x14ac:dyDescent="0.3">
      <c r="A368" t="s">
        <v>10</v>
      </c>
      <c r="B368" s="1">
        <v>40774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</row>
    <row r="369" spans="1:8" x14ac:dyDescent="0.3">
      <c r="A369" t="s">
        <v>10</v>
      </c>
      <c r="B369" s="1">
        <v>40781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</row>
    <row r="370" spans="1:8" x14ac:dyDescent="0.3">
      <c r="A370" t="s">
        <v>10</v>
      </c>
      <c r="B370" s="1">
        <v>40788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</row>
    <row r="371" spans="1:8" x14ac:dyDescent="0.3">
      <c r="A371" t="s">
        <v>10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</row>
    <row r="372" spans="1:8" x14ac:dyDescent="0.3">
      <c r="A372" t="s">
        <v>10</v>
      </c>
      <c r="B372" s="1">
        <v>40802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</row>
    <row r="373" spans="1:8" x14ac:dyDescent="0.3">
      <c r="A373" t="s">
        <v>10</v>
      </c>
      <c r="B373" s="1">
        <v>40809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</row>
    <row r="374" spans="1:8" x14ac:dyDescent="0.3">
      <c r="A374" t="s">
        <v>10</v>
      </c>
      <c r="B374" s="1">
        <v>40816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</row>
    <row r="375" spans="1:8" x14ac:dyDescent="0.3">
      <c r="A375" t="s">
        <v>10</v>
      </c>
      <c r="B375" s="1">
        <v>40823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</row>
    <row r="376" spans="1:8" x14ac:dyDescent="0.3">
      <c r="A376" t="s">
        <v>10</v>
      </c>
      <c r="B376" s="1">
        <v>40830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</row>
    <row r="377" spans="1:8" x14ac:dyDescent="0.3">
      <c r="A377" t="s">
        <v>10</v>
      </c>
      <c r="B377" s="1">
        <v>40837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</row>
    <row r="378" spans="1:8" x14ac:dyDescent="0.3">
      <c r="A378" t="s">
        <v>10</v>
      </c>
      <c r="B378" s="1">
        <v>40844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</row>
    <row r="379" spans="1:8" x14ac:dyDescent="0.3">
      <c r="A379" t="s">
        <v>10</v>
      </c>
      <c r="B379" s="1">
        <v>40851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</row>
    <row r="380" spans="1:8" x14ac:dyDescent="0.3">
      <c r="A380" t="s">
        <v>10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</row>
    <row r="381" spans="1:8" x14ac:dyDescent="0.3">
      <c r="A381" t="s">
        <v>10</v>
      </c>
      <c r="B381" s="1">
        <v>40865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</row>
    <row r="382" spans="1:8" x14ac:dyDescent="0.3">
      <c r="A382" t="s">
        <v>10</v>
      </c>
      <c r="B382" s="1">
        <v>40872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</row>
    <row r="383" spans="1:8" x14ac:dyDescent="0.3">
      <c r="A383" t="s">
        <v>10</v>
      </c>
      <c r="B383" s="1">
        <v>40879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</row>
    <row r="384" spans="1:8" x14ac:dyDescent="0.3">
      <c r="A384" t="s">
        <v>10</v>
      </c>
      <c r="B384" s="1">
        <v>40886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</row>
    <row r="385" spans="1:8" x14ac:dyDescent="0.3">
      <c r="A385" t="s">
        <v>10</v>
      </c>
      <c r="B385" s="1">
        <v>40893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</row>
    <row r="386" spans="1:8" x14ac:dyDescent="0.3">
      <c r="A386" t="s">
        <v>10</v>
      </c>
      <c r="B386" s="1">
        <v>40900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</row>
    <row r="387" spans="1:8" x14ac:dyDescent="0.3">
      <c r="A387" t="s">
        <v>10</v>
      </c>
      <c r="B387" s="1">
        <v>40907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</row>
    <row r="388" spans="1:8" x14ac:dyDescent="0.3">
      <c r="A388" t="s">
        <v>10</v>
      </c>
      <c r="B388" s="1">
        <v>40914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</row>
    <row r="389" spans="1:8" x14ac:dyDescent="0.3">
      <c r="A389" t="s">
        <v>10</v>
      </c>
      <c r="B389" s="1">
        <v>40921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</row>
    <row r="390" spans="1:8" x14ac:dyDescent="0.3">
      <c r="A390" t="s">
        <v>10</v>
      </c>
      <c r="B390" s="1">
        <v>40928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</row>
    <row r="391" spans="1:8" x14ac:dyDescent="0.3">
      <c r="A391" t="s">
        <v>10</v>
      </c>
      <c r="B391" s="1">
        <v>40935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</row>
    <row r="392" spans="1:8" x14ac:dyDescent="0.3">
      <c r="A392" t="s">
        <v>10</v>
      </c>
      <c r="B392" s="1">
        <v>40942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</row>
    <row r="393" spans="1:8" x14ac:dyDescent="0.3">
      <c r="A393" t="s">
        <v>10</v>
      </c>
      <c r="B393" s="1">
        <v>40949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</row>
    <row r="394" spans="1:8" x14ac:dyDescent="0.3">
      <c r="A394" t="s">
        <v>10</v>
      </c>
      <c r="B394" s="1">
        <v>40956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</row>
    <row r="395" spans="1:8" x14ac:dyDescent="0.3">
      <c r="A395" t="s">
        <v>10</v>
      </c>
      <c r="B395" s="1">
        <v>40963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</row>
    <row r="396" spans="1:8" x14ac:dyDescent="0.3">
      <c r="A396" t="s">
        <v>10</v>
      </c>
      <c r="B396" s="1">
        <v>40970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</row>
    <row r="397" spans="1:8" x14ac:dyDescent="0.3">
      <c r="A397" t="s">
        <v>10</v>
      </c>
      <c r="B397" s="1">
        <v>40977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</row>
    <row r="398" spans="1:8" x14ac:dyDescent="0.3">
      <c r="A398" t="s">
        <v>10</v>
      </c>
      <c r="B398" s="1">
        <v>40984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</row>
    <row r="399" spans="1:8" x14ac:dyDescent="0.3">
      <c r="A399" t="s">
        <v>10</v>
      </c>
      <c r="B399" s="1">
        <v>40991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</row>
    <row r="400" spans="1:8" x14ac:dyDescent="0.3">
      <c r="A400" t="s">
        <v>10</v>
      </c>
      <c r="B400" s="1">
        <v>40998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</row>
    <row r="401" spans="1:8" x14ac:dyDescent="0.3">
      <c r="A401" t="s">
        <v>10</v>
      </c>
      <c r="B401" s="1">
        <v>41005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</row>
    <row r="402" spans="1:8" x14ac:dyDescent="0.3">
      <c r="A402" t="s">
        <v>10</v>
      </c>
      <c r="B402" s="1">
        <v>41012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</row>
    <row r="403" spans="1:8" x14ac:dyDescent="0.3">
      <c r="A403" t="s">
        <v>10</v>
      </c>
      <c r="B403" s="1">
        <v>41019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</row>
    <row r="404" spans="1:8" x14ac:dyDescent="0.3">
      <c r="A404" t="s">
        <v>10</v>
      </c>
      <c r="B404" s="1">
        <v>41026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</row>
    <row r="405" spans="1:8" x14ac:dyDescent="0.3">
      <c r="A405" t="s">
        <v>10</v>
      </c>
      <c r="B405" s="1">
        <v>41033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</row>
    <row r="406" spans="1:8" x14ac:dyDescent="0.3">
      <c r="A406" t="s">
        <v>10</v>
      </c>
      <c r="B406" s="1">
        <v>41040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</row>
    <row r="407" spans="1:8" x14ac:dyDescent="0.3">
      <c r="A407" t="s">
        <v>10</v>
      </c>
      <c r="B407" s="1">
        <v>41047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</row>
    <row r="408" spans="1:8" x14ac:dyDescent="0.3">
      <c r="A408" t="s">
        <v>10</v>
      </c>
      <c r="B408" s="1">
        <v>41054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</row>
    <row r="409" spans="1:8" x14ac:dyDescent="0.3">
      <c r="A409" t="s">
        <v>10</v>
      </c>
      <c r="B409" s="1">
        <v>41061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</row>
    <row r="410" spans="1:8" x14ac:dyDescent="0.3">
      <c r="A410" t="s">
        <v>10</v>
      </c>
      <c r="B410" s="1">
        <v>41068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</row>
    <row r="411" spans="1:8" x14ac:dyDescent="0.3">
      <c r="A411" t="s">
        <v>10</v>
      </c>
      <c r="B411" s="1">
        <v>41075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</row>
    <row r="412" spans="1:8" x14ac:dyDescent="0.3">
      <c r="A412" t="s">
        <v>10</v>
      </c>
      <c r="B412" s="1">
        <v>41082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</row>
    <row r="413" spans="1:8" x14ac:dyDescent="0.3">
      <c r="A413" t="s">
        <v>10</v>
      </c>
      <c r="B413" s="1">
        <v>41089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</row>
    <row r="414" spans="1:8" x14ac:dyDescent="0.3">
      <c r="A414" t="s">
        <v>10</v>
      </c>
      <c r="B414" s="1">
        <v>41096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</row>
    <row r="415" spans="1:8" x14ac:dyDescent="0.3">
      <c r="A415" t="s">
        <v>10</v>
      </c>
      <c r="B415" s="1">
        <v>41103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</row>
    <row r="416" spans="1:8" x14ac:dyDescent="0.3">
      <c r="A416" t="s">
        <v>10</v>
      </c>
      <c r="B416" s="1">
        <v>41110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</row>
    <row r="417" spans="1:8" x14ac:dyDescent="0.3">
      <c r="A417" t="s">
        <v>10</v>
      </c>
      <c r="B417" s="1">
        <v>41117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</row>
    <row r="418" spans="1:8" x14ac:dyDescent="0.3">
      <c r="A418" t="s">
        <v>10</v>
      </c>
      <c r="B418" s="1">
        <v>41124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</row>
    <row r="419" spans="1:8" x14ac:dyDescent="0.3">
      <c r="A419" t="s">
        <v>10</v>
      </c>
      <c r="B419" s="1">
        <v>41131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</row>
    <row r="420" spans="1:8" x14ac:dyDescent="0.3">
      <c r="A420" t="s">
        <v>10</v>
      </c>
      <c r="B420" s="1">
        <v>41138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</row>
    <row r="421" spans="1:8" x14ac:dyDescent="0.3">
      <c r="A421" t="s">
        <v>10</v>
      </c>
      <c r="B421" s="1">
        <v>41145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</row>
    <row r="422" spans="1:8" x14ac:dyDescent="0.3">
      <c r="A422" t="s">
        <v>10</v>
      </c>
      <c r="B422" s="1">
        <v>41152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</row>
    <row r="423" spans="1:8" x14ac:dyDescent="0.3">
      <c r="A423" t="s">
        <v>10</v>
      </c>
      <c r="B423" s="1">
        <v>41159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</row>
    <row r="424" spans="1:8" x14ac:dyDescent="0.3">
      <c r="A424" t="s">
        <v>10</v>
      </c>
      <c r="B424" s="1">
        <v>41166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</row>
    <row r="425" spans="1:8" x14ac:dyDescent="0.3">
      <c r="A425" t="s">
        <v>10</v>
      </c>
      <c r="B425" s="1">
        <v>41173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</row>
    <row r="426" spans="1:8" x14ac:dyDescent="0.3">
      <c r="A426" t="s">
        <v>10</v>
      </c>
      <c r="B426" s="1">
        <v>41180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</row>
    <row r="427" spans="1:8" x14ac:dyDescent="0.3">
      <c r="A427" t="s">
        <v>10</v>
      </c>
      <c r="B427" s="1">
        <v>41187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</row>
    <row r="428" spans="1:8" x14ac:dyDescent="0.3">
      <c r="A428" t="s">
        <v>10</v>
      </c>
      <c r="B428" s="1">
        <v>41194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</row>
    <row r="429" spans="1:8" x14ac:dyDescent="0.3">
      <c r="A429" t="s">
        <v>10</v>
      </c>
      <c r="B429" s="1">
        <v>41201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</row>
    <row r="430" spans="1:8" x14ac:dyDescent="0.3">
      <c r="A430" t="s">
        <v>10</v>
      </c>
      <c r="B430" s="1">
        <v>41208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</row>
    <row r="431" spans="1:8" x14ac:dyDescent="0.3">
      <c r="A431" t="s">
        <v>11</v>
      </c>
      <c r="B431" s="1">
        <v>40214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</row>
    <row r="432" spans="1:8" x14ac:dyDescent="0.3">
      <c r="A432" t="s">
        <v>11</v>
      </c>
      <c r="B432" s="1">
        <v>40221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</row>
    <row r="433" spans="1:8" x14ac:dyDescent="0.3">
      <c r="A433" t="s">
        <v>11</v>
      </c>
      <c r="B433" s="1">
        <v>40228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</row>
    <row r="434" spans="1:8" x14ac:dyDescent="0.3">
      <c r="A434" t="s">
        <v>11</v>
      </c>
      <c r="B434" s="1">
        <v>40235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</row>
    <row r="435" spans="1:8" x14ac:dyDescent="0.3">
      <c r="A435" t="s">
        <v>11</v>
      </c>
      <c r="B435" s="1">
        <v>40242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</row>
    <row r="436" spans="1:8" x14ac:dyDescent="0.3">
      <c r="A436" t="s">
        <v>11</v>
      </c>
      <c r="B436" s="1">
        <v>40249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</row>
    <row r="437" spans="1:8" x14ac:dyDescent="0.3">
      <c r="A437" t="s">
        <v>11</v>
      </c>
      <c r="B437" s="1">
        <v>40256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</row>
    <row r="438" spans="1:8" x14ac:dyDescent="0.3">
      <c r="A438" t="s">
        <v>11</v>
      </c>
      <c r="B438" s="1">
        <v>40263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</row>
    <row r="439" spans="1:8" x14ac:dyDescent="0.3">
      <c r="A439" t="s">
        <v>11</v>
      </c>
      <c r="B439" s="1">
        <v>40270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</row>
    <row r="440" spans="1:8" x14ac:dyDescent="0.3">
      <c r="A440" t="s">
        <v>11</v>
      </c>
      <c r="B440" s="1">
        <v>40277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</row>
    <row r="441" spans="1:8" x14ac:dyDescent="0.3">
      <c r="A441" t="s">
        <v>11</v>
      </c>
      <c r="B441" s="1">
        <v>40284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</row>
    <row r="442" spans="1:8" x14ac:dyDescent="0.3">
      <c r="A442" t="s">
        <v>11</v>
      </c>
      <c r="B442" s="1">
        <v>40291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</row>
    <row r="443" spans="1:8" x14ac:dyDescent="0.3">
      <c r="A443" t="s">
        <v>11</v>
      </c>
      <c r="B443" s="1">
        <v>40298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</row>
    <row r="444" spans="1:8" x14ac:dyDescent="0.3">
      <c r="A444" t="s">
        <v>11</v>
      </c>
      <c r="B444" s="1">
        <v>40305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</row>
    <row r="445" spans="1:8" x14ac:dyDescent="0.3">
      <c r="A445" t="s">
        <v>11</v>
      </c>
      <c r="B445" s="1">
        <v>40312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</row>
    <row r="446" spans="1:8" x14ac:dyDescent="0.3">
      <c r="A446" t="s">
        <v>11</v>
      </c>
      <c r="B446" s="1">
        <v>40319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</row>
    <row r="447" spans="1:8" x14ac:dyDescent="0.3">
      <c r="A447" t="s">
        <v>11</v>
      </c>
      <c r="B447" s="1">
        <v>40326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</row>
    <row r="448" spans="1:8" x14ac:dyDescent="0.3">
      <c r="A448" t="s">
        <v>11</v>
      </c>
      <c r="B448" s="1">
        <v>40333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</row>
    <row r="449" spans="1:8" x14ac:dyDescent="0.3">
      <c r="A449" t="s">
        <v>11</v>
      </c>
      <c r="B449" s="1">
        <v>40340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</row>
    <row r="450" spans="1:8" x14ac:dyDescent="0.3">
      <c r="A450" t="s">
        <v>11</v>
      </c>
      <c r="B450" s="1">
        <v>40347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</row>
    <row r="451" spans="1:8" x14ac:dyDescent="0.3">
      <c r="A451" t="s">
        <v>11</v>
      </c>
      <c r="B451" s="1">
        <v>40354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</row>
    <row r="452" spans="1:8" x14ac:dyDescent="0.3">
      <c r="A452" t="s">
        <v>11</v>
      </c>
      <c r="B452" s="1">
        <v>40361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</row>
    <row r="453" spans="1:8" x14ac:dyDescent="0.3">
      <c r="A453" t="s">
        <v>11</v>
      </c>
      <c r="B453" s="1">
        <v>40368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</row>
    <row r="454" spans="1:8" x14ac:dyDescent="0.3">
      <c r="A454" t="s">
        <v>11</v>
      </c>
      <c r="B454" s="1">
        <v>40375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</row>
    <row r="455" spans="1:8" x14ac:dyDescent="0.3">
      <c r="A455" t="s">
        <v>11</v>
      </c>
      <c r="B455" s="1">
        <v>40382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</row>
    <row r="456" spans="1:8" x14ac:dyDescent="0.3">
      <c r="A456" t="s">
        <v>11</v>
      </c>
      <c r="B456" s="1">
        <v>40389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</row>
    <row r="457" spans="1:8" x14ac:dyDescent="0.3">
      <c r="A457" t="s">
        <v>11</v>
      </c>
      <c r="B457" s="1">
        <v>40396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</row>
    <row r="458" spans="1:8" x14ac:dyDescent="0.3">
      <c r="A458" t="s">
        <v>11</v>
      </c>
      <c r="B458" s="1">
        <v>40403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</row>
    <row r="459" spans="1:8" x14ac:dyDescent="0.3">
      <c r="A459" t="s">
        <v>11</v>
      </c>
      <c r="B459" s="1">
        <v>40410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</row>
    <row r="460" spans="1:8" x14ac:dyDescent="0.3">
      <c r="A460" t="s">
        <v>11</v>
      </c>
      <c r="B460" s="1">
        <v>40417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</row>
    <row r="461" spans="1:8" x14ac:dyDescent="0.3">
      <c r="A461" t="s">
        <v>11</v>
      </c>
      <c r="B461" s="1">
        <v>40424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</row>
    <row r="462" spans="1:8" x14ac:dyDescent="0.3">
      <c r="A462" t="s">
        <v>11</v>
      </c>
      <c r="B462" s="1">
        <v>40431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</row>
    <row r="463" spans="1:8" x14ac:dyDescent="0.3">
      <c r="A463" t="s">
        <v>11</v>
      </c>
      <c r="B463" s="1">
        <v>40438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</row>
    <row r="464" spans="1:8" x14ac:dyDescent="0.3">
      <c r="A464" t="s">
        <v>11</v>
      </c>
      <c r="B464" s="1">
        <v>40445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</row>
    <row r="465" spans="1:8" x14ac:dyDescent="0.3">
      <c r="A465" t="s">
        <v>11</v>
      </c>
      <c r="B465" s="1">
        <v>40452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</row>
    <row r="466" spans="1:8" x14ac:dyDescent="0.3">
      <c r="A466" t="s">
        <v>11</v>
      </c>
      <c r="B466" s="1">
        <v>40459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</row>
    <row r="467" spans="1:8" x14ac:dyDescent="0.3">
      <c r="A467" t="s">
        <v>11</v>
      </c>
      <c r="B467" s="1">
        <v>40466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</row>
    <row r="468" spans="1:8" x14ac:dyDescent="0.3">
      <c r="A468" t="s">
        <v>11</v>
      </c>
      <c r="B468" s="1">
        <v>40473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</row>
    <row r="469" spans="1:8" x14ac:dyDescent="0.3">
      <c r="A469" t="s">
        <v>11</v>
      </c>
      <c r="B469" s="1">
        <v>40480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</row>
    <row r="470" spans="1:8" x14ac:dyDescent="0.3">
      <c r="A470" t="s">
        <v>11</v>
      </c>
      <c r="B470" s="1">
        <v>40487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</row>
    <row r="471" spans="1:8" x14ac:dyDescent="0.3">
      <c r="A471" t="s">
        <v>11</v>
      </c>
      <c r="B471" s="1">
        <v>40494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</row>
    <row r="472" spans="1:8" x14ac:dyDescent="0.3">
      <c r="A472" t="s">
        <v>11</v>
      </c>
      <c r="B472" s="1">
        <v>40501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</row>
    <row r="473" spans="1:8" x14ac:dyDescent="0.3">
      <c r="A473" t="s">
        <v>11</v>
      </c>
      <c r="B473" s="1">
        <v>40508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</row>
    <row r="474" spans="1:8" x14ac:dyDescent="0.3">
      <c r="A474" t="s">
        <v>11</v>
      </c>
      <c r="B474" s="1">
        <v>40515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</row>
    <row r="475" spans="1:8" x14ac:dyDescent="0.3">
      <c r="A475" t="s">
        <v>11</v>
      </c>
      <c r="B475" s="1">
        <v>40522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</row>
    <row r="476" spans="1:8" x14ac:dyDescent="0.3">
      <c r="A476" t="s">
        <v>11</v>
      </c>
      <c r="B476" s="1">
        <v>40529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</row>
    <row r="477" spans="1:8" x14ac:dyDescent="0.3">
      <c r="A477" t="s">
        <v>11</v>
      </c>
      <c r="B477" s="1">
        <v>40536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</row>
    <row r="478" spans="1:8" x14ac:dyDescent="0.3">
      <c r="A478" t="s">
        <v>11</v>
      </c>
      <c r="B478" s="1">
        <v>40543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</row>
    <row r="479" spans="1:8" x14ac:dyDescent="0.3">
      <c r="A479" t="s">
        <v>11</v>
      </c>
      <c r="B479" s="1">
        <v>40550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</row>
    <row r="480" spans="1:8" x14ac:dyDescent="0.3">
      <c r="A480" t="s">
        <v>11</v>
      </c>
      <c r="B480" s="1">
        <v>40557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</row>
    <row r="481" spans="1:8" x14ac:dyDescent="0.3">
      <c r="A481" t="s">
        <v>11</v>
      </c>
      <c r="B481" s="1">
        <v>40564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</row>
    <row r="482" spans="1:8" x14ac:dyDescent="0.3">
      <c r="A482" t="s">
        <v>11</v>
      </c>
      <c r="B482" s="1">
        <v>40571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</row>
    <row r="483" spans="1:8" x14ac:dyDescent="0.3">
      <c r="A483" t="s">
        <v>11</v>
      </c>
      <c r="B483" s="1">
        <v>40578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 x14ac:dyDescent="0.3">
      <c r="A484" t="s">
        <v>11</v>
      </c>
      <c r="B484" s="1">
        <v>40585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</row>
    <row r="485" spans="1:8" x14ac:dyDescent="0.3">
      <c r="A485" t="s">
        <v>11</v>
      </c>
      <c r="B485" s="1">
        <v>40592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</row>
    <row r="486" spans="1:8" x14ac:dyDescent="0.3">
      <c r="A486" t="s">
        <v>11</v>
      </c>
      <c r="B486" s="1">
        <v>40599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</row>
    <row r="487" spans="1:8" x14ac:dyDescent="0.3">
      <c r="A487" t="s">
        <v>11</v>
      </c>
      <c r="B487" s="1">
        <v>40606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</row>
    <row r="488" spans="1:8" x14ac:dyDescent="0.3">
      <c r="A488" t="s">
        <v>11</v>
      </c>
      <c r="B488" s="1">
        <v>40613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</row>
    <row r="489" spans="1:8" x14ac:dyDescent="0.3">
      <c r="A489" t="s">
        <v>11</v>
      </c>
      <c r="B489" s="1">
        <v>40620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</row>
    <row r="490" spans="1:8" x14ac:dyDescent="0.3">
      <c r="A490" t="s">
        <v>11</v>
      </c>
      <c r="B490" s="1">
        <v>40627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</row>
    <row r="491" spans="1:8" x14ac:dyDescent="0.3">
      <c r="A491" t="s">
        <v>11</v>
      </c>
      <c r="B491" s="1">
        <v>40634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</row>
    <row r="492" spans="1:8" x14ac:dyDescent="0.3">
      <c r="A492" t="s">
        <v>11</v>
      </c>
      <c r="B492" s="1">
        <v>40641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</row>
    <row r="493" spans="1:8" x14ac:dyDescent="0.3">
      <c r="A493" t="s">
        <v>11</v>
      </c>
      <c r="B493" s="1">
        <v>40648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</row>
    <row r="494" spans="1:8" x14ac:dyDescent="0.3">
      <c r="A494" t="s">
        <v>11</v>
      </c>
      <c r="B494" s="1">
        <v>40655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</row>
    <row r="495" spans="1:8" x14ac:dyDescent="0.3">
      <c r="A495" t="s">
        <v>11</v>
      </c>
      <c r="B495" s="1">
        <v>40662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</row>
    <row r="496" spans="1:8" x14ac:dyDescent="0.3">
      <c r="A496" t="s">
        <v>11</v>
      </c>
      <c r="B496" s="1">
        <v>40669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</row>
    <row r="497" spans="1:8" x14ac:dyDescent="0.3">
      <c r="A497" t="s">
        <v>11</v>
      </c>
      <c r="B497" s="1">
        <v>40676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</row>
    <row r="498" spans="1:8" x14ac:dyDescent="0.3">
      <c r="A498" t="s">
        <v>11</v>
      </c>
      <c r="B498" s="1">
        <v>40683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</row>
    <row r="499" spans="1:8" x14ac:dyDescent="0.3">
      <c r="A499" t="s">
        <v>11</v>
      </c>
      <c r="B499" s="1">
        <v>40690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</row>
    <row r="500" spans="1:8" x14ac:dyDescent="0.3">
      <c r="A500" t="s">
        <v>11</v>
      </c>
      <c r="B500" s="1">
        <v>40697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</row>
    <row r="501" spans="1:8" x14ac:dyDescent="0.3">
      <c r="A501" t="s">
        <v>11</v>
      </c>
      <c r="B501" s="1">
        <v>40704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</row>
    <row r="502" spans="1:8" x14ac:dyDescent="0.3">
      <c r="A502" t="s">
        <v>11</v>
      </c>
      <c r="B502" s="1">
        <v>40711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</row>
    <row r="503" spans="1:8" x14ac:dyDescent="0.3">
      <c r="A503" t="s">
        <v>11</v>
      </c>
      <c r="B503" s="1">
        <v>40718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</row>
    <row r="504" spans="1:8" x14ac:dyDescent="0.3">
      <c r="A504" t="s">
        <v>11</v>
      </c>
      <c r="B504" s="1">
        <v>40725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</row>
    <row r="505" spans="1:8" x14ac:dyDescent="0.3">
      <c r="A505" t="s">
        <v>11</v>
      </c>
      <c r="B505" s="1">
        <v>40732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</row>
    <row r="506" spans="1:8" x14ac:dyDescent="0.3">
      <c r="A506" t="s">
        <v>11</v>
      </c>
      <c r="B506" s="1">
        <v>40739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</row>
    <row r="507" spans="1:8" x14ac:dyDescent="0.3">
      <c r="A507" t="s">
        <v>11</v>
      </c>
      <c r="B507" s="1">
        <v>40746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</row>
    <row r="508" spans="1:8" x14ac:dyDescent="0.3">
      <c r="A508" t="s">
        <v>11</v>
      </c>
      <c r="B508" s="1">
        <v>40753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</row>
    <row r="509" spans="1:8" x14ac:dyDescent="0.3">
      <c r="A509" t="s">
        <v>11</v>
      </c>
      <c r="B509" s="1">
        <v>40760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</row>
    <row r="510" spans="1:8" x14ac:dyDescent="0.3">
      <c r="A510" t="s">
        <v>11</v>
      </c>
      <c r="B510" s="1">
        <v>40767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</row>
    <row r="511" spans="1:8" x14ac:dyDescent="0.3">
      <c r="A511" t="s">
        <v>11</v>
      </c>
      <c r="B511" s="1">
        <v>40774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</row>
    <row r="512" spans="1:8" x14ac:dyDescent="0.3">
      <c r="A512" t="s">
        <v>11</v>
      </c>
      <c r="B512" s="1">
        <v>40781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</row>
    <row r="513" spans="1:8" x14ac:dyDescent="0.3">
      <c r="A513" t="s">
        <v>11</v>
      </c>
      <c r="B513" s="1">
        <v>40788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</row>
    <row r="514" spans="1:8" x14ac:dyDescent="0.3">
      <c r="A514" t="s">
        <v>11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</row>
    <row r="515" spans="1:8" x14ac:dyDescent="0.3">
      <c r="A515" t="s">
        <v>11</v>
      </c>
      <c r="B515" s="1">
        <v>40802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</row>
    <row r="516" spans="1:8" x14ac:dyDescent="0.3">
      <c r="A516" t="s">
        <v>11</v>
      </c>
      <c r="B516" s="1">
        <v>40809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</row>
    <row r="517" spans="1:8" x14ac:dyDescent="0.3">
      <c r="A517" t="s">
        <v>11</v>
      </c>
      <c r="B517" s="1">
        <v>40816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</row>
    <row r="518" spans="1:8" x14ac:dyDescent="0.3">
      <c r="A518" t="s">
        <v>11</v>
      </c>
      <c r="B518" s="1">
        <v>40823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</row>
    <row r="519" spans="1:8" x14ac:dyDescent="0.3">
      <c r="A519" t="s">
        <v>11</v>
      </c>
      <c r="B519" s="1">
        <v>40830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</row>
    <row r="520" spans="1:8" x14ac:dyDescent="0.3">
      <c r="A520" t="s">
        <v>11</v>
      </c>
      <c r="B520" s="1">
        <v>40837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</row>
    <row r="521" spans="1:8" x14ac:dyDescent="0.3">
      <c r="A521" t="s">
        <v>11</v>
      </c>
      <c r="B521" s="1">
        <v>40844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</row>
    <row r="522" spans="1:8" x14ac:dyDescent="0.3">
      <c r="A522" t="s">
        <v>11</v>
      </c>
      <c r="B522" s="1">
        <v>40851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</row>
    <row r="523" spans="1:8" x14ac:dyDescent="0.3">
      <c r="A523" t="s">
        <v>11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</row>
    <row r="524" spans="1:8" x14ac:dyDescent="0.3">
      <c r="A524" t="s">
        <v>11</v>
      </c>
      <c r="B524" s="1">
        <v>40865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</row>
    <row r="525" spans="1:8" x14ac:dyDescent="0.3">
      <c r="A525" t="s">
        <v>11</v>
      </c>
      <c r="B525" s="1">
        <v>40872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</row>
    <row r="526" spans="1:8" x14ac:dyDescent="0.3">
      <c r="A526" t="s">
        <v>11</v>
      </c>
      <c r="B526" s="1">
        <v>40879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</row>
    <row r="527" spans="1:8" x14ac:dyDescent="0.3">
      <c r="A527" t="s">
        <v>11</v>
      </c>
      <c r="B527" s="1">
        <v>40886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</row>
    <row r="528" spans="1:8" x14ac:dyDescent="0.3">
      <c r="A528" t="s">
        <v>11</v>
      </c>
      <c r="B528" s="1">
        <v>40893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</row>
    <row r="529" spans="1:8" x14ac:dyDescent="0.3">
      <c r="A529" t="s">
        <v>11</v>
      </c>
      <c r="B529" s="1">
        <v>40900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</row>
    <row r="530" spans="1:8" x14ac:dyDescent="0.3">
      <c r="A530" t="s">
        <v>11</v>
      </c>
      <c r="B530" s="1">
        <v>40907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</row>
    <row r="531" spans="1:8" x14ac:dyDescent="0.3">
      <c r="A531" t="s">
        <v>11</v>
      </c>
      <c r="B531" s="1">
        <v>40914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</row>
    <row r="532" spans="1:8" x14ac:dyDescent="0.3">
      <c r="A532" t="s">
        <v>11</v>
      </c>
      <c r="B532" s="1">
        <v>40921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</row>
    <row r="533" spans="1:8" x14ac:dyDescent="0.3">
      <c r="A533" t="s">
        <v>11</v>
      </c>
      <c r="B533" s="1">
        <v>40928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</row>
    <row r="534" spans="1:8" x14ac:dyDescent="0.3">
      <c r="A534" t="s">
        <v>11</v>
      </c>
      <c r="B534" s="1">
        <v>40935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</row>
    <row r="535" spans="1:8" x14ac:dyDescent="0.3">
      <c r="A535" t="s">
        <v>11</v>
      </c>
      <c r="B535" s="1">
        <v>40942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</row>
    <row r="536" spans="1:8" x14ac:dyDescent="0.3">
      <c r="A536" t="s">
        <v>11</v>
      </c>
      <c r="B536" s="1">
        <v>40949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</row>
    <row r="537" spans="1:8" x14ac:dyDescent="0.3">
      <c r="A537" t="s">
        <v>11</v>
      </c>
      <c r="B537" s="1">
        <v>40956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</row>
    <row r="538" spans="1:8" x14ac:dyDescent="0.3">
      <c r="A538" t="s">
        <v>11</v>
      </c>
      <c r="B538" s="1">
        <v>40963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</row>
    <row r="539" spans="1:8" x14ac:dyDescent="0.3">
      <c r="A539" t="s">
        <v>11</v>
      </c>
      <c r="B539" s="1">
        <v>40970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</row>
    <row r="540" spans="1:8" x14ac:dyDescent="0.3">
      <c r="A540" t="s">
        <v>11</v>
      </c>
      <c r="B540" s="1">
        <v>40977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</row>
    <row r="541" spans="1:8" x14ac:dyDescent="0.3">
      <c r="A541" t="s">
        <v>11</v>
      </c>
      <c r="B541" s="1">
        <v>40984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</row>
    <row r="542" spans="1:8" x14ac:dyDescent="0.3">
      <c r="A542" t="s">
        <v>11</v>
      </c>
      <c r="B542" s="1">
        <v>40991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</row>
    <row r="543" spans="1:8" x14ac:dyDescent="0.3">
      <c r="A543" t="s">
        <v>11</v>
      </c>
      <c r="B543" s="1">
        <v>40998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</row>
    <row r="544" spans="1:8" x14ac:dyDescent="0.3">
      <c r="A544" t="s">
        <v>11</v>
      </c>
      <c r="B544" s="1">
        <v>41005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</row>
    <row r="545" spans="1:8" x14ac:dyDescent="0.3">
      <c r="A545" t="s">
        <v>11</v>
      </c>
      <c r="B545" s="1">
        <v>41012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</row>
    <row r="546" spans="1:8" x14ac:dyDescent="0.3">
      <c r="A546" t="s">
        <v>11</v>
      </c>
      <c r="B546" s="1">
        <v>41019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</row>
    <row r="547" spans="1:8" x14ac:dyDescent="0.3">
      <c r="A547" t="s">
        <v>11</v>
      </c>
      <c r="B547" s="1">
        <v>41026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</row>
    <row r="548" spans="1:8" x14ac:dyDescent="0.3">
      <c r="A548" t="s">
        <v>11</v>
      </c>
      <c r="B548" s="1">
        <v>41033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</row>
    <row r="549" spans="1:8" x14ac:dyDescent="0.3">
      <c r="A549" t="s">
        <v>11</v>
      </c>
      <c r="B549" s="1">
        <v>41040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</row>
    <row r="550" spans="1:8" x14ac:dyDescent="0.3">
      <c r="A550" t="s">
        <v>11</v>
      </c>
      <c r="B550" s="1">
        <v>41047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</row>
    <row r="551" spans="1:8" x14ac:dyDescent="0.3">
      <c r="A551" t="s">
        <v>11</v>
      </c>
      <c r="B551" s="1">
        <v>41054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</row>
    <row r="552" spans="1:8" x14ac:dyDescent="0.3">
      <c r="A552" t="s">
        <v>11</v>
      </c>
      <c r="B552" s="1">
        <v>41061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</row>
    <row r="553" spans="1:8" x14ac:dyDescent="0.3">
      <c r="A553" t="s">
        <v>11</v>
      </c>
      <c r="B553" s="1">
        <v>41068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</row>
    <row r="554" spans="1:8" x14ac:dyDescent="0.3">
      <c r="A554" t="s">
        <v>11</v>
      </c>
      <c r="B554" s="1">
        <v>41075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</row>
    <row r="555" spans="1:8" x14ac:dyDescent="0.3">
      <c r="A555" t="s">
        <v>11</v>
      </c>
      <c r="B555" s="1">
        <v>41082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</row>
    <row r="556" spans="1:8" x14ac:dyDescent="0.3">
      <c r="A556" t="s">
        <v>11</v>
      </c>
      <c r="B556" s="1">
        <v>41089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</row>
    <row r="557" spans="1:8" x14ac:dyDescent="0.3">
      <c r="A557" t="s">
        <v>11</v>
      </c>
      <c r="B557" s="1">
        <v>41096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</row>
    <row r="558" spans="1:8" x14ac:dyDescent="0.3">
      <c r="A558" t="s">
        <v>11</v>
      </c>
      <c r="B558" s="1">
        <v>41103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</row>
    <row r="559" spans="1:8" x14ac:dyDescent="0.3">
      <c r="A559" t="s">
        <v>11</v>
      </c>
      <c r="B559" s="1">
        <v>41110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</row>
    <row r="560" spans="1:8" x14ac:dyDescent="0.3">
      <c r="A560" t="s">
        <v>11</v>
      </c>
      <c r="B560" s="1">
        <v>41117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</row>
    <row r="561" spans="1:8" x14ac:dyDescent="0.3">
      <c r="A561" t="s">
        <v>11</v>
      </c>
      <c r="B561" s="1">
        <v>41124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</row>
    <row r="562" spans="1:8" x14ac:dyDescent="0.3">
      <c r="A562" t="s">
        <v>11</v>
      </c>
      <c r="B562" s="1">
        <v>41131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</row>
    <row r="563" spans="1:8" x14ac:dyDescent="0.3">
      <c r="A563" t="s">
        <v>11</v>
      </c>
      <c r="B563" s="1">
        <v>41138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</row>
    <row r="564" spans="1:8" x14ac:dyDescent="0.3">
      <c r="A564" t="s">
        <v>11</v>
      </c>
      <c r="B564" s="1">
        <v>41145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</row>
    <row r="565" spans="1:8" x14ac:dyDescent="0.3">
      <c r="A565" t="s">
        <v>11</v>
      </c>
      <c r="B565" s="1">
        <v>41152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</row>
    <row r="566" spans="1:8" x14ac:dyDescent="0.3">
      <c r="A566" t="s">
        <v>11</v>
      </c>
      <c r="B566" s="1">
        <v>41159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</row>
    <row r="567" spans="1:8" x14ac:dyDescent="0.3">
      <c r="A567" t="s">
        <v>11</v>
      </c>
      <c r="B567" s="1">
        <v>41166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</row>
    <row r="568" spans="1:8" x14ac:dyDescent="0.3">
      <c r="A568" t="s">
        <v>11</v>
      </c>
      <c r="B568" s="1">
        <v>41173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</row>
    <row r="569" spans="1:8" x14ac:dyDescent="0.3">
      <c r="A569" t="s">
        <v>11</v>
      </c>
      <c r="B569" s="1">
        <v>41180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</row>
    <row r="570" spans="1:8" x14ac:dyDescent="0.3">
      <c r="A570" t="s">
        <v>11</v>
      </c>
      <c r="B570" s="1">
        <v>41187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 x14ac:dyDescent="0.3">
      <c r="A571" t="s">
        <v>11</v>
      </c>
      <c r="B571" s="1">
        <v>41194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</row>
    <row r="572" spans="1:8" x14ac:dyDescent="0.3">
      <c r="A572" t="s">
        <v>11</v>
      </c>
      <c r="B572" s="1">
        <v>41201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</row>
    <row r="573" spans="1:8" x14ac:dyDescent="0.3">
      <c r="A573" t="s">
        <v>11</v>
      </c>
      <c r="B573" s="1">
        <v>41208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</row>
    <row r="574" spans="1:8" x14ac:dyDescent="0.3">
      <c r="A574" t="s">
        <v>12</v>
      </c>
      <c r="B574" s="1">
        <v>40214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</row>
    <row r="575" spans="1:8" x14ac:dyDescent="0.3">
      <c r="A575" t="s">
        <v>12</v>
      </c>
      <c r="B575" s="1">
        <v>40221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</row>
    <row r="576" spans="1:8" x14ac:dyDescent="0.3">
      <c r="A576" t="s">
        <v>12</v>
      </c>
      <c r="B576" s="1">
        <v>40228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</row>
    <row r="577" spans="1:8" x14ac:dyDescent="0.3">
      <c r="A577" t="s">
        <v>12</v>
      </c>
      <c r="B577" s="1">
        <v>40235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</row>
    <row r="578" spans="1:8" x14ac:dyDescent="0.3">
      <c r="A578" t="s">
        <v>12</v>
      </c>
      <c r="B578" s="1">
        <v>40242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</row>
    <row r="579" spans="1:8" x14ac:dyDescent="0.3">
      <c r="A579" t="s">
        <v>12</v>
      </c>
      <c r="B579" s="1">
        <v>40249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</row>
    <row r="580" spans="1:8" x14ac:dyDescent="0.3">
      <c r="A580" t="s">
        <v>12</v>
      </c>
      <c r="B580" s="1">
        <v>40256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</row>
    <row r="581" spans="1:8" x14ac:dyDescent="0.3">
      <c r="A581" t="s">
        <v>12</v>
      </c>
      <c r="B581" s="1">
        <v>40263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</row>
    <row r="582" spans="1:8" x14ac:dyDescent="0.3">
      <c r="A582" t="s">
        <v>12</v>
      </c>
      <c r="B582" s="1">
        <v>40270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</row>
    <row r="583" spans="1:8" x14ac:dyDescent="0.3">
      <c r="A583" t="s">
        <v>12</v>
      </c>
      <c r="B583" s="1">
        <v>40277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</row>
    <row r="584" spans="1:8" x14ac:dyDescent="0.3">
      <c r="A584" t="s">
        <v>12</v>
      </c>
      <c r="B584" s="1">
        <v>40284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</row>
    <row r="585" spans="1:8" x14ac:dyDescent="0.3">
      <c r="A585" t="s">
        <v>12</v>
      </c>
      <c r="B585" s="1">
        <v>40291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</row>
    <row r="586" spans="1:8" x14ac:dyDescent="0.3">
      <c r="A586" t="s">
        <v>12</v>
      </c>
      <c r="B586" s="1">
        <v>40298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</row>
    <row r="587" spans="1:8" x14ac:dyDescent="0.3">
      <c r="A587" t="s">
        <v>12</v>
      </c>
      <c r="B587" s="1">
        <v>40305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</row>
    <row r="588" spans="1:8" x14ac:dyDescent="0.3">
      <c r="A588" t="s">
        <v>12</v>
      </c>
      <c r="B588" s="1">
        <v>40312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</row>
    <row r="589" spans="1:8" x14ac:dyDescent="0.3">
      <c r="A589" t="s">
        <v>12</v>
      </c>
      <c r="B589" s="1">
        <v>40319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</row>
    <row r="590" spans="1:8" x14ac:dyDescent="0.3">
      <c r="A590" t="s">
        <v>12</v>
      </c>
      <c r="B590" s="1">
        <v>40326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</row>
    <row r="591" spans="1:8" x14ac:dyDescent="0.3">
      <c r="A591" t="s">
        <v>12</v>
      </c>
      <c r="B591" s="1">
        <v>40333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</row>
    <row r="592" spans="1:8" x14ac:dyDescent="0.3">
      <c r="A592" t="s">
        <v>12</v>
      </c>
      <c r="B592" s="1">
        <v>40340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</row>
    <row r="593" spans="1:8" x14ac:dyDescent="0.3">
      <c r="A593" t="s">
        <v>12</v>
      </c>
      <c r="B593" s="1">
        <v>40347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</row>
    <row r="594" spans="1:8" x14ac:dyDescent="0.3">
      <c r="A594" t="s">
        <v>12</v>
      </c>
      <c r="B594" s="1">
        <v>40354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</row>
    <row r="595" spans="1:8" x14ac:dyDescent="0.3">
      <c r="A595" t="s">
        <v>12</v>
      </c>
      <c r="B595" s="1">
        <v>40361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</row>
    <row r="596" spans="1:8" x14ac:dyDescent="0.3">
      <c r="A596" t="s">
        <v>12</v>
      </c>
      <c r="B596" s="1">
        <v>40368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</row>
    <row r="597" spans="1:8" x14ac:dyDescent="0.3">
      <c r="A597" t="s">
        <v>12</v>
      </c>
      <c r="B597" s="1">
        <v>40375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</row>
    <row r="598" spans="1:8" x14ac:dyDescent="0.3">
      <c r="A598" t="s">
        <v>12</v>
      </c>
      <c r="B598" s="1">
        <v>40382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</row>
    <row r="599" spans="1:8" x14ac:dyDescent="0.3">
      <c r="A599" t="s">
        <v>12</v>
      </c>
      <c r="B599" s="1">
        <v>40389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</row>
    <row r="600" spans="1:8" x14ac:dyDescent="0.3">
      <c r="A600" t="s">
        <v>12</v>
      </c>
      <c r="B600" s="1">
        <v>40396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</row>
    <row r="601" spans="1:8" x14ac:dyDescent="0.3">
      <c r="A601" t="s">
        <v>12</v>
      </c>
      <c r="B601" s="1">
        <v>40403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</row>
    <row r="602" spans="1:8" x14ac:dyDescent="0.3">
      <c r="A602" t="s">
        <v>12</v>
      </c>
      <c r="B602" s="1">
        <v>40410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</row>
    <row r="603" spans="1:8" x14ac:dyDescent="0.3">
      <c r="A603" t="s">
        <v>12</v>
      </c>
      <c r="B603" s="1">
        <v>40417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</row>
    <row r="604" spans="1:8" x14ac:dyDescent="0.3">
      <c r="A604" t="s">
        <v>12</v>
      </c>
      <c r="B604" s="1">
        <v>40424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</row>
    <row r="605" spans="1:8" x14ac:dyDescent="0.3">
      <c r="A605" t="s">
        <v>12</v>
      </c>
      <c r="B605" s="1">
        <v>40431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</row>
    <row r="606" spans="1:8" x14ac:dyDescent="0.3">
      <c r="A606" t="s">
        <v>12</v>
      </c>
      <c r="B606" s="1">
        <v>40438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</row>
    <row r="607" spans="1:8" x14ac:dyDescent="0.3">
      <c r="A607" t="s">
        <v>12</v>
      </c>
      <c r="B607" s="1">
        <v>40445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</row>
    <row r="608" spans="1:8" x14ac:dyDescent="0.3">
      <c r="A608" t="s">
        <v>12</v>
      </c>
      <c r="B608" s="1">
        <v>40452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</row>
    <row r="609" spans="1:8" x14ac:dyDescent="0.3">
      <c r="A609" t="s">
        <v>12</v>
      </c>
      <c r="B609" s="1">
        <v>40459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</row>
    <row r="610" spans="1:8" x14ac:dyDescent="0.3">
      <c r="A610" t="s">
        <v>12</v>
      </c>
      <c r="B610" s="1">
        <v>40466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</row>
    <row r="611" spans="1:8" x14ac:dyDescent="0.3">
      <c r="A611" t="s">
        <v>12</v>
      </c>
      <c r="B611" s="1">
        <v>40473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</row>
    <row r="612" spans="1:8" x14ac:dyDescent="0.3">
      <c r="A612" t="s">
        <v>12</v>
      </c>
      <c r="B612" s="1">
        <v>40480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</row>
    <row r="613" spans="1:8" x14ac:dyDescent="0.3">
      <c r="A613" t="s">
        <v>12</v>
      </c>
      <c r="B613" s="1">
        <v>40487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</row>
    <row r="614" spans="1:8" x14ac:dyDescent="0.3">
      <c r="A614" t="s">
        <v>12</v>
      </c>
      <c r="B614" s="1">
        <v>40494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</row>
    <row r="615" spans="1:8" x14ac:dyDescent="0.3">
      <c r="A615" t="s">
        <v>12</v>
      </c>
      <c r="B615" s="1">
        <v>40501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</row>
    <row r="616" spans="1:8" x14ac:dyDescent="0.3">
      <c r="A616" t="s">
        <v>12</v>
      </c>
      <c r="B616" s="1">
        <v>40508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</row>
    <row r="617" spans="1:8" x14ac:dyDescent="0.3">
      <c r="A617" t="s">
        <v>12</v>
      </c>
      <c r="B617" s="1">
        <v>40515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</row>
    <row r="618" spans="1:8" x14ac:dyDescent="0.3">
      <c r="A618" t="s">
        <v>12</v>
      </c>
      <c r="B618" s="1">
        <v>40522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</row>
    <row r="619" spans="1:8" x14ac:dyDescent="0.3">
      <c r="A619" t="s">
        <v>12</v>
      </c>
      <c r="B619" s="1">
        <v>40529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</row>
    <row r="620" spans="1:8" x14ac:dyDescent="0.3">
      <c r="A620" t="s">
        <v>12</v>
      </c>
      <c r="B620" s="1">
        <v>40536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</row>
    <row r="621" spans="1:8" x14ac:dyDescent="0.3">
      <c r="A621" t="s">
        <v>12</v>
      </c>
      <c r="B621" s="1">
        <v>40543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</row>
    <row r="622" spans="1:8" x14ac:dyDescent="0.3">
      <c r="A622" t="s">
        <v>12</v>
      </c>
      <c r="B622" s="1">
        <v>40550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</row>
    <row r="623" spans="1:8" x14ac:dyDescent="0.3">
      <c r="A623" t="s">
        <v>12</v>
      </c>
      <c r="B623" s="1">
        <v>40557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</row>
    <row r="624" spans="1:8" x14ac:dyDescent="0.3">
      <c r="A624" t="s">
        <v>12</v>
      </c>
      <c r="B624" s="1">
        <v>40564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</row>
    <row r="625" spans="1:8" x14ac:dyDescent="0.3">
      <c r="A625" t="s">
        <v>12</v>
      </c>
      <c r="B625" s="1">
        <v>40571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</row>
    <row r="626" spans="1:8" x14ac:dyDescent="0.3">
      <c r="A626" t="s">
        <v>12</v>
      </c>
      <c r="B626" s="1">
        <v>40578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</row>
    <row r="627" spans="1:8" x14ac:dyDescent="0.3">
      <c r="A627" t="s">
        <v>12</v>
      </c>
      <c r="B627" s="1">
        <v>40585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</row>
    <row r="628" spans="1:8" x14ac:dyDescent="0.3">
      <c r="A628" t="s">
        <v>12</v>
      </c>
      <c r="B628" s="1">
        <v>40592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</row>
    <row r="629" spans="1:8" x14ac:dyDescent="0.3">
      <c r="A629" t="s">
        <v>12</v>
      </c>
      <c r="B629" s="1">
        <v>40599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</row>
    <row r="630" spans="1:8" x14ac:dyDescent="0.3">
      <c r="A630" t="s">
        <v>12</v>
      </c>
      <c r="B630" s="1">
        <v>40606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</row>
    <row r="631" spans="1:8" x14ac:dyDescent="0.3">
      <c r="A631" t="s">
        <v>12</v>
      </c>
      <c r="B631" s="1">
        <v>40613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</row>
    <row r="632" spans="1:8" x14ac:dyDescent="0.3">
      <c r="A632" t="s">
        <v>12</v>
      </c>
      <c r="B632" s="1">
        <v>40620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</row>
    <row r="633" spans="1:8" x14ac:dyDescent="0.3">
      <c r="A633" t="s">
        <v>12</v>
      </c>
      <c r="B633" s="1">
        <v>40627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</row>
    <row r="634" spans="1:8" x14ac:dyDescent="0.3">
      <c r="A634" t="s">
        <v>12</v>
      </c>
      <c r="B634" s="1">
        <v>40634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</row>
    <row r="635" spans="1:8" x14ac:dyDescent="0.3">
      <c r="A635" t="s">
        <v>12</v>
      </c>
      <c r="B635" s="1">
        <v>40641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</row>
    <row r="636" spans="1:8" x14ac:dyDescent="0.3">
      <c r="A636" t="s">
        <v>12</v>
      </c>
      <c r="B636" s="1">
        <v>40648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</row>
    <row r="637" spans="1:8" x14ac:dyDescent="0.3">
      <c r="A637" t="s">
        <v>12</v>
      </c>
      <c r="B637" s="1">
        <v>40655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</row>
    <row r="638" spans="1:8" x14ac:dyDescent="0.3">
      <c r="A638" t="s">
        <v>12</v>
      </c>
      <c r="B638" s="1">
        <v>40662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</row>
    <row r="639" spans="1:8" x14ac:dyDescent="0.3">
      <c r="A639" t="s">
        <v>12</v>
      </c>
      <c r="B639" s="1">
        <v>40669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</row>
    <row r="640" spans="1:8" x14ac:dyDescent="0.3">
      <c r="A640" t="s">
        <v>12</v>
      </c>
      <c r="B640" s="1">
        <v>40676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</row>
    <row r="641" spans="1:8" x14ac:dyDescent="0.3">
      <c r="A641" t="s">
        <v>12</v>
      </c>
      <c r="B641" s="1">
        <v>40683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</row>
    <row r="642" spans="1:8" x14ac:dyDescent="0.3">
      <c r="A642" t="s">
        <v>12</v>
      </c>
      <c r="B642" s="1">
        <v>40690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</row>
    <row r="643" spans="1:8" x14ac:dyDescent="0.3">
      <c r="A643" t="s">
        <v>12</v>
      </c>
      <c r="B643" s="1">
        <v>40697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</row>
    <row r="644" spans="1:8" x14ac:dyDescent="0.3">
      <c r="A644" t="s">
        <v>12</v>
      </c>
      <c r="B644" s="1">
        <v>40704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</row>
    <row r="645" spans="1:8" x14ac:dyDescent="0.3">
      <c r="A645" t="s">
        <v>12</v>
      </c>
      <c r="B645" s="1">
        <v>40711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</row>
    <row r="646" spans="1:8" x14ac:dyDescent="0.3">
      <c r="A646" t="s">
        <v>12</v>
      </c>
      <c r="B646" s="1">
        <v>40718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</row>
    <row r="647" spans="1:8" x14ac:dyDescent="0.3">
      <c r="A647" t="s">
        <v>12</v>
      </c>
      <c r="B647" s="1">
        <v>40725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</row>
    <row r="648" spans="1:8" x14ac:dyDescent="0.3">
      <c r="A648" t="s">
        <v>12</v>
      </c>
      <c r="B648" s="1">
        <v>40732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</row>
    <row r="649" spans="1:8" x14ac:dyDescent="0.3">
      <c r="A649" t="s">
        <v>12</v>
      </c>
      <c r="B649" s="1">
        <v>40739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</row>
    <row r="650" spans="1:8" x14ac:dyDescent="0.3">
      <c r="A650" t="s">
        <v>12</v>
      </c>
      <c r="B650" s="1">
        <v>40746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</row>
    <row r="651" spans="1:8" x14ac:dyDescent="0.3">
      <c r="A651" t="s">
        <v>12</v>
      </c>
      <c r="B651" s="1">
        <v>40753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</row>
    <row r="652" spans="1:8" x14ac:dyDescent="0.3">
      <c r="A652" t="s">
        <v>12</v>
      </c>
      <c r="B652" s="1">
        <v>40760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</row>
    <row r="653" spans="1:8" x14ac:dyDescent="0.3">
      <c r="A653" t="s">
        <v>12</v>
      </c>
      <c r="B653" s="1">
        <v>40767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</row>
    <row r="654" spans="1:8" x14ac:dyDescent="0.3">
      <c r="A654" t="s">
        <v>12</v>
      </c>
      <c r="B654" s="1">
        <v>40774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</row>
    <row r="655" spans="1:8" x14ac:dyDescent="0.3">
      <c r="A655" t="s">
        <v>12</v>
      </c>
      <c r="B655" s="1">
        <v>40781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</row>
    <row r="656" spans="1:8" x14ac:dyDescent="0.3">
      <c r="A656" t="s">
        <v>12</v>
      </c>
      <c r="B656" s="1">
        <v>40788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</row>
    <row r="657" spans="1:8" x14ac:dyDescent="0.3">
      <c r="A657" t="s">
        <v>12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</row>
    <row r="658" spans="1:8" x14ac:dyDescent="0.3">
      <c r="A658" t="s">
        <v>12</v>
      </c>
      <c r="B658" s="1">
        <v>40802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</row>
    <row r="659" spans="1:8" x14ac:dyDescent="0.3">
      <c r="A659" t="s">
        <v>12</v>
      </c>
      <c r="B659" s="1">
        <v>40809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</row>
    <row r="660" spans="1:8" x14ac:dyDescent="0.3">
      <c r="A660" t="s">
        <v>12</v>
      </c>
      <c r="B660" s="1">
        <v>40816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</row>
    <row r="661" spans="1:8" x14ac:dyDescent="0.3">
      <c r="A661" t="s">
        <v>12</v>
      </c>
      <c r="B661" s="1">
        <v>40823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</row>
    <row r="662" spans="1:8" x14ac:dyDescent="0.3">
      <c r="A662" t="s">
        <v>12</v>
      </c>
      <c r="B662" s="1">
        <v>40830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</row>
    <row r="663" spans="1:8" x14ac:dyDescent="0.3">
      <c r="A663" t="s">
        <v>12</v>
      </c>
      <c r="B663" s="1">
        <v>40837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</row>
    <row r="664" spans="1:8" x14ac:dyDescent="0.3">
      <c r="A664" t="s">
        <v>12</v>
      </c>
      <c r="B664" s="1">
        <v>40844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</row>
    <row r="665" spans="1:8" x14ac:dyDescent="0.3">
      <c r="A665" t="s">
        <v>12</v>
      </c>
      <c r="B665" s="1">
        <v>40851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</row>
    <row r="666" spans="1:8" x14ac:dyDescent="0.3">
      <c r="A666" t="s">
        <v>12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</row>
    <row r="667" spans="1:8" x14ac:dyDescent="0.3">
      <c r="A667" t="s">
        <v>12</v>
      </c>
      <c r="B667" s="1">
        <v>40865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</row>
    <row r="668" spans="1:8" x14ac:dyDescent="0.3">
      <c r="A668" t="s">
        <v>12</v>
      </c>
      <c r="B668" s="1">
        <v>40872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</row>
    <row r="669" spans="1:8" x14ac:dyDescent="0.3">
      <c r="A669" t="s">
        <v>12</v>
      </c>
      <c r="B669" s="1">
        <v>40879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</row>
    <row r="670" spans="1:8" x14ac:dyDescent="0.3">
      <c r="A670" t="s">
        <v>12</v>
      </c>
      <c r="B670" s="1">
        <v>40886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</row>
    <row r="671" spans="1:8" x14ac:dyDescent="0.3">
      <c r="A671" t="s">
        <v>12</v>
      </c>
      <c r="B671" s="1">
        <v>40893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</row>
    <row r="672" spans="1:8" x14ac:dyDescent="0.3">
      <c r="A672" t="s">
        <v>12</v>
      </c>
      <c r="B672" s="1">
        <v>40900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</row>
    <row r="673" spans="1:8" x14ac:dyDescent="0.3">
      <c r="A673" t="s">
        <v>12</v>
      </c>
      <c r="B673" s="1">
        <v>40907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</row>
    <row r="674" spans="1:8" x14ac:dyDescent="0.3">
      <c r="A674" t="s">
        <v>12</v>
      </c>
      <c r="B674" s="1">
        <v>40914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</row>
    <row r="675" spans="1:8" x14ac:dyDescent="0.3">
      <c r="A675" t="s">
        <v>12</v>
      </c>
      <c r="B675" s="1">
        <v>40921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</row>
    <row r="676" spans="1:8" x14ac:dyDescent="0.3">
      <c r="A676" t="s">
        <v>12</v>
      </c>
      <c r="B676" s="1">
        <v>40928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</row>
    <row r="677" spans="1:8" x14ac:dyDescent="0.3">
      <c r="A677" t="s">
        <v>12</v>
      </c>
      <c r="B677" s="1">
        <v>40935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</row>
    <row r="678" spans="1:8" x14ac:dyDescent="0.3">
      <c r="A678" t="s">
        <v>12</v>
      </c>
      <c r="B678" s="1">
        <v>40942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</row>
    <row r="679" spans="1:8" x14ac:dyDescent="0.3">
      <c r="A679" t="s">
        <v>12</v>
      </c>
      <c r="B679" s="1">
        <v>40949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</row>
    <row r="680" spans="1:8" x14ac:dyDescent="0.3">
      <c r="A680" t="s">
        <v>12</v>
      </c>
      <c r="B680" s="1">
        <v>40956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</row>
    <row r="681" spans="1:8" x14ac:dyDescent="0.3">
      <c r="A681" t="s">
        <v>12</v>
      </c>
      <c r="B681" s="1">
        <v>40963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</row>
    <row r="682" spans="1:8" x14ac:dyDescent="0.3">
      <c r="A682" t="s">
        <v>12</v>
      </c>
      <c r="B682" s="1">
        <v>40970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</row>
    <row r="683" spans="1:8" x14ac:dyDescent="0.3">
      <c r="A683" t="s">
        <v>12</v>
      </c>
      <c r="B683" s="1">
        <v>40977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</row>
    <row r="684" spans="1:8" x14ac:dyDescent="0.3">
      <c r="A684" t="s">
        <v>12</v>
      </c>
      <c r="B684" s="1">
        <v>40984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</row>
    <row r="685" spans="1:8" x14ac:dyDescent="0.3">
      <c r="A685" t="s">
        <v>12</v>
      </c>
      <c r="B685" s="1">
        <v>40991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</row>
    <row r="686" spans="1:8" x14ac:dyDescent="0.3">
      <c r="A686" t="s">
        <v>12</v>
      </c>
      <c r="B686" s="1">
        <v>40998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</row>
    <row r="687" spans="1:8" x14ac:dyDescent="0.3">
      <c r="A687" t="s">
        <v>12</v>
      </c>
      <c r="B687" s="1">
        <v>41005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</row>
    <row r="688" spans="1:8" x14ac:dyDescent="0.3">
      <c r="A688" t="s">
        <v>12</v>
      </c>
      <c r="B688" s="1">
        <v>41012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</row>
    <row r="689" spans="1:8" x14ac:dyDescent="0.3">
      <c r="A689" t="s">
        <v>12</v>
      </c>
      <c r="B689" s="1">
        <v>41019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</row>
    <row r="690" spans="1:8" x14ac:dyDescent="0.3">
      <c r="A690" t="s">
        <v>12</v>
      </c>
      <c r="B690" s="1">
        <v>41026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</row>
    <row r="691" spans="1:8" x14ac:dyDescent="0.3">
      <c r="A691" t="s">
        <v>12</v>
      </c>
      <c r="B691" s="1">
        <v>41033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</row>
    <row r="692" spans="1:8" x14ac:dyDescent="0.3">
      <c r="A692" t="s">
        <v>12</v>
      </c>
      <c r="B692" s="1">
        <v>41040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</row>
    <row r="693" spans="1:8" x14ac:dyDescent="0.3">
      <c r="A693" t="s">
        <v>12</v>
      </c>
      <c r="B693" s="1">
        <v>41047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</row>
    <row r="694" spans="1:8" x14ac:dyDescent="0.3">
      <c r="A694" t="s">
        <v>12</v>
      </c>
      <c r="B694" s="1">
        <v>41054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</row>
    <row r="695" spans="1:8" x14ac:dyDescent="0.3">
      <c r="A695" t="s">
        <v>12</v>
      </c>
      <c r="B695" s="1">
        <v>41061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</row>
    <row r="696" spans="1:8" x14ac:dyDescent="0.3">
      <c r="A696" t="s">
        <v>12</v>
      </c>
      <c r="B696" s="1">
        <v>41068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</row>
    <row r="697" spans="1:8" x14ac:dyDescent="0.3">
      <c r="A697" t="s">
        <v>12</v>
      </c>
      <c r="B697" s="1">
        <v>41075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</row>
    <row r="698" spans="1:8" x14ac:dyDescent="0.3">
      <c r="A698" t="s">
        <v>12</v>
      </c>
      <c r="B698" s="1">
        <v>41082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</row>
    <row r="699" spans="1:8" x14ac:dyDescent="0.3">
      <c r="A699" t="s">
        <v>12</v>
      </c>
      <c r="B699" s="1">
        <v>41089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</row>
    <row r="700" spans="1:8" x14ac:dyDescent="0.3">
      <c r="A700" t="s">
        <v>12</v>
      </c>
      <c r="B700" s="1">
        <v>41096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</row>
    <row r="701" spans="1:8" x14ac:dyDescent="0.3">
      <c r="A701" t="s">
        <v>12</v>
      </c>
      <c r="B701" s="1">
        <v>41103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</row>
    <row r="702" spans="1:8" x14ac:dyDescent="0.3">
      <c r="A702" t="s">
        <v>12</v>
      </c>
      <c r="B702" s="1">
        <v>41110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</row>
    <row r="703" spans="1:8" x14ac:dyDescent="0.3">
      <c r="A703" t="s">
        <v>12</v>
      </c>
      <c r="B703" s="1">
        <v>41117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</row>
    <row r="704" spans="1:8" x14ac:dyDescent="0.3">
      <c r="A704" t="s">
        <v>12</v>
      </c>
      <c r="B704" s="1">
        <v>41124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</row>
    <row r="705" spans="1:8" x14ac:dyDescent="0.3">
      <c r="A705" t="s">
        <v>12</v>
      </c>
      <c r="B705" s="1">
        <v>41131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</row>
    <row r="706" spans="1:8" x14ac:dyDescent="0.3">
      <c r="A706" t="s">
        <v>12</v>
      </c>
      <c r="B706" s="1">
        <v>41138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</row>
    <row r="707" spans="1:8" x14ac:dyDescent="0.3">
      <c r="A707" t="s">
        <v>12</v>
      </c>
      <c r="B707" s="1">
        <v>41145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</row>
    <row r="708" spans="1:8" x14ac:dyDescent="0.3">
      <c r="A708" t="s">
        <v>12</v>
      </c>
      <c r="B708" s="1">
        <v>41152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</row>
    <row r="709" spans="1:8" x14ac:dyDescent="0.3">
      <c r="A709" t="s">
        <v>12</v>
      </c>
      <c r="B709" s="1">
        <v>41159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</row>
    <row r="710" spans="1:8" x14ac:dyDescent="0.3">
      <c r="A710" t="s">
        <v>12</v>
      </c>
      <c r="B710" s="1">
        <v>41166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</row>
    <row r="711" spans="1:8" x14ac:dyDescent="0.3">
      <c r="A711" t="s">
        <v>12</v>
      </c>
      <c r="B711" s="1">
        <v>41173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</row>
    <row r="712" spans="1:8" x14ac:dyDescent="0.3">
      <c r="A712" t="s">
        <v>12</v>
      </c>
      <c r="B712" s="1">
        <v>41180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</row>
    <row r="713" spans="1:8" x14ac:dyDescent="0.3">
      <c r="A713" t="s">
        <v>12</v>
      </c>
      <c r="B713" s="1">
        <v>41187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</row>
    <row r="714" spans="1:8" x14ac:dyDescent="0.3">
      <c r="A714" t="s">
        <v>12</v>
      </c>
      <c r="B714" s="1">
        <v>41194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</row>
    <row r="715" spans="1:8" x14ac:dyDescent="0.3">
      <c r="A715" t="s">
        <v>12</v>
      </c>
      <c r="B715" s="1">
        <v>41201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</row>
    <row r="716" spans="1:8" x14ac:dyDescent="0.3">
      <c r="A716" t="s">
        <v>12</v>
      </c>
      <c r="B716" s="1">
        <v>41208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</row>
    <row r="717" spans="1:8" x14ac:dyDescent="0.3">
      <c r="A717" t="s">
        <v>13</v>
      </c>
      <c r="B717" s="1">
        <v>40214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</row>
    <row r="718" spans="1:8" x14ac:dyDescent="0.3">
      <c r="A718" t="s">
        <v>13</v>
      </c>
      <c r="B718" s="1">
        <v>40221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</row>
    <row r="719" spans="1:8" x14ac:dyDescent="0.3">
      <c r="A719" t="s">
        <v>13</v>
      </c>
      <c r="B719" s="1">
        <v>40228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</row>
    <row r="720" spans="1:8" x14ac:dyDescent="0.3">
      <c r="A720" t="s">
        <v>13</v>
      </c>
      <c r="B720" s="1">
        <v>40235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</row>
    <row r="721" spans="1:8" x14ac:dyDescent="0.3">
      <c r="A721" t="s">
        <v>13</v>
      </c>
      <c r="B721" s="1">
        <v>40242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</row>
    <row r="722" spans="1:8" x14ac:dyDescent="0.3">
      <c r="A722" t="s">
        <v>13</v>
      </c>
      <c r="B722" s="1">
        <v>40249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</row>
    <row r="723" spans="1:8" x14ac:dyDescent="0.3">
      <c r="A723" t="s">
        <v>13</v>
      </c>
      <c r="B723" s="1">
        <v>40256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</row>
    <row r="724" spans="1:8" x14ac:dyDescent="0.3">
      <c r="A724" t="s">
        <v>13</v>
      </c>
      <c r="B724" s="1">
        <v>40263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</row>
    <row r="725" spans="1:8" x14ac:dyDescent="0.3">
      <c r="A725" t="s">
        <v>13</v>
      </c>
      <c r="B725" s="1">
        <v>40270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</row>
    <row r="726" spans="1:8" x14ac:dyDescent="0.3">
      <c r="A726" t="s">
        <v>13</v>
      </c>
      <c r="B726" s="1">
        <v>40277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</row>
    <row r="727" spans="1:8" x14ac:dyDescent="0.3">
      <c r="A727" t="s">
        <v>13</v>
      </c>
      <c r="B727" s="1">
        <v>40284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</row>
    <row r="728" spans="1:8" x14ac:dyDescent="0.3">
      <c r="A728" t="s">
        <v>13</v>
      </c>
      <c r="B728" s="1">
        <v>40291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</row>
    <row r="729" spans="1:8" x14ac:dyDescent="0.3">
      <c r="A729" t="s">
        <v>13</v>
      </c>
      <c r="B729" s="1">
        <v>40298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</row>
    <row r="730" spans="1:8" x14ac:dyDescent="0.3">
      <c r="A730" t="s">
        <v>13</v>
      </c>
      <c r="B730" s="1">
        <v>40305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</row>
    <row r="731" spans="1:8" x14ac:dyDescent="0.3">
      <c r="A731" t="s">
        <v>13</v>
      </c>
      <c r="B731" s="1">
        <v>40312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</row>
    <row r="732" spans="1:8" x14ac:dyDescent="0.3">
      <c r="A732" t="s">
        <v>13</v>
      </c>
      <c r="B732" s="1">
        <v>40319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</row>
    <row r="733" spans="1:8" x14ac:dyDescent="0.3">
      <c r="A733" t="s">
        <v>13</v>
      </c>
      <c r="B733" s="1">
        <v>40326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</row>
    <row r="734" spans="1:8" x14ac:dyDescent="0.3">
      <c r="A734" t="s">
        <v>13</v>
      </c>
      <c r="B734" s="1">
        <v>40333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</row>
    <row r="735" spans="1:8" x14ac:dyDescent="0.3">
      <c r="A735" t="s">
        <v>13</v>
      </c>
      <c r="B735" s="1">
        <v>40340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</row>
    <row r="736" spans="1:8" x14ac:dyDescent="0.3">
      <c r="A736" t="s">
        <v>13</v>
      </c>
      <c r="B736" s="1">
        <v>40347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</row>
    <row r="737" spans="1:8" x14ac:dyDescent="0.3">
      <c r="A737" t="s">
        <v>13</v>
      </c>
      <c r="B737" s="1">
        <v>40354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</row>
    <row r="738" spans="1:8" x14ac:dyDescent="0.3">
      <c r="A738" t="s">
        <v>13</v>
      </c>
      <c r="B738" s="1">
        <v>40361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</row>
    <row r="739" spans="1:8" x14ac:dyDescent="0.3">
      <c r="A739" t="s">
        <v>13</v>
      </c>
      <c r="B739" s="1">
        <v>40368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</row>
    <row r="740" spans="1:8" x14ac:dyDescent="0.3">
      <c r="A740" t="s">
        <v>13</v>
      </c>
      <c r="B740" s="1">
        <v>40375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</row>
    <row r="741" spans="1:8" x14ac:dyDescent="0.3">
      <c r="A741" t="s">
        <v>13</v>
      </c>
      <c r="B741" s="1">
        <v>40382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</row>
    <row r="742" spans="1:8" x14ac:dyDescent="0.3">
      <c r="A742" t="s">
        <v>13</v>
      </c>
      <c r="B742" s="1">
        <v>40389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</row>
    <row r="743" spans="1:8" x14ac:dyDescent="0.3">
      <c r="A743" t="s">
        <v>13</v>
      </c>
      <c r="B743" s="1">
        <v>40396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</row>
    <row r="744" spans="1:8" x14ac:dyDescent="0.3">
      <c r="A744" t="s">
        <v>13</v>
      </c>
      <c r="B744" s="1">
        <v>40403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</row>
    <row r="745" spans="1:8" x14ac:dyDescent="0.3">
      <c r="A745" t="s">
        <v>13</v>
      </c>
      <c r="B745" s="1">
        <v>40410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</row>
    <row r="746" spans="1:8" x14ac:dyDescent="0.3">
      <c r="A746" t="s">
        <v>13</v>
      </c>
      <c r="B746" s="1">
        <v>40417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</row>
    <row r="747" spans="1:8" x14ac:dyDescent="0.3">
      <c r="A747" t="s">
        <v>13</v>
      </c>
      <c r="B747" s="1">
        <v>40424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</row>
    <row r="748" spans="1:8" x14ac:dyDescent="0.3">
      <c r="A748" t="s">
        <v>13</v>
      </c>
      <c r="B748" s="1">
        <v>40431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</row>
    <row r="749" spans="1:8" x14ac:dyDescent="0.3">
      <c r="A749" t="s">
        <v>13</v>
      </c>
      <c r="B749" s="1">
        <v>40438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</row>
    <row r="750" spans="1:8" x14ac:dyDescent="0.3">
      <c r="A750" t="s">
        <v>13</v>
      </c>
      <c r="B750" s="1">
        <v>40445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</row>
    <row r="751" spans="1:8" x14ac:dyDescent="0.3">
      <c r="A751" t="s">
        <v>13</v>
      </c>
      <c r="B751" s="1">
        <v>40452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</row>
    <row r="752" spans="1:8" x14ac:dyDescent="0.3">
      <c r="A752" t="s">
        <v>13</v>
      </c>
      <c r="B752" s="1">
        <v>40459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</row>
    <row r="753" spans="1:8" x14ac:dyDescent="0.3">
      <c r="A753" t="s">
        <v>13</v>
      </c>
      <c r="B753" s="1">
        <v>40466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</row>
    <row r="754" spans="1:8" x14ac:dyDescent="0.3">
      <c r="A754" t="s">
        <v>13</v>
      </c>
      <c r="B754" s="1">
        <v>40473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</row>
    <row r="755" spans="1:8" x14ac:dyDescent="0.3">
      <c r="A755" t="s">
        <v>13</v>
      </c>
      <c r="B755" s="1">
        <v>40480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</row>
    <row r="756" spans="1:8" x14ac:dyDescent="0.3">
      <c r="A756" t="s">
        <v>13</v>
      </c>
      <c r="B756" s="1">
        <v>40487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</row>
    <row r="757" spans="1:8" x14ac:dyDescent="0.3">
      <c r="A757" t="s">
        <v>13</v>
      </c>
      <c r="B757" s="1">
        <v>40494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</row>
    <row r="758" spans="1:8" x14ac:dyDescent="0.3">
      <c r="A758" t="s">
        <v>13</v>
      </c>
      <c r="B758" s="1">
        <v>40501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</row>
    <row r="759" spans="1:8" x14ac:dyDescent="0.3">
      <c r="A759" t="s">
        <v>13</v>
      </c>
      <c r="B759" s="1">
        <v>40508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</row>
    <row r="760" spans="1:8" x14ac:dyDescent="0.3">
      <c r="A760" t="s">
        <v>13</v>
      </c>
      <c r="B760" s="1">
        <v>40515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</row>
    <row r="761" spans="1:8" x14ac:dyDescent="0.3">
      <c r="A761" t="s">
        <v>13</v>
      </c>
      <c r="B761" s="1">
        <v>40522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</row>
    <row r="762" spans="1:8" x14ac:dyDescent="0.3">
      <c r="A762" t="s">
        <v>13</v>
      </c>
      <c r="B762" s="1">
        <v>40529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</row>
    <row r="763" spans="1:8" x14ac:dyDescent="0.3">
      <c r="A763" t="s">
        <v>13</v>
      </c>
      <c r="B763" s="1">
        <v>40536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</row>
    <row r="764" spans="1:8" x14ac:dyDescent="0.3">
      <c r="A764" t="s">
        <v>13</v>
      </c>
      <c r="B764" s="1">
        <v>40543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</row>
    <row r="765" spans="1:8" x14ac:dyDescent="0.3">
      <c r="A765" t="s">
        <v>13</v>
      </c>
      <c r="B765" s="1">
        <v>40550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</row>
    <row r="766" spans="1:8" x14ac:dyDescent="0.3">
      <c r="A766" t="s">
        <v>13</v>
      </c>
      <c r="B766" s="1">
        <v>40557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</row>
    <row r="767" spans="1:8" x14ac:dyDescent="0.3">
      <c r="A767" t="s">
        <v>13</v>
      </c>
      <c r="B767" s="1">
        <v>40564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</row>
    <row r="768" spans="1:8" x14ac:dyDescent="0.3">
      <c r="A768" t="s">
        <v>13</v>
      </c>
      <c r="B768" s="1">
        <v>40571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</row>
    <row r="769" spans="1:8" x14ac:dyDescent="0.3">
      <c r="A769" t="s">
        <v>13</v>
      </c>
      <c r="B769" s="1">
        <v>40578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</row>
    <row r="770" spans="1:8" x14ac:dyDescent="0.3">
      <c r="A770" t="s">
        <v>13</v>
      </c>
      <c r="B770" s="1">
        <v>40585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</row>
    <row r="771" spans="1:8" x14ac:dyDescent="0.3">
      <c r="A771" t="s">
        <v>13</v>
      </c>
      <c r="B771" s="1">
        <v>40592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</row>
    <row r="772" spans="1:8" x14ac:dyDescent="0.3">
      <c r="A772" t="s">
        <v>13</v>
      </c>
      <c r="B772" s="1">
        <v>40599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</row>
    <row r="773" spans="1:8" x14ac:dyDescent="0.3">
      <c r="A773" t="s">
        <v>13</v>
      </c>
      <c r="B773" s="1">
        <v>40606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</row>
    <row r="774" spans="1:8" x14ac:dyDescent="0.3">
      <c r="A774" t="s">
        <v>13</v>
      </c>
      <c r="B774" s="1">
        <v>40613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</row>
    <row r="775" spans="1:8" x14ac:dyDescent="0.3">
      <c r="A775" t="s">
        <v>13</v>
      </c>
      <c r="B775" s="1">
        <v>40620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</row>
    <row r="776" spans="1:8" x14ac:dyDescent="0.3">
      <c r="A776" t="s">
        <v>13</v>
      </c>
      <c r="B776" s="1">
        <v>40627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</row>
    <row r="777" spans="1:8" x14ac:dyDescent="0.3">
      <c r="A777" t="s">
        <v>13</v>
      </c>
      <c r="B777" s="1">
        <v>40634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</row>
    <row r="778" spans="1:8" x14ac:dyDescent="0.3">
      <c r="A778" t="s">
        <v>13</v>
      </c>
      <c r="B778" s="1">
        <v>40641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</row>
    <row r="779" spans="1:8" x14ac:dyDescent="0.3">
      <c r="A779" t="s">
        <v>13</v>
      </c>
      <c r="B779" s="1">
        <v>40648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</row>
    <row r="780" spans="1:8" x14ac:dyDescent="0.3">
      <c r="A780" t="s">
        <v>13</v>
      </c>
      <c r="B780" s="1">
        <v>40655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</row>
    <row r="781" spans="1:8" x14ac:dyDescent="0.3">
      <c r="A781" t="s">
        <v>13</v>
      </c>
      <c r="B781" s="1">
        <v>40662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</row>
    <row r="782" spans="1:8" x14ac:dyDescent="0.3">
      <c r="A782" t="s">
        <v>13</v>
      </c>
      <c r="B782" s="1">
        <v>40669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</row>
    <row r="783" spans="1:8" x14ac:dyDescent="0.3">
      <c r="A783" t="s">
        <v>13</v>
      </c>
      <c r="B783" s="1">
        <v>40676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</row>
    <row r="784" spans="1:8" x14ac:dyDescent="0.3">
      <c r="A784" t="s">
        <v>13</v>
      </c>
      <c r="B784" s="1">
        <v>40683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</row>
    <row r="785" spans="1:8" x14ac:dyDescent="0.3">
      <c r="A785" t="s">
        <v>13</v>
      </c>
      <c r="B785" s="1">
        <v>40690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</row>
    <row r="786" spans="1:8" x14ac:dyDescent="0.3">
      <c r="A786" t="s">
        <v>13</v>
      </c>
      <c r="B786" s="1">
        <v>40697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</row>
    <row r="787" spans="1:8" x14ac:dyDescent="0.3">
      <c r="A787" t="s">
        <v>13</v>
      </c>
      <c r="B787" s="1">
        <v>40704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</row>
    <row r="788" spans="1:8" x14ac:dyDescent="0.3">
      <c r="A788" t="s">
        <v>13</v>
      </c>
      <c r="B788" s="1">
        <v>40711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</row>
    <row r="789" spans="1:8" x14ac:dyDescent="0.3">
      <c r="A789" t="s">
        <v>13</v>
      </c>
      <c r="B789" s="1">
        <v>40718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</row>
    <row r="790" spans="1:8" x14ac:dyDescent="0.3">
      <c r="A790" t="s">
        <v>13</v>
      </c>
      <c r="B790" s="1">
        <v>40725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</row>
    <row r="791" spans="1:8" x14ac:dyDescent="0.3">
      <c r="A791" t="s">
        <v>13</v>
      </c>
      <c r="B791" s="1">
        <v>40732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</row>
    <row r="792" spans="1:8" x14ac:dyDescent="0.3">
      <c r="A792" t="s">
        <v>13</v>
      </c>
      <c r="B792" s="1">
        <v>40739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</row>
    <row r="793" spans="1:8" x14ac:dyDescent="0.3">
      <c r="A793" t="s">
        <v>13</v>
      </c>
      <c r="B793" s="1">
        <v>40746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</row>
    <row r="794" spans="1:8" x14ac:dyDescent="0.3">
      <c r="A794" t="s">
        <v>13</v>
      </c>
      <c r="B794" s="1">
        <v>40753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</row>
    <row r="795" spans="1:8" x14ac:dyDescent="0.3">
      <c r="A795" t="s">
        <v>13</v>
      </c>
      <c r="B795" s="1">
        <v>40760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</row>
    <row r="796" spans="1:8" x14ac:dyDescent="0.3">
      <c r="A796" t="s">
        <v>13</v>
      </c>
      <c r="B796" s="1">
        <v>40767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</row>
    <row r="797" spans="1:8" x14ac:dyDescent="0.3">
      <c r="A797" t="s">
        <v>13</v>
      </c>
      <c r="B797" s="1">
        <v>40774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</row>
    <row r="798" spans="1:8" x14ac:dyDescent="0.3">
      <c r="A798" t="s">
        <v>13</v>
      </c>
      <c r="B798" s="1">
        <v>40781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</row>
    <row r="799" spans="1:8" x14ac:dyDescent="0.3">
      <c r="A799" t="s">
        <v>13</v>
      </c>
      <c r="B799" s="1">
        <v>40788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</row>
    <row r="800" spans="1:8" x14ac:dyDescent="0.3">
      <c r="A800" t="s">
        <v>13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</row>
    <row r="801" spans="1:8" x14ac:dyDescent="0.3">
      <c r="A801" t="s">
        <v>13</v>
      </c>
      <c r="B801" s="1">
        <v>40802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</row>
    <row r="802" spans="1:8" x14ac:dyDescent="0.3">
      <c r="A802" t="s">
        <v>13</v>
      </c>
      <c r="B802" s="1">
        <v>40809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</row>
    <row r="803" spans="1:8" x14ac:dyDescent="0.3">
      <c r="A803" t="s">
        <v>13</v>
      </c>
      <c r="B803" s="1">
        <v>40816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</row>
    <row r="804" spans="1:8" x14ac:dyDescent="0.3">
      <c r="A804" t="s">
        <v>13</v>
      </c>
      <c r="B804" s="1">
        <v>40823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</row>
    <row r="805" spans="1:8" x14ac:dyDescent="0.3">
      <c r="A805" t="s">
        <v>13</v>
      </c>
      <c r="B805" s="1">
        <v>40830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</row>
    <row r="806" spans="1:8" x14ac:dyDescent="0.3">
      <c r="A806" t="s">
        <v>13</v>
      </c>
      <c r="B806" s="1">
        <v>40837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</row>
    <row r="807" spans="1:8" x14ac:dyDescent="0.3">
      <c r="A807" t="s">
        <v>13</v>
      </c>
      <c r="B807" s="1">
        <v>40844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</row>
    <row r="808" spans="1:8" x14ac:dyDescent="0.3">
      <c r="A808" t="s">
        <v>13</v>
      </c>
      <c r="B808" s="1">
        <v>40851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</row>
    <row r="809" spans="1:8" x14ac:dyDescent="0.3">
      <c r="A809" t="s">
        <v>13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</row>
    <row r="810" spans="1:8" x14ac:dyDescent="0.3">
      <c r="A810" t="s">
        <v>13</v>
      </c>
      <c r="B810" s="1">
        <v>40865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</row>
    <row r="811" spans="1:8" x14ac:dyDescent="0.3">
      <c r="A811" t="s">
        <v>13</v>
      </c>
      <c r="B811" s="1">
        <v>40872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</row>
    <row r="812" spans="1:8" x14ac:dyDescent="0.3">
      <c r="A812" t="s">
        <v>13</v>
      </c>
      <c r="B812" s="1">
        <v>40879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</row>
    <row r="813" spans="1:8" x14ac:dyDescent="0.3">
      <c r="A813" t="s">
        <v>13</v>
      </c>
      <c r="B813" s="1">
        <v>40886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</row>
    <row r="814" spans="1:8" x14ac:dyDescent="0.3">
      <c r="A814" t="s">
        <v>13</v>
      </c>
      <c r="B814" s="1">
        <v>40893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</row>
    <row r="815" spans="1:8" x14ac:dyDescent="0.3">
      <c r="A815" t="s">
        <v>13</v>
      </c>
      <c r="B815" s="1">
        <v>40900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</row>
    <row r="816" spans="1:8" x14ac:dyDescent="0.3">
      <c r="A816" t="s">
        <v>13</v>
      </c>
      <c r="B816" s="1">
        <v>40907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</row>
    <row r="817" spans="1:8" x14ac:dyDescent="0.3">
      <c r="A817" t="s">
        <v>13</v>
      </c>
      <c r="B817" s="1">
        <v>40914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</row>
    <row r="818" spans="1:8" x14ac:dyDescent="0.3">
      <c r="A818" t="s">
        <v>13</v>
      </c>
      <c r="B818" s="1">
        <v>40921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</row>
    <row r="819" spans="1:8" x14ac:dyDescent="0.3">
      <c r="A819" t="s">
        <v>13</v>
      </c>
      <c r="B819" s="1">
        <v>40928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</row>
    <row r="820" spans="1:8" x14ac:dyDescent="0.3">
      <c r="A820" t="s">
        <v>13</v>
      </c>
      <c r="B820" s="1">
        <v>40935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</row>
    <row r="821" spans="1:8" x14ac:dyDescent="0.3">
      <c r="A821" t="s">
        <v>13</v>
      </c>
      <c r="B821" s="1">
        <v>40942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</row>
    <row r="822" spans="1:8" x14ac:dyDescent="0.3">
      <c r="A822" t="s">
        <v>13</v>
      </c>
      <c r="B822" s="1">
        <v>40949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</row>
    <row r="823" spans="1:8" x14ac:dyDescent="0.3">
      <c r="A823" t="s">
        <v>13</v>
      </c>
      <c r="B823" s="1">
        <v>40956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</row>
    <row r="824" spans="1:8" x14ac:dyDescent="0.3">
      <c r="A824" t="s">
        <v>13</v>
      </c>
      <c r="B824" s="1">
        <v>40963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</row>
    <row r="825" spans="1:8" x14ac:dyDescent="0.3">
      <c r="A825" t="s">
        <v>13</v>
      </c>
      <c r="B825" s="1">
        <v>40970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</row>
    <row r="826" spans="1:8" x14ac:dyDescent="0.3">
      <c r="A826" t="s">
        <v>13</v>
      </c>
      <c r="B826" s="1">
        <v>40977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</row>
    <row r="827" spans="1:8" x14ac:dyDescent="0.3">
      <c r="A827" t="s">
        <v>13</v>
      </c>
      <c r="B827" s="1">
        <v>40984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</row>
    <row r="828" spans="1:8" x14ac:dyDescent="0.3">
      <c r="A828" t="s">
        <v>13</v>
      </c>
      <c r="B828" s="1">
        <v>40991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</row>
    <row r="829" spans="1:8" x14ac:dyDescent="0.3">
      <c r="A829" t="s">
        <v>13</v>
      </c>
      <c r="B829" s="1">
        <v>40998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</row>
    <row r="830" spans="1:8" x14ac:dyDescent="0.3">
      <c r="A830" t="s">
        <v>13</v>
      </c>
      <c r="B830" s="1">
        <v>41005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</row>
    <row r="831" spans="1:8" x14ac:dyDescent="0.3">
      <c r="A831" t="s">
        <v>13</v>
      </c>
      <c r="B831" s="1">
        <v>41012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</row>
    <row r="832" spans="1:8" x14ac:dyDescent="0.3">
      <c r="A832" t="s">
        <v>13</v>
      </c>
      <c r="B832" s="1">
        <v>41019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</row>
    <row r="833" spans="1:8" x14ac:dyDescent="0.3">
      <c r="A833" t="s">
        <v>13</v>
      </c>
      <c r="B833" s="1">
        <v>41026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</row>
    <row r="834" spans="1:8" x14ac:dyDescent="0.3">
      <c r="A834" t="s">
        <v>13</v>
      </c>
      <c r="B834" s="1">
        <v>41033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</row>
    <row r="835" spans="1:8" x14ac:dyDescent="0.3">
      <c r="A835" t="s">
        <v>13</v>
      </c>
      <c r="B835" s="1">
        <v>41040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</row>
    <row r="836" spans="1:8" x14ac:dyDescent="0.3">
      <c r="A836" t="s">
        <v>13</v>
      </c>
      <c r="B836" s="1">
        <v>41047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</row>
    <row r="837" spans="1:8" x14ac:dyDescent="0.3">
      <c r="A837" t="s">
        <v>13</v>
      </c>
      <c r="B837" s="1">
        <v>41054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</row>
    <row r="838" spans="1:8" x14ac:dyDescent="0.3">
      <c r="A838" t="s">
        <v>13</v>
      </c>
      <c r="B838" s="1">
        <v>41061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</row>
    <row r="839" spans="1:8" x14ac:dyDescent="0.3">
      <c r="A839" t="s">
        <v>13</v>
      </c>
      <c r="B839" s="1">
        <v>41068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</row>
    <row r="840" spans="1:8" x14ac:dyDescent="0.3">
      <c r="A840" t="s">
        <v>13</v>
      </c>
      <c r="B840" s="1">
        <v>41075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</row>
    <row r="841" spans="1:8" x14ac:dyDescent="0.3">
      <c r="A841" t="s">
        <v>13</v>
      </c>
      <c r="B841" s="1">
        <v>41082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</row>
    <row r="842" spans="1:8" x14ac:dyDescent="0.3">
      <c r="A842" t="s">
        <v>13</v>
      </c>
      <c r="B842" s="1">
        <v>41089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</row>
    <row r="843" spans="1:8" x14ac:dyDescent="0.3">
      <c r="A843" t="s">
        <v>13</v>
      </c>
      <c r="B843" s="1">
        <v>41096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</row>
    <row r="844" spans="1:8" x14ac:dyDescent="0.3">
      <c r="A844" t="s">
        <v>13</v>
      </c>
      <c r="B844" s="1">
        <v>41103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</row>
    <row r="845" spans="1:8" x14ac:dyDescent="0.3">
      <c r="A845" t="s">
        <v>13</v>
      </c>
      <c r="B845" s="1">
        <v>41110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</row>
    <row r="846" spans="1:8" x14ac:dyDescent="0.3">
      <c r="A846" t="s">
        <v>13</v>
      </c>
      <c r="B846" s="1">
        <v>41117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</row>
    <row r="847" spans="1:8" x14ac:dyDescent="0.3">
      <c r="A847" t="s">
        <v>13</v>
      </c>
      <c r="B847" s="1">
        <v>41124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</row>
    <row r="848" spans="1:8" x14ac:dyDescent="0.3">
      <c r="A848" t="s">
        <v>13</v>
      </c>
      <c r="B848" s="1">
        <v>41131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</row>
    <row r="849" spans="1:8" x14ac:dyDescent="0.3">
      <c r="A849" t="s">
        <v>13</v>
      </c>
      <c r="B849" s="1">
        <v>41138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</row>
    <row r="850" spans="1:8" x14ac:dyDescent="0.3">
      <c r="A850" t="s">
        <v>13</v>
      </c>
      <c r="B850" s="1">
        <v>41145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</row>
    <row r="851" spans="1:8" x14ac:dyDescent="0.3">
      <c r="A851" t="s">
        <v>13</v>
      </c>
      <c r="B851" s="1">
        <v>41152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</row>
    <row r="852" spans="1:8" x14ac:dyDescent="0.3">
      <c r="A852" t="s">
        <v>13</v>
      </c>
      <c r="B852" s="1">
        <v>41159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</row>
    <row r="853" spans="1:8" x14ac:dyDescent="0.3">
      <c r="A853" t="s">
        <v>13</v>
      </c>
      <c r="B853" s="1">
        <v>41166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</row>
    <row r="854" spans="1:8" x14ac:dyDescent="0.3">
      <c r="A854" t="s">
        <v>13</v>
      </c>
      <c r="B854" s="1">
        <v>41173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</row>
    <row r="855" spans="1:8" x14ac:dyDescent="0.3">
      <c r="A855" t="s">
        <v>13</v>
      </c>
      <c r="B855" s="1">
        <v>41180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</row>
    <row r="856" spans="1:8" x14ac:dyDescent="0.3">
      <c r="A856" t="s">
        <v>13</v>
      </c>
      <c r="B856" s="1">
        <v>41187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</row>
    <row r="857" spans="1:8" x14ac:dyDescent="0.3">
      <c r="A857" t="s">
        <v>13</v>
      </c>
      <c r="B857" s="1">
        <v>41194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</row>
    <row r="858" spans="1:8" x14ac:dyDescent="0.3">
      <c r="A858" t="s">
        <v>13</v>
      </c>
      <c r="B858" s="1">
        <v>41201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</row>
    <row r="859" spans="1:8" x14ac:dyDescent="0.3">
      <c r="A859" t="s">
        <v>13</v>
      </c>
      <c r="B859" s="1">
        <v>41208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</row>
    <row r="860" spans="1:8" x14ac:dyDescent="0.3">
      <c r="A860" t="s">
        <v>14</v>
      </c>
      <c r="B860" s="1">
        <v>40214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</row>
    <row r="861" spans="1:8" x14ac:dyDescent="0.3">
      <c r="A861" t="s">
        <v>14</v>
      </c>
      <c r="B861" s="1">
        <v>40221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</row>
    <row r="862" spans="1:8" x14ac:dyDescent="0.3">
      <c r="A862" t="s">
        <v>14</v>
      </c>
      <c r="B862" s="1">
        <v>40228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</row>
    <row r="863" spans="1:8" x14ac:dyDescent="0.3">
      <c r="A863" t="s">
        <v>14</v>
      </c>
      <c r="B863" s="1">
        <v>40235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</row>
    <row r="864" spans="1:8" x14ac:dyDescent="0.3">
      <c r="A864" t="s">
        <v>14</v>
      </c>
      <c r="B864" s="1">
        <v>40242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</row>
    <row r="865" spans="1:8" x14ac:dyDescent="0.3">
      <c r="A865" t="s">
        <v>14</v>
      </c>
      <c r="B865" s="1">
        <v>40249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</row>
    <row r="866" spans="1:8" x14ac:dyDescent="0.3">
      <c r="A866" t="s">
        <v>14</v>
      </c>
      <c r="B866" s="1">
        <v>40256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</row>
    <row r="867" spans="1:8" x14ac:dyDescent="0.3">
      <c r="A867" t="s">
        <v>14</v>
      </c>
      <c r="B867" s="1">
        <v>40263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</row>
    <row r="868" spans="1:8" x14ac:dyDescent="0.3">
      <c r="A868" t="s">
        <v>14</v>
      </c>
      <c r="B868" s="1">
        <v>40270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</row>
    <row r="869" spans="1:8" x14ac:dyDescent="0.3">
      <c r="A869" t="s">
        <v>14</v>
      </c>
      <c r="B869" s="1">
        <v>40277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</row>
    <row r="870" spans="1:8" x14ac:dyDescent="0.3">
      <c r="A870" t="s">
        <v>14</v>
      </c>
      <c r="B870" s="1">
        <v>40284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</row>
    <row r="871" spans="1:8" x14ac:dyDescent="0.3">
      <c r="A871" t="s">
        <v>14</v>
      </c>
      <c r="B871" s="1">
        <v>40291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</row>
    <row r="872" spans="1:8" x14ac:dyDescent="0.3">
      <c r="A872" t="s">
        <v>14</v>
      </c>
      <c r="B872" s="1">
        <v>40298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</row>
    <row r="873" spans="1:8" x14ac:dyDescent="0.3">
      <c r="A873" t="s">
        <v>14</v>
      </c>
      <c r="B873" s="1">
        <v>40305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</row>
    <row r="874" spans="1:8" x14ac:dyDescent="0.3">
      <c r="A874" t="s">
        <v>14</v>
      </c>
      <c r="B874" s="1">
        <v>40312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</row>
    <row r="875" spans="1:8" x14ac:dyDescent="0.3">
      <c r="A875" t="s">
        <v>14</v>
      </c>
      <c r="B875" s="1">
        <v>40319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</row>
    <row r="876" spans="1:8" x14ac:dyDescent="0.3">
      <c r="A876" t="s">
        <v>14</v>
      </c>
      <c r="B876" s="1">
        <v>40326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</row>
    <row r="877" spans="1:8" x14ac:dyDescent="0.3">
      <c r="A877" t="s">
        <v>14</v>
      </c>
      <c r="B877" s="1">
        <v>40333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</row>
    <row r="878" spans="1:8" x14ac:dyDescent="0.3">
      <c r="A878" t="s">
        <v>14</v>
      </c>
      <c r="B878" s="1">
        <v>40340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</row>
    <row r="879" spans="1:8" x14ac:dyDescent="0.3">
      <c r="A879" t="s">
        <v>14</v>
      </c>
      <c r="B879" s="1">
        <v>40347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</row>
    <row r="880" spans="1:8" x14ac:dyDescent="0.3">
      <c r="A880" t="s">
        <v>14</v>
      </c>
      <c r="B880" s="1">
        <v>40354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</row>
    <row r="881" spans="1:8" x14ac:dyDescent="0.3">
      <c r="A881" t="s">
        <v>14</v>
      </c>
      <c r="B881" s="1">
        <v>40361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</row>
    <row r="882" spans="1:8" x14ac:dyDescent="0.3">
      <c r="A882" t="s">
        <v>14</v>
      </c>
      <c r="B882" s="1">
        <v>40368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</row>
    <row r="883" spans="1:8" x14ac:dyDescent="0.3">
      <c r="A883" t="s">
        <v>14</v>
      </c>
      <c r="B883" s="1">
        <v>40375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</row>
    <row r="884" spans="1:8" x14ac:dyDescent="0.3">
      <c r="A884" t="s">
        <v>14</v>
      </c>
      <c r="B884" s="1">
        <v>40382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</row>
    <row r="885" spans="1:8" x14ac:dyDescent="0.3">
      <c r="A885" t="s">
        <v>14</v>
      </c>
      <c r="B885" s="1">
        <v>40389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</row>
    <row r="886" spans="1:8" x14ac:dyDescent="0.3">
      <c r="A886" t="s">
        <v>14</v>
      </c>
      <c r="B886" s="1">
        <v>40396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</row>
    <row r="887" spans="1:8" x14ac:dyDescent="0.3">
      <c r="A887" t="s">
        <v>14</v>
      </c>
      <c r="B887" s="1">
        <v>40403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</row>
    <row r="888" spans="1:8" x14ac:dyDescent="0.3">
      <c r="A888" t="s">
        <v>14</v>
      </c>
      <c r="B888" s="1">
        <v>40410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</row>
    <row r="889" spans="1:8" x14ac:dyDescent="0.3">
      <c r="A889" t="s">
        <v>14</v>
      </c>
      <c r="B889" s="1">
        <v>40417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</row>
    <row r="890" spans="1:8" x14ac:dyDescent="0.3">
      <c r="A890" t="s">
        <v>14</v>
      </c>
      <c r="B890" s="1">
        <v>40424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</row>
    <row r="891" spans="1:8" x14ac:dyDescent="0.3">
      <c r="A891" t="s">
        <v>14</v>
      </c>
      <c r="B891" s="1">
        <v>40431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</row>
    <row r="892" spans="1:8" x14ac:dyDescent="0.3">
      <c r="A892" t="s">
        <v>14</v>
      </c>
      <c r="B892" s="1">
        <v>40438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</row>
    <row r="893" spans="1:8" x14ac:dyDescent="0.3">
      <c r="A893" t="s">
        <v>14</v>
      </c>
      <c r="B893" s="1">
        <v>40445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</row>
    <row r="894" spans="1:8" x14ac:dyDescent="0.3">
      <c r="A894" t="s">
        <v>14</v>
      </c>
      <c r="B894" s="1">
        <v>40452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</row>
    <row r="895" spans="1:8" x14ac:dyDescent="0.3">
      <c r="A895" t="s">
        <v>14</v>
      </c>
      <c r="B895" s="1">
        <v>40459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</row>
    <row r="896" spans="1:8" x14ac:dyDescent="0.3">
      <c r="A896" t="s">
        <v>14</v>
      </c>
      <c r="B896" s="1">
        <v>40466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</row>
    <row r="897" spans="1:8" x14ac:dyDescent="0.3">
      <c r="A897" t="s">
        <v>14</v>
      </c>
      <c r="B897" s="1">
        <v>40473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</row>
    <row r="898" spans="1:8" x14ac:dyDescent="0.3">
      <c r="A898" t="s">
        <v>14</v>
      </c>
      <c r="B898" s="1">
        <v>40480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</row>
    <row r="899" spans="1:8" x14ac:dyDescent="0.3">
      <c r="A899" t="s">
        <v>14</v>
      </c>
      <c r="B899" s="1">
        <v>40487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</row>
    <row r="900" spans="1:8" x14ac:dyDescent="0.3">
      <c r="A900" t="s">
        <v>14</v>
      </c>
      <c r="B900" s="1">
        <v>40494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</row>
    <row r="901" spans="1:8" x14ac:dyDescent="0.3">
      <c r="A901" t="s">
        <v>14</v>
      </c>
      <c r="B901" s="1">
        <v>40501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</row>
    <row r="902" spans="1:8" x14ac:dyDescent="0.3">
      <c r="A902" t="s">
        <v>14</v>
      </c>
      <c r="B902" s="1">
        <v>40508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</row>
    <row r="903" spans="1:8" x14ac:dyDescent="0.3">
      <c r="A903" t="s">
        <v>14</v>
      </c>
      <c r="B903" s="1">
        <v>40515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</row>
    <row r="904" spans="1:8" x14ac:dyDescent="0.3">
      <c r="A904" t="s">
        <v>14</v>
      </c>
      <c r="B904" s="1">
        <v>40522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</row>
    <row r="905" spans="1:8" x14ac:dyDescent="0.3">
      <c r="A905" t="s">
        <v>14</v>
      </c>
      <c r="B905" s="1">
        <v>40529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</row>
    <row r="906" spans="1:8" x14ac:dyDescent="0.3">
      <c r="A906" t="s">
        <v>14</v>
      </c>
      <c r="B906" s="1">
        <v>40536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</row>
    <row r="907" spans="1:8" x14ac:dyDescent="0.3">
      <c r="A907" t="s">
        <v>14</v>
      </c>
      <c r="B907" s="1">
        <v>40543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</row>
    <row r="908" spans="1:8" x14ac:dyDescent="0.3">
      <c r="A908" t="s">
        <v>14</v>
      </c>
      <c r="B908" s="1">
        <v>40550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</row>
    <row r="909" spans="1:8" x14ac:dyDescent="0.3">
      <c r="A909" t="s">
        <v>14</v>
      </c>
      <c r="B909" s="1">
        <v>40557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</row>
    <row r="910" spans="1:8" x14ac:dyDescent="0.3">
      <c r="A910" t="s">
        <v>14</v>
      </c>
      <c r="B910" s="1">
        <v>40564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</row>
    <row r="911" spans="1:8" x14ac:dyDescent="0.3">
      <c r="A911" t="s">
        <v>14</v>
      </c>
      <c r="B911" s="1">
        <v>40571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</row>
    <row r="912" spans="1:8" x14ac:dyDescent="0.3">
      <c r="A912" t="s">
        <v>14</v>
      </c>
      <c r="B912" s="1">
        <v>40578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</row>
    <row r="913" spans="1:8" x14ac:dyDescent="0.3">
      <c r="A913" t="s">
        <v>14</v>
      </c>
      <c r="B913" s="1">
        <v>40585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</row>
    <row r="914" spans="1:8" x14ac:dyDescent="0.3">
      <c r="A914" t="s">
        <v>14</v>
      </c>
      <c r="B914" s="1">
        <v>40592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</row>
    <row r="915" spans="1:8" x14ac:dyDescent="0.3">
      <c r="A915" t="s">
        <v>14</v>
      </c>
      <c r="B915" s="1">
        <v>40599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</row>
    <row r="916" spans="1:8" x14ac:dyDescent="0.3">
      <c r="A916" t="s">
        <v>14</v>
      </c>
      <c r="B916" s="1">
        <v>40606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</row>
    <row r="917" spans="1:8" x14ac:dyDescent="0.3">
      <c r="A917" t="s">
        <v>14</v>
      </c>
      <c r="B917" s="1">
        <v>40613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</row>
    <row r="918" spans="1:8" x14ac:dyDescent="0.3">
      <c r="A918" t="s">
        <v>14</v>
      </c>
      <c r="B918" s="1">
        <v>40620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</row>
    <row r="919" spans="1:8" x14ac:dyDescent="0.3">
      <c r="A919" t="s">
        <v>14</v>
      </c>
      <c r="B919" s="1">
        <v>40627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</row>
    <row r="920" spans="1:8" x14ac:dyDescent="0.3">
      <c r="A920" t="s">
        <v>14</v>
      </c>
      <c r="B920" s="1">
        <v>40634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</row>
    <row r="921" spans="1:8" x14ac:dyDescent="0.3">
      <c r="A921" t="s">
        <v>14</v>
      </c>
      <c r="B921" s="1">
        <v>40641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</row>
    <row r="922" spans="1:8" x14ac:dyDescent="0.3">
      <c r="A922" t="s">
        <v>14</v>
      </c>
      <c r="B922" s="1">
        <v>40648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</row>
    <row r="923" spans="1:8" x14ac:dyDescent="0.3">
      <c r="A923" t="s">
        <v>14</v>
      </c>
      <c r="B923" s="1">
        <v>40655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</row>
    <row r="924" spans="1:8" x14ac:dyDescent="0.3">
      <c r="A924" t="s">
        <v>14</v>
      </c>
      <c r="B924" s="1">
        <v>40662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</row>
    <row r="925" spans="1:8" x14ac:dyDescent="0.3">
      <c r="A925" t="s">
        <v>14</v>
      </c>
      <c r="B925" s="1">
        <v>40669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</row>
    <row r="926" spans="1:8" x14ac:dyDescent="0.3">
      <c r="A926" t="s">
        <v>14</v>
      </c>
      <c r="B926" s="1">
        <v>40676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</row>
    <row r="927" spans="1:8" x14ac:dyDescent="0.3">
      <c r="A927" t="s">
        <v>14</v>
      </c>
      <c r="B927" s="1">
        <v>40683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</row>
    <row r="928" spans="1:8" x14ac:dyDescent="0.3">
      <c r="A928" t="s">
        <v>14</v>
      </c>
      <c r="B928" s="1">
        <v>40690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</row>
    <row r="929" spans="1:8" x14ac:dyDescent="0.3">
      <c r="A929" t="s">
        <v>14</v>
      </c>
      <c r="B929" s="1">
        <v>40697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</row>
    <row r="930" spans="1:8" x14ac:dyDescent="0.3">
      <c r="A930" t="s">
        <v>14</v>
      </c>
      <c r="B930" s="1">
        <v>40704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</row>
    <row r="931" spans="1:8" x14ac:dyDescent="0.3">
      <c r="A931" t="s">
        <v>14</v>
      </c>
      <c r="B931" s="1">
        <v>40711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</row>
    <row r="932" spans="1:8" x14ac:dyDescent="0.3">
      <c r="A932" t="s">
        <v>14</v>
      </c>
      <c r="B932" s="1">
        <v>40718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</row>
    <row r="933" spans="1:8" x14ac:dyDescent="0.3">
      <c r="A933" t="s">
        <v>14</v>
      </c>
      <c r="B933" s="1">
        <v>40725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</row>
    <row r="934" spans="1:8" x14ac:dyDescent="0.3">
      <c r="A934" t="s">
        <v>14</v>
      </c>
      <c r="B934" s="1">
        <v>40732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</row>
    <row r="935" spans="1:8" x14ac:dyDescent="0.3">
      <c r="A935" t="s">
        <v>14</v>
      </c>
      <c r="B935" s="1">
        <v>40739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</row>
    <row r="936" spans="1:8" x14ac:dyDescent="0.3">
      <c r="A936" t="s">
        <v>14</v>
      </c>
      <c r="B936" s="1">
        <v>40746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</row>
    <row r="937" spans="1:8" x14ac:dyDescent="0.3">
      <c r="A937" t="s">
        <v>14</v>
      </c>
      <c r="B937" s="1">
        <v>40753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</row>
    <row r="938" spans="1:8" x14ac:dyDescent="0.3">
      <c r="A938" t="s">
        <v>14</v>
      </c>
      <c r="B938" s="1">
        <v>40760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</row>
    <row r="939" spans="1:8" x14ac:dyDescent="0.3">
      <c r="A939" t="s">
        <v>14</v>
      </c>
      <c r="B939" s="1">
        <v>40767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</row>
    <row r="940" spans="1:8" x14ac:dyDescent="0.3">
      <c r="A940" t="s">
        <v>14</v>
      </c>
      <c r="B940" s="1">
        <v>40774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</row>
    <row r="941" spans="1:8" x14ac:dyDescent="0.3">
      <c r="A941" t="s">
        <v>14</v>
      </c>
      <c r="B941" s="1">
        <v>40781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</row>
    <row r="942" spans="1:8" x14ac:dyDescent="0.3">
      <c r="A942" t="s">
        <v>14</v>
      </c>
      <c r="B942" s="1">
        <v>40788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</row>
    <row r="943" spans="1:8" x14ac:dyDescent="0.3">
      <c r="A943" t="s">
        <v>14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</row>
    <row r="944" spans="1:8" x14ac:dyDescent="0.3">
      <c r="A944" t="s">
        <v>14</v>
      </c>
      <c r="B944" s="1">
        <v>40802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</row>
    <row r="945" spans="1:8" x14ac:dyDescent="0.3">
      <c r="A945" t="s">
        <v>14</v>
      </c>
      <c r="B945" s="1">
        <v>40809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</row>
    <row r="946" spans="1:8" x14ac:dyDescent="0.3">
      <c r="A946" t="s">
        <v>14</v>
      </c>
      <c r="B946" s="1">
        <v>40816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</row>
    <row r="947" spans="1:8" x14ac:dyDescent="0.3">
      <c r="A947" t="s">
        <v>14</v>
      </c>
      <c r="B947" s="1">
        <v>40823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</row>
    <row r="948" spans="1:8" x14ac:dyDescent="0.3">
      <c r="A948" t="s">
        <v>14</v>
      </c>
      <c r="B948" s="1">
        <v>40830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</row>
    <row r="949" spans="1:8" x14ac:dyDescent="0.3">
      <c r="A949" t="s">
        <v>14</v>
      </c>
      <c r="B949" s="1">
        <v>40837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</row>
    <row r="950" spans="1:8" x14ac:dyDescent="0.3">
      <c r="A950" t="s">
        <v>14</v>
      </c>
      <c r="B950" s="1">
        <v>40844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</row>
    <row r="951" spans="1:8" x14ac:dyDescent="0.3">
      <c r="A951" t="s">
        <v>14</v>
      </c>
      <c r="B951" s="1">
        <v>40851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</row>
    <row r="952" spans="1:8" x14ac:dyDescent="0.3">
      <c r="A952" t="s">
        <v>14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</row>
    <row r="953" spans="1:8" x14ac:dyDescent="0.3">
      <c r="A953" t="s">
        <v>14</v>
      </c>
      <c r="B953" s="1">
        <v>40865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</row>
    <row r="954" spans="1:8" x14ac:dyDescent="0.3">
      <c r="A954" t="s">
        <v>14</v>
      </c>
      <c r="B954" s="1">
        <v>40872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</row>
    <row r="955" spans="1:8" x14ac:dyDescent="0.3">
      <c r="A955" t="s">
        <v>14</v>
      </c>
      <c r="B955" s="1">
        <v>40879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</row>
    <row r="956" spans="1:8" x14ac:dyDescent="0.3">
      <c r="A956" t="s">
        <v>14</v>
      </c>
      <c r="B956" s="1">
        <v>40886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</row>
    <row r="957" spans="1:8" x14ac:dyDescent="0.3">
      <c r="A957" t="s">
        <v>14</v>
      </c>
      <c r="B957" s="1">
        <v>40893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</row>
    <row r="958" spans="1:8" x14ac:dyDescent="0.3">
      <c r="A958" t="s">
        <v>14</v>
      </c>
      <c r="B958" s="1">
        <v>40900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</row>
    <row r="959" spans="1:8" x14ac:dyDescent="0.3">
      <c r="A959" t="s">
        <v>14</v>
      </c>
      <c r="B959" s="1">
        <v>40907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</row>
    <row r="960" spans="1:8" x14ac:dyDescent="0.3">
      <c r="A960" t="s">
        <v>14</v>
      </c>
      <c r="B960" s="1">
        <v>40914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</row>
    <row r="961" spans="1:8" x14ac:dyDescent="0.3">
      <c r="A961" t="s">
        <v>14</v>
      </c>
      <c r="B961" s="1">
        <v>40921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</row>
    <row r="962" spans="1:8" x14ac:dyDescent="0.3">
      <c r="A962" t="s">
        <v>14</v>
      </c>
      <c r="B962" s="1">
        <v>40928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</row>
    <row r="963" spans="1:8" x14ac:dyDescent="0.3">
      <c r="A963" t="s">
        <v>14</v>
      </c>
      <c r="B963" s="1">
        <v>40935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</row>
    <row r="964" spans="1:8" x14ac:dyDescent="0.3">
      <c r="A964" t="s">
        <v>14</v>
      </c>
      <c r="B964" s="1">
        <v>40942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</row>
    <row r="965" spans="1:8" x14ac:dyDescent="0.3">
      <c r="A965" t="s">
        <v>14</v>
      </c>
      <c r="B965" s="1">
        <v>40949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</row>
    <row r="966" spans="1:8" x14ac:dyDescent="0.3">
      <c r="A966" t="s">
        <v>14</v>
      </c>
      <c r="B966" s="1">
        <v>40956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</row>
    <row r="967" spans="1:8" x14ac:dyDescent="0.3">
      <c r="A967" t="s">
        <v>14</v>
      </c>
      <c r="B967" s="1">
        <v>40963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</row>
    <row r="968" spans="1:8" x14ac:dyDescent="0.3">
      <c r="A968" t="s">
        <v>14</v>
      </c>
      <c r="B968" s="1">
        <v>40970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</row>
    <row r="969" spans="1:8" x14ac:dyDescent="0.3">
      <c r="A969" t="s">
        <v>14</v>
      </c>
      <c r="B969" s="1">
        <v>40977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</row>
    <row r="970" spans="1:8" x14ac:dyDescent="0.3">
      <c r="A970" t="s">
        <v>14</v>
      </c>
      <c r="B970" s="1">
        <v>40984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</row>
    <row r="971" spans="1:8" x14ac:dyDescent="0.3">
      <c r="A971" t="s">
        <v>14</v>
      </c>
      <c r="B971" s="1">
        <v>40991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</row>
    <row r="972" spans="1:8" x14ac:dyDescent="0.3">
      <c r="A972" t="s">
        <v>14</v>
      </c>
      <c r="B972" s="1">
        <v>40998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</row>
    <row r="973" spans="1:8" x14ac:dyDescent="0.3">
      <c r="A973" t="s">
        <v>14</v>
      </c>
      <c r="B973" s="1">
        <v>41005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</row>
    <row r="974" spans="1:8" x14ac:dyDescent="0.3">
      <c r="A974" t="s">
        <v>14</v>
      </c>
      <c r="B974" s="1">
        <v>41012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</row>
    <row r="975" spans="1:8" x14ac:dyDescent="0.3">
      <c r="A975" t="s">
        <v>14</v>
      </c>
      <c r="B975" s="1">
        <v>41019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</row>
    <row r="976" spans="1:8" x14ac:dyDescent="0.3">
      <c r="A976" t="s">
        <v>14</v>
      </c>
      <c r="B976" s="1">
        <v>41026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 x14ac:dyDescent="0.3">
      <c r="A977" t="s">
        <v>14</v>
      </c>
      <c r="B977" s="1">
        <v>41033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</row>
    <row r="978" spans="1:8" x14ac:dyDescent="0.3">
      <c r="A978" t="s">
        <v>14</v>
      </c>
      <c r="B978" s="1">
        <v>41040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 x14ac:dyDescent="0.3">
      <c r="A979" t="s">
        <v>14</v>
      </c>
      <c r="B979" s="1">
        <v>41047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</row>
    <row r="980" spans="1:8" x14ac:dyDescent="0.3">
      <c r="A980" t="s">
        <v>14</v>
      </c>
      <c r="B980" s="1">
        <v>41054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</row>
    <row r="981" spans="1:8" x14ac:dyDescent="0.3">
      <c r="A981" t="s">
        <v>14</v>
      </c>
      <c r="B981" s="1">
        <v>41061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</row>
    <row r="982" spans="1:8" x14ac:dyDescent="0.3">
      <c r="A982" t="s">
        <v>14</v>
      </c>
      <c r="B982" s="1">
        <v>41068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</row>
    <row r="983" spans="1:8" x14ac:dyDescent="0.3">
      <c r="A983" t="s">
        <v>14</v>
      </c>
      <c r="B983" s="1">
        <v>41075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</row>
    <row r="984" spans="1:8" x14ac:dyDescent="0.3">
      <c r="A984" t="s">
        <v>14</v>
      </c>
      <c r="B984" s="1">
        <v>41082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</row>
    <row r="985" spans="1:8" x14ac:dyDescent="0.3">
      <c r="A985" t="s">
        <v>14</v>
      </c>
      <c r="B985" s="1">
        <v>41089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</row>
    <row r="986" spans="1:8" x14ac:dyDescent="0.3">
      <c r="A986" t="s">
        <v>14</v>
      </c>
      <c r="B986" s="1">
        <v>41096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</row>
    <row r="987" spans="1:8" x14ac:dyDescent="0.3">
      <c r="A987" t="s">
        <v>14</v>
      </c>
      <c r="B987" s="1">
        <v>41103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</row>
    <row r="988" spans="1:8" x14ac:dyDescent="0.3">
      <c r="A988" t="s">
        <v>14</v>
      </c>
      <c r="B988" s="1">
        <v>41110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</row>
    <row r="989" spans="1:8" x14ac:dyDescent="0.3">
      <c r="A989" t="s">
        <v>14</v>
      </c>
      <c r="B989" s="1">
        <v>41117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</row>
    <row r="990" spans="1:8" x14ac:dyDescent="0.3">
      <c r="A990" t="s">
        <v>14</v>
      </c>
      <c r="B990" s="1">
        <v>41124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</row>
    <row r="991" spans="1:8" x14ac:dyDescent="0.3">
      <c r="A991" t="s">
        <v>14</v>
      </c>
      <c r="B991" s="1">
        <v>41131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</row>
    <row r="992" spans="1:8" x14ac:dyDescent="0.3">
      <c r="A992" t="s">
        <v>14</v>
      </c>
      <c r="B992" s="1">
        <v>41138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</row>
    <row r="993" spans="1:8" x14ac:dyDescent="0.3">
      <c r="A993" t="s">
        <v>14</v>
      </c>
      <c r="B993" s="1">
        <v>41145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</row>
    <row r="994" spans="1:8" x14ac:dyDescent="0.3">
      <c r="A994" t="s">
        <v>14</v>
      </c>
      <c r="B994" s="1">
        <v>41152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</row>
    <row r="995" spans="1:8" x14ac:dyDescent="0.3">
      <c r="A995" t="s">
        <v>14</v>
      </c>
      <c r="B995" s="1">
        <v>41159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</row>
    <row r="996" spans="1:8" x14ac:dyDescent="0.3">
      <c r="A996" t="s">
        <v>14</v>
      </c>
      <c r="B996" s="1">
        <v>41166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</row>
    <row r="997" spans="1:8" x14ac:dyDescent="0.3">
      <c r="A997" t="s">
        <v>14</v>
      </c>
      <c r="B997" s="1">
        <v>41173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</row>
    <row r="998" spans="1:8" x14ac:dyDescent="0.3">
      <c r="A998" t="s">
        <v>14</v>
      </c>
      <c r="B998" s="1">
        <v>41180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</row>
    <row r="999" spans="1:8" x14ac:dyDescent="0.3">
      <c r="A999" t="s">
        <v>14</v>
      </c>
      <c r="B999" s="1">
        <v>41187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</row>
    <row r="1000" spans="1:8" x14ac:dyDescent="0.3">
      <c r="A1000" t="s">
        <v>14</v>
      </c>
      <c r="B1000" s="1">
        <v>41194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</row>
    <row r="1001" spans="1:8" x14ac:dyDescent="0.3">
      <c r="A1001" t="s">
        <v>14</v>
      </c>
      <c r="B1001" s="1">
        <v>41201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</row>
    <row r="1002" spans="1:8" x14ac:dyDescent="0.3">
      <c r="A1002" t="s">
        <v>14</v>
      </c>
      <c r="B1002" s="1">
        <v>41208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</row>
    <row r="1003" spans="1:8" x14ac:dyDescent="0.3">
      <c r="A1003" t="s">
        <v>15</v>
      </c>
      <c r="B1003" s="1">
        <v>40214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</row>
    <row r="1004" spans="1:8" x14ac:dyDescent="0.3">
      <c r="A1004" t="s">
        <v>15</v>
      </c>
      <c r="B1004" s="1">
        <v>40221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</row>
    <row r="1005" spans="1:8" x14ac:dyDescent="0.3">
      <c r="A1005" t="s">
        <v>15</v>
      </c>
      <c r="B1005" s="1">
        <v>40228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</row>
    <row r="1006" spans="1:8" x14ac:dyDescent="0.3">
      <c r="A1006" t="s">
        <v>15</v>
      </c>
      <c r="B1006" s="1">
        <v>40235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</row>
    <row r="1007" spans="1:8" x14ac:dyDescent="0.3">
      <c r="A1007" t="s">
        <v>15</v>
      </c>
      <c r="B1007" s="1">
        <v>40242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</row>
    <row r="1008" spans="1:8" x14ac:dyDescent="0.3">
      <c r="A1008" t="s">
        <v>15</v>
      </c>
      <c r="B1008" s="1">
        <v>40249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</row>
    <row r="1009" spans="1:8" x14ac:dyDescent="0.3">
      <c r="A1009" t="s">
        <v>15</v>
      </c>
      <c r="B1009" s="1">
        <v>40256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</row>
    <row r="1010" spans="1:8" x14ac:dyDescent="0.3">
      <c r="A1010" t="s">
        <v>15</v>
      </c>
      <c r="B1010" s="1">
        <v>40263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</row>
    <row r="1011" spans="1:8" x14ac:dyDescent="0.3">
      <c r="A1011" t="s">
        <v>15</v>
      </c>
      <c r="B1011" s="1">
        <v>40270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</row>
    <row r="1012" spans="1:8" x14ac:dyDescent="0.3">
      <c r="A1012" t="s">
        <v>15</v>
      </c>
      <c r="B1012" s="1">
        <v>40277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</row>
    <row r="1013" spans="1:8" x14ac:dyDescent="0.3">
      <c r="A1013" t="s">
        <v>15</v>
      </c>
      <c r="B1013" s="1">
        <v>40284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</row>
    <row r="1014" spans="1:8" x14ac:dyDescent="0.3">
      <c r="A1014" t="s">
        <v>15</v>
      </c>
      <c r="B1014" s="1">
        <v>40291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</row>
    <row r="1015" spans="1:8" x14ac:dyDescent="0.3">
      <c r="A1015" t="s">
        <v>15</v>
      </c>
      <c r="B1015" s="1">
        <v>40298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 x14ac:dyDescent="0.3">
      <c r="A1016" t="s">
        <v>15</v>
      </c>
      <c r="B1016" s="1">
        <v>40305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 x14ac:dyDescent="0.3">
      <c r="A1017" t="s">
        <v>15</v>
      </c>
      <c r="B1017" s="1">
        <v>40312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</row>
    <row r="1018" spans="1:8" x14ac:dyDescent="0.3">
      <c r="A1018" t="s">
        <v>15</v>
      </c>
      <c r="B1018" s="1">
        <v>40319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</row>
    <row r="1019" spans="1:8" x14ac:dyDescent="0.3">
      <c r="A1019" t="s">
        <v>15</v>
      </c>
      <c r="B1019" s="1">
        <v>40326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</row>
    <row r="1020" spans="1:8" x14ac:dyDescent="0.3">
      <c r="A1020" t="s">
        <v>15</v>
      </c>
      <c r="B1020" s="1">
        <v>40333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</row>
    <row r="1021" spans="1:8" x14ac:dyDescent="0.3">
      <c r="A1021" t="s">
        <v>15</v>
      </c>
      <c r="B1021" s="1">
        <v>40340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</row>
    <row r="1022" spans="1:8" x14ac:dyDescent="0.3">
      <c r="A1022" t="s">
        <v>15</v>
      </c>
      <c r="B1022" s="1">
        <v>40347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</row>
    <row r="1023" spans="1:8" x14ac:dyDescent="0.3">
      <c r="A1023" t="s">
        <v>15</v>
      </c>
      <c r="B1023" s="1">
        <v>40354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</row>
    <row r="1024" spans="1:8" x14ac:dyDescent="0.3">
      <c r="A1024" t="s">
        <v>15</v>
      </c>
      <c r="B1024" s="1">
        <v>40361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</row>
    <row r="1025" spans="1:8" x14ac:dyDescent="0.3">
      <c r="A1025" t="s">
        <v>15</v>
      </c>
      <c r="B1025" s="1">
        <v>40368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</row>
    <row r="1026" spans="1:8" x14ac:dyDescent="0.3">
      <c r="A1026" t="s">
        <v>15</v>
      </c>
      <c r="B1026" s="1">
        <v>40375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</row>
    <row r="1027" spans="1:8" x14ac:dyDescent="0.3">
      <c r="A1027" t="s">
        <v>15</v>
      </c>
      <c r="B1027" s="1">
        <v>40382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</row>
    <row r="1028" spans="1:8" x14ac:dyDescent="0.3">
      <c r="A1028" t="s">
        <v>15</v>
      </c>
      <c r="B1028" s="1">
        <v>40389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</row>
    <row r="1029" spans="1:8" x14ac:dyDescent="0.3">
      <c r="A1029" t="s">
        <v>15</v>
      </c>
      <c r="B1029" s="1">
        <v>40396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</row>
    <row r="1030" spans="1:8" x14ac:dyDescent="0.3">
      <c r="A1030" t="s">
        <v>15</v>
      </c>
      <c r="B1030" s="1">
        <v>40403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</row>
    <row r="1031" spans="1:8" x14ac:dyDescent="0.3">
      <c r="A1031" t="s">
        <v>15</v>
      </c>
      <c r="B1031" s="1">
        <v>40410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</row>
    <row r="1032" spans="1:8" x14ac:dyDescent="0.3">
      <c r="A1032" t="s">
        <v>15</v>
      </c>
      <c r="B1032" s="1">
        <v>40417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</row>
    <row r="1033" spans="1:8" x14ac:dyDescent="0.3">
      <c r="A1033" t="s">
        <v>15</v>
      </c>
      <c r="B1033" s="1">
        <v>40424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</row>
    <row r="1034" spans="1:8" x14ac:dyDescent="0.3">
      <c r="A1034" t="s">
        <v>15</v>
      </c>
      <c r="B1034" s="1">
        <v>40431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</row>
    <row r="1035" spans="1:8" x14ac:dyDescent="0.3">
      <c r="A1035" t="s">
        <v>15</v>
      </c>
      <c r="B1035" s="1">
        <v>40438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</row>
    <row r="1036" spans="1:8" x14ac:dyDescent="0.3">
      <c r="A1036" t="s">
        <v>15</v>
      </c>
      <c r="B1036" s="1">
        <v>40445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</row>
    <row r="1037" spans="1:8" x14ac:dyDescent="0.3">
      <c r="A1037" t="s">
        <v>15</v>
      </c>
      <c r="B1037" s="1">
        <v>40452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</row>
    <row r="1038" spans="1:8" x14ac:dyDescent="0.3">
      <c r="A1038" t="s">
        <v>15</v>
      </c>
      <c r="B1038" s="1">
        <v>40459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</row>
    <row r="1039" spans="1:8" x14ac:dyDescent="0.3">
      <c r="A1039" t="s">
        <v>15</v>
      </c>
      <c r="B1039" s="1">
        <v>40466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</row>
    <row r="1040" spans="1:8" x14ac:dyDescent="0.3">
      <c r="A1040" t="s">
        <v>15</v>
      </c>
      <c r="B1040" s="1">
        <v>40473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</row>
    <row r="1041" spans="1:8" x14ac:dyDescent="0.3">
      <c r="A1041" t="s">
        <v>15</v>
      </c>
      <c r="B1041" s="1">
        <v>40480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</row>
    <row r="1042" spans="1:8" x14ac:dyDescent="0.3">
      <c r="A1042" t="s">
        <v>15</v>
      </c>
      <c r="B1042" s="1">
        <v>40487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</row>
    <row r="1043" spans="1:8" x14ac:dyDescent="0.3">
      <c r="A1043" t="s">
        <v>15</v>
      </c>
      <c r="B1043" s="1">
        <v>40494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</row>
    <row r="1044" spans="1:8" x14ac:dyDescent="0.3">
      <c r="A1044" t="s">
        <v>15</v>
      </c>
      <c r="B1044" s="1">
        <v>40501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</row>
    <row r="1045" spans="1:8" x14ac:dyDescent="0.3">
      <c r="A1045" t="s">
        <v>15</v>
      </c>
      <c r="B1045" s="1">
        <v>40508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</row>
    <row r="1046" spans="1:8" x14ac:dyDescent="0.3">
      <c r="A1046" t="s">
        <v>15</v>
      </c>
      <c r="B1046" s="1">
        <v>40515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</row>
    <row r="1047" spans="1:8" x14ac:dyDescent="0.3">
      <c r="A1047" t="s">
        <v>15</v>
      </c>
      <c r="B1047" s="1">
        <v>40522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</row>
    <row r="1048" spans="1:8" x14ac:dyDescent="0.3">
      <c r="A1048" t="s">
        <v>15</v>
      </c>
      <c r="B1048" s="1">
        <v>40529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</row>
    <row r="1049" spans="1:8" x14ac:dyDescent="0.3">
      <c r="A1049" t="s">
        <v>15</v>
      </c>
      <c r="B1049" s="1">
        <v>40536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</row>
    <row r="1050" spans="1:8" x14ac:dyDescent="0.3">
      <c r="A1050" t="s">
        <v>15</v>
      </c>
      <c r="B1050" s="1">
        <v>40543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</row>
    <row r="1051" spans="1:8" x14ac:dyDescent="0.3">
      <c r="A1051" t="s">
        <v>15</v>
      </c>
      <c r="B1051" s="1">
        <v>40550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</row>
    <row r="1052" spans="1:8" x14ac:dyDescent="0.3">
      <c r="A1052" t="s">
        <v>15</v>
      </c>
      <c r="B1052" s="1">
        <v>40557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</row>
    <row r="1053" spans="1:8" x14ac:dyDescent="0.3">
      <c r="A1053" t="s">
        <v>15</v>
      </c>
      <c r="B1053" s="1">
        <v>40564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</row>
    <row r="1054" spans="1:8" x14ac:dyDescent="0.3">
      <c r="A1054" t="s">
        <v>15</v>
      </c>
      <c r="B1054" s="1">
        <v>40571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</row>
    <row r="1055" spans="1:8" x14ac:dyDescent="0.3">
      <c r="A1055" t="s">
        <v>15</v>
      </c>
      <c r="B1055" s="1">
        <v>40578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</row>
    <row r="1056" spans="1:8" x14ac:dyDescent="0.3">
      <c r="A1056" t="s">
        <v>15</v>
      </c>
      <c r="B1056" s="1">
        <v>40585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</row>
    <row r="1057" spans="1:8" x14ac:dyDescent="0.3">
      <c r="A1057" t="s">
        <v>15</v>
      </c>
      <c r="B1057" s="1">
        <v>40592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</row>
    <row r="1058" spans="1:8" x14ac:dyDescent="0.3">
      <c r="A1058" t="s">
        <v>15</v>
      </c>
      <c r="B1058" s="1">
        <v>40599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</row>
    <row r="1059" spans="1:8" x14ac:dyDescent="0.3">
      <c r="A1059" t="s">
        <v>15</v>
      </c>
      <c r="B1059" s="1">
        <v>40606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</row>
    <row r="1060" spans="1:8" x14ac:dyDescent="0.3">
      <c r="A1060" t="s">
        <v>15</v>
      </c>
      <c r="B1060" s="1">
        <v>40613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</row>
    <row r="1061" spans="1:8" x14ac:dyDescent="0.3">
      <c r="A1061" t="s">
        <v>15</v>
      </c>
      <c r="B1061" s="1">
        <v>40620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</row>
    <row r="1062" spans="1:8" x14ac:dyDescent="0.3">
      <c r="A1062" t="s">
        <v>15</v>
      </c>
      <c r="B1062" s="1">
        <v>40627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</row>
    <row r="1063" spans="1:8" x14ac:dyDescent="0.3">
      <c r="A1063" t="s">
        <v>15</v>
      </c>
      <c r="B1063" s="1">
        <v>40634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</row>
    <row r="1064" spans="1:8" x14ac:dyDescent="0.3">
      <c r="A1064" t="s">
        <v>15</v>
      </c>
      <c r="B1064" s="1">
        <v>40641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</row>
    <row r="1065" spans="1:8" x14ac:dyDescent="0.3">
      <c r="A1065" t="s">
        <v>15</v>
      </c>
      <c r="B1065" s="1">
        <v>40648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</row>
    <row r="1066" spans="1:8" x14ac:dyDescent="0.3">
      <c r="A1066" t="s">
        <v>15</v>
      </c>
      <c r="B1066" s="1">
        <v>40655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</row>
    <row r="1067" spans="1:8" x14ac:dyDescent="0.3">
      <c r="A1067" t="s">
        <v>15</v>
      </c>
      <c r="B1067" s="1">
        <v>40662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</row>
    <row r="1068" spans="1:8" x14ac:dyDescent="0.3">
      <c r="A1068" t="s">
        <v>15</v>
      </c>
      <c r="B1068" s="1">
        <v>40669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</row>
    <row r="1069" spans="1:8" x14ac:dyDescent="0.3">
      <c r="A1069" t="s">
        <v>15</v>
      </c>
      <c r="B1069" s="1">
        <v>40676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</row>
    <row r="1070" spans="1:8" x14ac:dyDescent="0.3">
      <c r="A1070" t="s">
        <v>15</v>
      </c>
      <c r="B1070" s="1">
        <v>40683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</row>
    <row r="1071" spans="1:8" x14ac:dyDescent="0.3">
      <c r="A1071" t="s">
        <v>15</v>
      </c>
      <c r="B1071" s="1">
        <v>40690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</row>
    <row r="1072" spans="1:8" x14ac:dyDescent="0.3">
      <c r="A1072" t="s">
        <v>15</v>
      </c>
      <c r="B1072" s="1">
        <v>40697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</row>
    <row r="1073" spans="1:8" x14ac:dyDescent="0.3">
      <c r="A1073" t="s">
        <v>15</v>
      </c>
      <c r="B1073" s="1">
        <v>40704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</row>
    <row r="1074" spans="1:8" x14ac:dyDescent="0.3">
      <c r="A1074" t="s">
        <v>15</v>
      </c>
      <c r="B1074" s="1">
        <v>40711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</row>
    <row r="1075" spans="1:8" x14ac:dyDescent="0.3">
      <c r="A1075" t="s">
        <v>15</v>
      </c>
      <c r="B1075" s="1">
        <v>40718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</row>
    <row r="1076" spans="1:8" x14ac:dyDescent="0.3">
      <c r="A1076" t="s">
        <v>15</v>
      </c>
      <c r="B1076" s="1">
        <v>40725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</row>
    <row r="1077" spans="1:8" x14ac:dyDescent="0.3">
      <c r="A1077" t="s">
        <v>15</v>
      </c>
      <c r="B1077" s="1">
        <v>40732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</row>
    <row r="1078" spans="1:8" x14ac:dyDescent="0.3">
      <c r="A1078" t="s">
        <v>15</v>
      </c>
      <c r="B1078" s="1">
        <v>40739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</row>
    <row r="1079" spans="1:8" x14ac:dyDescent="0.3">
      <c r="A1079" t="s">
        <v>15</v>
      </c>
      <c r="B1079" s="1">
        <v>40746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</row>
    <row r="1080" spans="1:8" x14ac:dyDescent="0.3">
      <c r="A1080" t="s">
        <v>15</v>
      </c>
      <c r="B1080" s="1">
        <v>40753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</row>
    <row r="1081" spans="1:8" x14ac:dyDescent="0.3">
      <c r="A1081" t="s">
        <v>15</v>
      </c>
      <c r="B1081" s="1">
        <v>40760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</row>
    <row r="1082" spans="1:8" x14ac:dyDescent="0.3">
      <c r="A1082" t="s">
        <v>15</v>
      </c>
      <c r="B1082" s="1">
        <v>40767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</row>
    <row r="1083" spans="1:8" x14ac:dyDescent="0.3">
      <c r="A1083" t="s">
        <v>15</v>
      </c>
      <c r="B1083" s="1">
        <v>40774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</row>
    <row r="1084" spans="1:8" x14ac:dyDescent="0.3">
      <c r="A1084" t="s">
        <v>15</v>
      </c>
      <c r="B1084" s="1">
        <v>40781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</row>
    <row r="1085" spans="1:8" x14ac:dyDescent="0.3">
      <c r="A1085" t="s">
        <v>15</v>
      </c>
      <c r="B1085" s="1">
        <v>40788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</row>
    <row r="1086" spans="1:8" x14ac:dyDescent="0.3">
      <c r="A1086" t="s">
        <v>15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</row>
    <row r="1087" spans="1:8" x14ac:dyDescent="0.3">
      <c r="A1087" t="s">
        <v>15</v>
      </c>
      <c r="B1087" s="1">
        <v>40802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</row>
    <row r="1088" spans="1:8" x14ac:dyDescent="0.3">
      <c r="A1088" t="s">
        <v>15</v>
      </c>
      <c r="B1088" s="1">
        <v>40809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</row>
    <row r="1089" spans="1:8" x14ac:dyDescent="0.3">
      <c r="A1089" t="s">
        <v>15</v>
      </c>
      <c r="B1089" s="1">
        <v>40816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</row>
    <row r="1090" spans="1:8" x14ac:dyDescent="0.3">
      <c r="A1090" t="s">
        <v>15</v>
      </c>
      <c r="B1090" s="1">
        <v>40823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</row>
    <row r="1091" spans="1:8" x14ac:dyDescent="0.3">
      <c r="A1091" t="s">
        <v>15</v>
      </c>
      <c r="B1091" s="1">
        <v>40830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</row>
    <row r="1092" spans="1:8" x14ac:dyDescent="0.3">
      <c r="A1092" t="s">
        <v>15</v>
      </c>
      <c r="B1092" s="1">
        <v>40837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</row>
    <row r="1093" spans="1:8" x14ac:dyDescent="0.3">
      <c r="A1093" t="s">
        <v>15</v>
      </c>
      <c r="B1093" s="1">
        <v>40844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</row>
    <row r="1094" spans="1:8" x14ac:dyDescent="0.3">
      <c r="A1094" t="s">
        <v>15</v>
      </c>
      <c r="B1094" s="1">
        <v>40851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</row>
    <row r="1095" spans="1:8" x14ac:dyDescent="0.3">
      <c r="A1095" t="s">
        <v>15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</row>
    <row r="1096" spans="1:8" x14ac:dyDescent="0.3">
      <c r="A1096" t="s">
        <v>15</v>
      </c>
      <c r="B1096" s="1">
        <v>40865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</row>
    <row r="1097" spans="1:8" x14ac:dyDescent="0.3">
      <c r="A1097" t="s">
        <v>15</v>
      </c>
      <c r="B1097" s="1">
        <v>40872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</row>
    <row r="1098" spans="1:8" x14ac:dyDescent="0.3">
      <c r="A1098" t="s">
        <v>15</v>
      </c>
      <c r="B1098" s="1">
        <v>40879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</row>
    <row r="1099" spans="1:8" x14ac:dyDescent="0.3">
      <c r="A1099" t="s">
        <v>15</v>
      </c>
      <c r="B1099" s="1">
        <v>40886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</row>
    <row r="1100" spans="1:8" x14ac:dyDescent="0.3">
      <c r="A1100" t="s">
        <v>15</v>
      </c>
      <c r="B1100" s="1">
        <v>40893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</row>
    <row r="1101" spans="1:8" x14ac:dyDescent="0.3">
      <c r="A1101" t="s">
        <v>15</v>
      </c>
      <c r="B1101" s="1">
        <v>40900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</row>
    <row r="1102" spans="1:8" x14ac:dyDescent="0.3">
      <c r="A1102" t="s">
        <v>15</v>
      </c>
      <c r="B1102" s="1">
        <v>40907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</row>
    <row r="1103" spans="1:8" x14ac:dyDescent="0.3">
      <c r="A1103" t="s">
        <v>15</v>
      </c>
      <c r="B1103" s="1">
        <v>40914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</row>
    <row r="1104" spans="1:8" x14ac:dyDescent="0.3">
      <c r="A1104" t="s">
        <v>15</v>
      </c>
      <c r="B1104" s="1">
        <v>40921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</row>
    <row r="1105" spans="1:8" x14ac:dyDescent="0.3">
      <c r="A1105" t="s">
        <v>15</v>
      </c>
      <c r="B1105" s="1">
        <v>40928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</row>
    <row r="1106" spans="1:8" x14ac:dyDescent="0.3">
      <c r="A1106" t="s">
        <v>15</v>
      </c>
      <c r="B1106" s="1">
        <v>40935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</row>
    <row r="1107" spans="1:8" x14ac:dyDescent="0.3">
      <c r="A1107" t="s">
        <v>15</v>
      </c>
      <c r="B1107" s="1">
        <v>40942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</row>
    <row r="1108" spans="1:8" x14ac:dyDescent="0.3">
      <c r="A1108" t="s">
        <v>15</v>
      </c>
      <c r="B1108" s="1">
        <v>40949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</row>
    <row r="1109" spans="1:8" x14ac:dyDescent="0.3">
      <c r="A1109" t="s">
        <v>15</v>
      </c>
      <c r="B1109" s="1">
        <v>40956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</row>
    <row r="1110" spans="1:8" x14ac:dyDescent="0.3">
      <c r="A1110" t="s">
        <v>15</v>
      </c>
      <c r="B1110" s="1">
        <v>40963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</row>
    <row r="1111" spans="1:8" x14ac:dyDescent="0.3">
      <c r="A1111" t="s">
        <v>15</v>
      </c>
      <c r="B1111" s="1">
        <v>40970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</row>
    <row r="1112" spans="1:8" x14ac:dyDescent="0.3">
      <c r="A1112" t="s">
        <v>15</v>
      </c>
      <c r="B1112" s="1">
        <v>40977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</row>
    <row r="1113" spans="1:8" x14ac:dyDescent="0.3">
      <c r="A1113" t="s">
        <v>15</v>
      </c>
      <c r="B1113" s="1">
        <v>40984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</row>
    <row r="1114" spans="1:8" x14ac:dyDescent="0.3">
      <c r="A1114" t="s">
        <v>15</v>
      </c>
      <c r="B1114" s="1">
        <v>40991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</row>
    <row r="1115" spans="1:8" x14ac:dyDescent="0.3">
      <c r="A1115" t="s">
        <v>15</v>
      </c>
      <c r="B1115" s="1">
        <v>40998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</row>
    <row r="1116" spans="1:8" x14ac:dyDescent="0.3">
      <c r="A1116" t="s">
        <v>15</v>
      </c>
      <c r="B1116" s="1">
        <v>41005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</row>
    <row r="1117" spans="1:8" x14ac:dyDescent="0.3">
      <c r="A1117" t="s">
        <v>15</v>
      </c>
      <c r="B1117" s="1">
        <v>41012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</row>
    <row r="1118" spans="1:8" x14ac:dyDescent="0.3">
      <c r="A1118" t="s">
        <v>15</v>
      </c>
      <c r="B1118" s="1">
        <v>41019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</row>
    <row r="1119" spans="1:8" x14ac:dyDescent="0.3">
      <c r="A1119" t="s">
        <v>15</v>
      </c>
      <c r="B1119" s="1">
        <v>41026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</row>
    <row r="1120" spans="1:8" x14ac:dyDescent="0.3">
      <c r="A1120" t="s">
        <v>15</v>
      </c>
      <c r="B1120" s="1">
        <v>41033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</row>
    <row r="1121" spans="1:8" x14ac:dyDescent="0.3">
      <c r="A1121" t="s">
        <v>15</v>
      </c>
      <c r="B1121" s="1">
        <v>41040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</row>
    <row r="1122" spans="1:8" x14ac:dyDescent="0.3">
      <c r="A1122" t="s">
        <v>15</v>
      </c>
      <c r="B1122" s="1">
        <v>41047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</row>
    <row r="1123" spans="1:8" x14ac:dyDescent="0.3">
      <c r="A1123" t="s">
        <v>15</v>
      </c>
      <c r="B1123" s="1">
        <v>41054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</row>
    <row r="1124" spans="1:8" x14ac:dyDescent="0.3">
      <c r="A1124" t="s">
        <v>15</v>
      </c>
      <c r="B1124" s="1">
        <v>41061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</row>
    <row r="1125" spans="1:8" x14ac:dyDescent="0.3">
      <c r="A1125" t="s">
        <v>15</v>
      </c>
      <c r="B1125" s="1">
        <v>41068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</row>
    <row r="1126" spans="1:8" x14ac:dyDescent="0.3">
      <c r="A1126" t="s">
        <v>15</v>
      </c>
      <c r="B1126" s="1">
        <v>41075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</row>
    <row r="1127" spans="1:8" x14ac:dyDescent="0.3">
      <c r="A1127" t="s">
        <v>15</v>
      </c>
      <c r="B1127" s="1">
        <v>41082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</row>
    <row r="1128" spans="1:8" x14ac:dyDescent="0.3">
      <c r="A1128" t="s">
        <v>15</v>
      </c>
      <c r="B1128" s="1">
        <v>41089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</row>
    <row r="1129" spans="1:8" x14ac:dyDescent="0.3">
      <c r="A1129" t="s">
        <v>15</v>
      </c>
      <c r="B1129" s="1">
        <v>41096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</row>
    <row r="1130" spans="1:8" x14ac:dyDescent="0.3">
      <c r="A1130" t="s">
        <v>15</v>
      </c>
      <c r="B1130" s="1">
        <v>41103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</row>
    <row r="1131" spans="1:8" x14ac:dyDescent="0.3">
      <c r="A1131" t="s">
        <v>15</v>
      </c>
      <c r="B1131" s="1">
        <v>41110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</row>
    <row r="1132" spans="1:8" x14ac:dyDescent="0.3">
      <c r="A1132" t="s">
        <v>15</v>
      </c>
      <c r="B1132" s="1">
        <v>41117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</row>
    <row r="1133" spans="1:8" x14ac:dyDescent="0.3">
      <c r="A1133" t="s">
        <v>15</v>
      </c>
      <c r="B1133" s="1">
        <v>41124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</row>
    <row r="1134" spans="1:8" x14ac:dyDescent="0.3">
      <c r="A1134" t="s">
        <v>15</v>
      </c>
      <c r="B1134" s="1">
        <v>41131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</row>
    <row r="1135" spans="1:8" x14ac:dyDescent="0.3">
      <c r="A1135" t="s">
        <v>15</v>
      </c>
      <c r="B1135" s="1">
        <v>41138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</row>
    <row r="1136" spans="1:8" x14ac:dyDescent="0.3">
      <c r="A1136" t="s">
        <v>15</v>
      </c>
      <c r="B1136" s="1">
        <v>41145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</row>
    <row r="1137" spans="1:8" x14ac:dyDescent="0.3">
      <c r="A1137" t="s">
        <v>15</v>
      </c>
      <c r="B1137" s="1">
        <v>41152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</row>
    <row r="1138" spans="1:8" x14ac:dyDescent="0.3">
      <c r="A1138" t="s">
        <v>15</v>
      </c>
      <c r="B1138" s="1">
        <v>41159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</row>
    <row r="1139" spans="1:8" x14ac:dyDescent="0.3">
      <c r="A1139" t="s">
        <v>15</v>
      </c>
      <c r="B1139" s="1">
        <v>41166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</row>
    <row r="1140" spans="1:8" x14ac:dyDescent="0.3">
      <c r="A1140" t="s">
        <v>15</v>
      </c>
      <c r="B1140" s="1">
        <v>41173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</row>
    <row r="1141" spans="1:8" x14ac:dyDescent="0.3">
      <c r="A1141" t="s">
        <v>15</v>
      </c>
      <c r="B1141" s="1">
        <v>41180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</row>
    <row r="1142" spans="1:8" x14ac:dyDescent="0.3">
      <c r="A1142" t="s">
        <v>15</v>
      </c>
      <c r="B1142" s="1">
        <v>41187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</row>
    <row r="1143" spans="1:8" x14ac:dyDescent="0.3">
      <c r="A1143" t="s">
        <v>15</v>
      </c>
      <c r="B1143" s="1">
        <v>41194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</row>
    <row r="1144" spans="1:8" x14ac:dyDescent="0.3">
      <c r="A1144" t="s">
        <v>15</v>
      </c>
      <c r="B1144" s="1">
        <v>41201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</row>
    <row r="1145" spans="1:8" x14ac:dyDescent="0.3">
      <c r="A1145" t="s">
        <v>15</v>
      </c>
      <c r="B1145" s="1">
        <v>41208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</row>
    <row r="1146" spans="1:8" x14ac:dyDescent="0.3">
      <c r="A1146" t="s">
        <v>16</v>
      </c>
      <c r="B1146" s="1">
        <v>40214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</row>
    <row r="1147" spans="1:8" x14ac:dyDescent="0.3">
      <c r="A1147" t="s">
        <v>16</v>
      </c>
      <c r="B1147" s="1">
        <v>40221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</row>
    <row r="1148" spans="1:8" x14ac:dyDescent="0.3">
      <c r="A1148" t="s">
        <v>16</v>
      </c>
      <c r="B1148" s="1">
        <v>40228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</row>
    <row r="1149" spans="1:8" x14ac:dyDescent="0.3">
      <c r="A1149" t="s">
        <v>16</v>
      </c>
      <c r="B1149" s="1">
        <v>40235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</row>
    <row r="1150" spans="1:8" x14ac:dyDescent="0.3">
      <c r="A1150" t="s">
        <v>16</v>
      </c>
      <c r="B1150" s="1">
        <v>40242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 x14ac:dyDescent="0.3">
      <c r="A1151" t="s">
        <v>16</v>
      </c>
      <c r="B1151" s="1">
        <v>40249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</row>
    <row r="1152" spans="1:8" x14ac:dyDescent="0.3">
      <c r="A1152" t="s">
        <v>16</v>
      </c>
      <c r="B1152" s="1">
        <v>40256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 x14ac:dyDescent="0.3">
      <c r="A1153" t="s">
        <v>16</v>
      </c>
      <c r="B1153" s="1">
        <v>40263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</row>
    <row r="1154" spans="1:8" x14ac:dyDescent="0.3">
      <c r="A1154" t="s">
        <v>16</v>
      </c>
      <c r="B1154" s="1">
        <v>40270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</row>
    <row r="1155" spans="1:8" x14ac:dyDescent="0.3">
      <c r="A1155" t="s">
        <v>16</v>
      </c>
      <c r="B1155" s="1">
        <v>40277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</row>
    <row r="1156" spans="1:8" x14ac:dyDescent="0.3">
      <c r="A1156" t="s">
        <v>16</v>
      </c>
      <c r="B1156" s="1">
        <v>40284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</row>
    <row r="1157" spans="1:8" x14ac:dyDescent="0.3">
      <c r="A1157" t="s">
        <v>16</v>
      </c>
      <c r="B1157" s="1">
        <v>40291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</row>
    <row r="1158" spans="1:8" x14ac:dyDescent="0.3">
      <c r="A1158" t="s">
        <v>16</v>
      </c>
      <c r="B1158" s="1">
        <v>40298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</row>
    <row r="1159" spans="1:8" x14ac:dyDescent="0.3">
      <c r="A1159" t="s">
        <v>16</v>
      </c>
      <c r="B1159" s="1">
        <v>40305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</row>
    <row r="1160" spans="1:8" x14ac:dyDescent="0.3">
      <c r="A1160" t="s">
        <v>16</v>
      </c>
      <c r="B1160" s="1">
        <v>40312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</row>
    <row r="1161" spans="1:8" x14ac:dyDescent="0.3">
      <c r="A1161" t="s">
        <v>16</v>
      </c>
      <c r="B1161" s="1">
        <v>40319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</row>
    <row r="1162" spans="1:8" x14ac:dyDescent="0.3">
      <c r="A1162" t="s">
        <v>16</v>
      </c>
      <c r="B1162" s="1">
        <v>40326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</row>
    <row r="1163" spans="1:8" x14ac:dyDescent="0.3">
      <c r="A1163" t="s">
        <v>16</v>
      </c>
      <c r="B1163" s="1">
        <v>40333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</row>
    <row r="1164" spans="1:8" x14ac:dyDescent="0.3">
      <c r="A1164" t="s">
        <v>16</v>
      </c>
      <c r="B1164" s="1">
        <v>40340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</row>
    <row r="1165" spans="1:8" x14ac:dyDescent="0.3">
      <c r="A1165" t="s">
        <v>16</v>
      </c>
      <c r="B1165" s="1">
        <v>40347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</row>
    <row r="1166" spans="1:8" x14ac:dyDescent="0.3">
      <c r="A1166" t="s">
        <v>16</v>
      </c>
      <c r="B1166" s="1">
        <v>40354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</row>
    <row r="1167" spans="1:8" x14ac:dyDescent="0.3">
      <c r="A1167" t="s">
        <v>16</v>
      </c>
      <c r="B1167" s="1">
        <v>40361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</row>
    <row r="1168" spans="1:8" x14ac:dyDescent="0.3">
      <c r="A1168" t="s">
        <v>16</v>
      </c>
      <c r="B1168" s="1">
        <v>40368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</row>
    <row r="1169" spans="1:8" x14ac:dyDescent="0.3">
      <c r="A1169" t="s">
        <v>16</v>
      </c>
      <c r="B1169" s="1">
        <v>40375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</row>
    <row r="1170" spans="1:8" x14ac:dyDescent="0.3">
      <c r="A1170" t="s">
        <v>16</v>
      </c>
      <c r="B1170" s="1">
        <v>40382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</row>
    <row r="1171" spans="1:8" x14ac:dyDescent="0.3">
      <c r="A1171" t="s">
        <v>16</v>
      </c>
      <c r="B1171" s="1">
        <v>40389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</row>
    <row r="1172" spans="1:8" x14ac:dyDescent="0.3">
      <c r="A1172" t="s">
        <v>16</v>
      </c>
      <c r="B1172" s="1">
        <v>40396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</row>
    <row r="1173" spans="1:8" x14ac:dyDescent="0.3">
      <c r="A1173" t="s">
        <v>16</v>
      </c>
      <c r="B1173" s="1">
        <v>40403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</row>
    <row r="1174" spans="1:8" x14ac:dyDescent="0.3">
      <c r="A1174" t="s">
        <v>16</v>
      </c>
      <c r="B1174" s="1">
        <v>40410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</row>
    <row r="1175" spans="1:8" x14ac:dyDescent="0.3">
      <c r="A1175" t="s">
        <v>16</v>
      </c>
      <c r="B1175" s="1">
        <v>40417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</row>
    <row r="1176" spans="1:8" x14ac:dyDescent="0.3">
      <c r="A1176" t="s">
        <v>16</v>
      </c>
      <c r="B1176" s="1">
        <v>40424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</row>
    <row r="1177" spans="1:8" x14ac:dyDescent="0.3">
      <c r="A1177" t="s">
        <v>16</v>
      </c>
      <c r="B1177" s="1">
        <v>40431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</row>
    <row r="1178" spans="1:8" x14ac:dyDescent="0.3">
      <c r="A1178" t="s">
        <v>16</v>
      </c>
      <c r="B1178" s="1">
        <v>40438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</row>
    <row r="1179" spans="1:8" x14ac:dyDescent="0.3">
      <c r="A1179" t="s">
        <v>16</v>
      </c>
      <c r="B1179" s="1">
        <v>40445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</row>
    <row r="1180" spans="1:8" x14ac:dyDescent="0.3">
      <c r="A1180" t="s">
        <v>16</v>
      </c>
      <c r="B1180" s="1">
        <v>40452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</row>
    <row r="1181" spans="1:8" x14ac:dyDescent="0.3">
      <c r="A1181" t="s">
        <v>16</v>
      </c>
      <c r="B1181" s="1">
        <v>40459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</row>
    <row r="1182" spans="1:8" x14ac:dyDescent="0.3">
      <c r="A1182" t="s">
        <v>16</v>
      </c>
      <c r="B1182" s="1">
        <v>40466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</row>
    <row r="1183" spans="1:8" x14ac:dyDescent="0.3">
      <c r="A1183" t="s">
        <v>16</v>
      </c>
      <c r="B1183" s="1">
        <v>40473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</row>
    <row r="1184" spans="1:8" x14ac:dyDescent="0.3">
      <c r="A1184" t="s">
        <v>16</v>
      </c>
      <c r="B1184" s="1">
        <v>40480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</row>
    <row r="1185" spans="1:8" x14ac:dyDescent="0.3">
      <c r="A1185" t="s">
        <v>16</v>
      </c>
      <c r="B1185" s="1">
        <v>40487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</row>
    <row r="1186" spans="1:8" x14ac:dyDescent="0.3">
      <c r="A1186" t="s">
        <v>16</v>
      </c>
      <c r="B1186" s="1">
        <v>40494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</row>
    <row r="1187" spans="1:8" x14ac:dyDescent="0.3">
      <c r="A1187" t="s">
        <v>16</v>
      </c>
      <c r="B1187" s="1">
        <v>40501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</row>
    <row r="1188" spans="1:8" x14ac:dyDescent="0.3">
      <c r="A1188" t="s">
        <v>16</v>
      </c>
      <c r="B1188" s="1">
        <v>40508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</row>
    <row r="1189" spans="1:8" x14ac:dyDescent="0.3">
      <c r="A1189" t="s">
        <v>16</v>
      </c>
      <c r="B1189" s="1">
        <v>40515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</row>
    <row r="1190" spans="1:8" x14ac:dyDescent="0.3">
      <c r="A1190" t="s">
        <v>16</v>
      </c>
      <c r="B1190" s="1">
        <v>40522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</row>
    <row r="1191" spans="1:8" x14ac:dyDescent="0.3">
      <c r="A1191" t="s">
        <v>16</v>
      </c>
      <c r="B1191" s="1">
        <v>40529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</row>
    <row r="1192" spans="1:8" x14ac:dyDescent="0.3">
      <c r="A1192" t="s">
        <v>16</v>
      </c>
      <c r="B1192" s="1">
        <v>40536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</row>
    <row r="1193" spans="1:8" x14ac:dyDescent="0.3">
      <c r="A1193" t="s">
        <v>16</v>
      </c>
      <c r="B1193" s="1">
        <v>40543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</row>
    <row r="1194" spans="1:8" x14ac:dyDescent="0.3">
      <c r="A1194" t="s">
        <v>16</v>
      </c>
      <c r="B1194" s="1">
        <v>40550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</row>
    <row r="1195" spans="1:8" x14ac:dyDescent="0.3">
      <c r="A1195" t="s">
        <v>16</v>
      </c>
      <c r="B1195" s="1">
        <v>40557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</row>
    <row r="1196" spans="1:8" x14ac:dyDescent="0.3">
      <c r="A1196" t="s">
        <v>16</v>
      </c>
      <c r="B1196" s="1">
        <v>40564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</row>
    <row r="1197" spans="1:8" x14ac:dyDescent="0.3">
      <c r="A1197" t="s">
        <v>16</v>
      </c>
      <c r="B1197" s="1">
        <v>40571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</row>
    <row r="1198" spans="1:8" x14ac:dyDescent="0.3">
      <c r="A1198" t="s">
        <v>16</v>
      </c>
      <c r="B1198" s="1">
        <v>40578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</row>
    <row r="1199" spans="1:8" x14ac:dyDescent="0.3">
      <c r="A1199" t="s">
        <v>16</v>
      </c>
      <c r="B1199" s="1">
        <v>40585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</row>
    <row r="1200" spans="1:8" x14ac:dyDescent="0.3">
      <c r="A1200" t="s">
        <v>16</v>
      </c>
      <c r="B1200" s="1">
        <v>40592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</row>
    <row r="1201" spans="1:8" x14ac:dyDescent="0.3">
      <c r="A1201" t="s">
        <v>16</v>
      </c>
      <c r="B1201" s="1">
        <v>40599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</row>
    <row r="1202" spans="1:8" x14ac:dyDescent="0.3">
      <c r="A1202" t="s">
        <v>16</v>
      </c>
      <c r="B1202" s="1">
        <v>40606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</row>
    <row r="1203" spans="1:8" x14ac:dyDescent="0.3">
      <c r="A1203" t="s">
        <v>16</v>
      </c>
      <c r="B1203" s="1">
        <v>40613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</row>
    <row r="1204" spans="1:8" x14ac:dyDescent="0.3">
      <c r="A1204" t="s">
        <v>16</v>
      </c>
      <c r="B1204" s="1">
        <v>40620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</row>
    <row r="1205" spans="1:8" x14ac:dyDescent="0.3">
      <c r="A1205" t="s">
        <v>16</v>
      </c>
      <c r="B1205" s="1">
        <v>40627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</row>
    <row r="1206" spans="1:8" x14ac:dyDescent="0.3">
      <c r="A1206" t="s">
        <v>16</v>
      </c>
      <c r="B1206" s="1">
        <v>40634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</row>
    <row r="1207" spans="1:8" x14ac:dyDescent="0.3">
      <c r="A1207" t="s">
        <v>16</v>
      </c>
      <c r="B1207" s="1">
        <v>40641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</row>
    <row r="1208" spans="1:8" x14ac:dyDescent="0.3">
      <c r="A1208" t="s">
        <v>16</v>
      </c>
      <c r="B1208" s="1">
        <v>40648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</row>
    <row r="1209" spans="1:8" x14ac:dyDescent="0.3">
      <c r="A1209" t="s">
        <v>16</v>
      </c>
      <c r="B1209" s="1">
        <v>40655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</row>
    <row r="1210" spans="1:8" x14ac:dyDescent="0.3">
      <c r="A1210" t="s">
        <v>16</v>
      </c>
      <c r="B1210" s="1">
        <v>40662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</row>
    <row r="1211" spans="1:8" x14ac:dyDescent="0.3">
      <c r="A1211" t="s">
        <v>16</v>
      </c>
      <c r="B1211" s="1">
        <v>40669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</row>
    <row r="1212" spans="1:8" x14ac:dyDescent="0.3">
      <c r="A1212" t="s">
        <v>16</v>
      </c>
      <c r="B1212" s="1">
        <v>40676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</row>
    <row r="1213" spans="1:8" x14ac:dyDescent="0.3">
      <c r="A1213" t="s">
        <v>16</v>
      </c>
      <c r="B1213" s="1">
        <v>40683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</row>
    <row r="1214" spans="1:8" x14ac:dyDescent="0.3">
      <c r="A1214" t="s">
        <v>16</v>
      </c>
      <c r="B1214" s="1">
        <v>40690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 x14ac:dyDescent="0.3">
      <c r="A1215" t="s">
        <v>16</v>
      </c>
      <c r="B1215" s="1">
        <v>40697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</row>
    <row r="1216" spans="1:8" x14ac:dyDescent="0.3">
      <c r="A1216" t="s">
        <v>16</v>
      </c>
      <c r="B1216" s="1">
        <v>40704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</row>
    <row r="1217" spans="1:8" x14ac:dyDescent="0.3">
      <c r="A1217" t="s">
        <v>16</v>
      </c>
      <c r="B1217" s="1">
        <v>40711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</row>
    <row r="1218" spans="1:8" x14ac:dyDescent="0.3">
      <c r="A1218" t="s">
        <v>16</v>
      </c>
      <c r="B1218" s="1">
        <v>40718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</row>
    <row r="1219" spans="1:8" x14ac:dyDescent="0.3">
      <c r="A1219" t="s">
        <v>16</v>
      </c>
      <c r="B1219" s="1">
        <v>40725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</row>
    <row r="1220" spans="1:8" x14ac:dyDescent="0.3">
      <c r="A1220" t="s">
        <v>16</v>
      </c>
      <c r="B1220" s="1">
        <v>40732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</row>
    <row r="1221" spans="1:8" x14ac:dyDescent="0.3">
      <c r="A1221" t="s">
        <v>16</v>
      </c>
      <c r="B1221" s="1">
        <v>40739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</row>
    <row r="1222" spans="1:8" x14ac:dyDescent="0.3">
      <c r="A1222" t="s">
        <v>16</v>
      </c>
      <c r="B1222" s="1">
        <v>40746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</row>
    <row r="1223" spans="1:8" x14ac:dyDescent="0.3">
      <c r="A1223" t="s">
        <v>16</v>
      </c>
      <c r="B1223" s="1">
        <v>40753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</row>
    <row r="1224" spans="1:8" x14ac:dyDescent="0.3">
      <c r="A1224" t="s">
        <v>16</v>
      </c>
      <c r="B1224" s="1">
        <v>40760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</row>
    <row r="1225" spans="1:8" x14ac:dyDescent="0.3">
      <c r="A1225" t="s">
        <v>16</v>
      </c>
      <c r="B1225" s="1">
        <v>40767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</row>
    <row r="1226" spans="1:8" x14ac:dyDescent="0.3">
      <c r="A1226" t="s">
        <v>16</v>
      </c>
      <c r="B1226" s="1">
        <v>40774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</row>
    <row r="1227" spans="1:8" x14ac:dyDescent="0.3">
      <c r="A1227" t="s">
        <v>16</v>
      </c>
      <c r="B1227" s="1">
        <v>40781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</row>
    <row r="1228" spans="1:8" x14ac:dyDescent="0.3">
      <c r="A1228" t="s">
        <v>16</v>
      </c>
      <c r="B1228" s="1">
        <v>40788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</row>
    <row r="1229" spans="1:8" x14ac:dyDescent="0.3">
      <c r="A1229" t="s">
        <v>16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</row>
    <row r="1230" spans="1:8" x14ac:dyDescent="0.3">
      <c r="A1230" t="s">
        <v>16</v>
      </c>
      <c r="B1230" s="1">
        <v>40802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</row>
    <row r="1231" spans="1:8" x14ac:dyDescent="0.3">
      <c r="A1231" t="s">
        <v>16</v>
      </c>
      <c r="B1231" s="1">
        <v>40809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</row>
    <row r="1232" spans="1:8" x14ac:dyDescent="0.3">
      <c r="A1232" t="s">
        <v>16</v>
      </c>
      <c r="B1232" s="1">
        <v>40816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</row>
    <row r="1233" spans="1:8" x14ac:dyDescent="0.3">
      <c r="A1233" t="s">
        <v>16</v>
      </c>
      <c r="B1233" s="1">
        <v>40823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</row>
    <row r="1234" spans="1:8" x14ac:dyDescent="0.3">
      <c r="A1234" t="s">
        <v>16</v>
      </c>
      <c r="B1234" s="1">
        <v>40830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</row>
    <row r="1235" spans="1:8" x14ac:dyDescent="0.3">
      <c r="A1235" t="s">
        <v>16</v>
      </c>
      <c r="B1235" s="1">
        <v>40837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</row>
    <row r="1236" spans="1:8" x14ac:dyDescent="0.3">
      <c r="A1236" t="s">
        <v>16</v>
      </c>
      <c r="B1236" s="1">
        <v>40844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</row>
    <row r="1237" spans="1:8" x14ac:dyDescent="0.3">
      <c r="A1237" t="s">
        <v>16</v>
      </c>
      <c r="B1237" s="1">
        <v>40851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</row>
    <row r="1238" spans="1:8" x14ac:dyDescent="0.3">
      <c r="A1238" t="s">
        <v>16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</row>
    <row r="1239" spans="1:8" x14ac:dyDescent="0.3">
      <c r="A1239" t="s">
        <v>16</v>
      </c>
      <c r="B1239" s="1">
        <v>40865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</row>
    <row r="1240" spans="1:8" x14ac:dyDescent="0.3">
      <c r="A1240" t="s">
        <v>16</v>
      </c>
      <c r="B1240" s="1">
        <v>40872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</row>
    <row r="1241" spans="1:8" x14ac:dyDescent="0.3">
      <c r="A1241" t="s">
        <v>16</v>
      </c>
      <c r="B1241" s="1">
        <v>40879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</row>
    <row r="1242" spans="1:8" x14ac:dyDescent="0.3">
      <c r="A1242" t="s">
        <v>16</v>
      </c>
      <c r="B1242" s="1">
        <v>40886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</row>
    <row r="1243" spans="1:8" x14ac:dyDescent="0.3">
      <c r="A1243" t="s">
        <v>16</v>
      </c>
      <c r="B1243" s="1">
        <v>40893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</row>
    <row r="1244" spans="1:8" x14ac:dyDescent="0.3">
      <c r="A1244" t="s">
        <v>16</v>
      </c>
      <c r="B1244" s="1">
        <v>40900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</row>
    <row r="1245" spans="1:8" x14ac:dyDescent="0.3">
      <c r="A1245" t="s">
        <v>16</v>
      </c>
      <c r="B1245" s="1">
        <v>40907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</row>
    <row r="1246" spans="1:8" x14ac:dyDescent="0.3">
      <c r="A1246" t="s">
        <v>16</v>
      </c>
      <c r="B1246" s="1">
        <v>40914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</row>
    <row r="1247" spans="1:8" x14ac:dyDescent="0.3">
      <c r="A1247" t="s">
        <v>16</v>
      </c>
      <c r="B1247" s="1">
        <v>40921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</row>
    <row r="1248" spans="1:8" x14ac:dyDescent="0.3">
      <c r="A1248" t="s">
        <v>16</v>
      </c>
      <c r="B1248" s="1">
        <v>40928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</row>
    <row r="1249" spans="1:8" x14ac:dyDescent="0.3">
      <c r="A1249" t="s">
        <v>16</v>
      </c>
      <c r="B1249" s="1">
        <v>40935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</row>
    <row r="1250" spans="1:8" x14ac:dyDescent="0.3">
      <c r="A1250" t="s">
        <v>16</v>
      </c>
      <c r="B1250" s="1">
        <v>40942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</row>
    <row r="1251" spans="1:8" x14ac:dyDescent="0.3">
      <c r="A1251" t="s">
        <v>16</v>
      </c>
      <c r="B1251" s="1">
        <v>40949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</row>
    <row r="1252" spans="1:8" x14ac:dyDescent="0.3">
      <c r="A1252" t="s">
        <v>16</v>
      </c>
      <c r="B1252" s="1">
        <v>40956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</row>
    <row r="1253" spans="1:8" x14ac:dyDescent="0.3">
      <c r="A1253" t="s">
        <v>16</v>
      </c>
      <c r="B1253" s="1">
        <v>40963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</row>
    <row r="1254" spans="1:8" x14ac:dyDescent="0.3">
      <c r="A1254" t="s">
        <v>16</v>
      </c>
      <c r="B1254" s="1">
        <v>40970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</row>
    <row r="1255" spans="1:8" x14ac:dyDescent="0.3">
      <c r="A1255" t="s">
        <v>16</v>
      </c>
      <c r="B1255" s="1">
        <v>40977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</row>
    <row r="1256" spans="1:8" x14ac:dyDescent="0.3">
      <c r="A1256" t="s">
        <v>16</v>
      </c>
      <c r="B1256" s="1">
        <v>40984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</row>
    <row r="1257" spans="1:8" x14ac:dyDescent="0.3">
      <c r="A1257" t="s">
        <v>16</v>
      </c>
      <c r="B1257" s="1">
        <v>40991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</row>
    <row r="1258" spans="1:8" x14ac:dyDescent="0.3">
      <c r="A1258" t="s">
        <v>16</v>
      </c>
      <c r="B1258" s="1">
        <v>40998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</row>
    <row r="1259" spans="1:8" x14ac:dyDescent="0.3">
      <c r="A1259" t="s">
        <v>16</v>
      </c>
      <c r="B1259" s="1">
        <v>41005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</row>
    <row r="1260" spans="1:8" x14ac:dyDescent="0.3">
      <c r="A1260" t="s">
        <v>16</v>
      </c>
      <c r="B1260" s="1">
        <v>41012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</row>
    <row r="1261" spans="1:8" x14ac:dyDescent="0.3">
      <c r="A1261" t="s">
        <v>16</v>
      </c>
      <c r="B1261" s="1">
        <v>41019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</row>
    <row r="1262" spans="1:8" x14ac:dyDescent="0.3">
      <c r="A1262" t="s">
        <v>16</v>
      </c>
      <c r="B1262" s="1">
        <v>41026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</row>
    <row r="1263" spans="1:8" x14ac:dyDescent="0.3">
      <c r="A1263" t="s">
        <v>16</v>
      </c>
      <c r="B1263" s="1">
        <v>41033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</row>
    <row r="1264" spans="1:8" x14ac:dyDescent="0.3">
      <c r="A1264" t="s">
        <v>16</v>
      </c>
      <c r="B1264" s="1">
        <v>41040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</row>
    <row r="1265" spans="1:8" x14ac:dyDescent="0.3">
      <c r="A1265" t="s">
        <v>16</v>
      </c>
      <c r="B1265" s="1">
        <v>41047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</row>
    <row r="1266" spans="1:8" x14ac:dyDescent="0.3">
      <c r="A1266" t="s">
        <v>16</v>
      </c>
      <c r="B1266" s="1">
        <v>41054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</row>
    <row r="1267" spans="1:8" x14ac:dyDescent="0.3">
      <c r="A1267" t="s">
        <v>16</v>
      </c>
      <c r="B1267" s="1">
        <v>41061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</row>
    <row r="1268" spans="1:8" x14ac:dyDescent="0.3">
      <c r="A1268" t="s">
        <v>16</v>
      </c>
      <c r="B1268" s="1">
        <v>41068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</row>
    <row r="1269" spans="1:8" x14ac:dyDescent="0.3">
      <c r="A1269" t="s">
        <v>16</v>
      </c>
      <c r="B1269" s="1">
        <v>41075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</row>
    <row r="1270" spans="1:8" x14ac:dyDescent="0.3">
      <c r="A1270" t="s">
        <v>16</v>
      </c>
      <c r="B1270" s="1">
        <v>41082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</row>
    <row r="1271" spans="1:8" x14ac:dyDescent="0.3">
      <c r="A1271" t="s">
        <v>16</v>
      </c>
      <c r="B1271" s="1">
        <v>41089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</row>
    <row r="1272" spans="1:8" x14ac:dyDescent="0.3">
      <c r="A1272" t="s">
        <v>16</v>
      </c>
      <c r="B1272" s="1">
        <v>41096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</row>
    <row r="1273" spans="1:8" x14ac:dyDescent="0.3">
      <c r="A1273" t="s">
        <v>16</v>
      </c>
      <c r="B1273" s="1">
        <v>41103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</row>
    <row r="1274" spans="1:8" x14ac:dyDescent="0.3">
      <c r="A1274" t="s">
        <v>16</v>
      </c>
      <c r="B1274" s="1">
        <v>41110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</row>
    <row r="1275" spans="1:8" x14ac:dyDescent="0.3">
      <c r="A1275" t="s">
        <v>16</v>
      </c>
      <c r="B1275" s="1">
        <v>41117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</row>
    <row r="1276" spans="1:8" x14ac:dyDescent="0.3">
      <c r="A1276" t="s">
        <v>16</v>
      </c>
      <c r="B1276" s="1">
        <v>41124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</row>
    <row r="1277" spans="1:8" x14ac:dyDescent="0.3">
      <c r="A1277" t="s">
        <v>16</v>
      </c>
      <c r="B1277" s="1">
        <v>41131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</row>
    <row r="1278" spans="1:8" x14ac:dyDescent="0.3">
      <c r="A1278" t="s">
        <v>16</v>
      </c>
      <c r="B1278" s="1">
        <v>41138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</row>
    <row r="1279" spans="1:8" x14ac:dyDescent="0.3">
      <c r="A1279" t="s">
        <v>16</v>
      </c>
      <c r="B1279" s="1">
        <v>41145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</row>
    <row r="1280" spans="1:8" x14ac:dyDescent="0.3">
      <c r="A1280" t="s">
        <v>16</v>
      </c>
      <c r="B1280" s="1">
        <v>41152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</row>
    <row r="1281" spans="1:8" x14ac:dyDescent="0.3">
      <c r="A1281" t="s">
        <v>16</v>
      </c>
      <c r="B1281" s="1">
        <v>41159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</row>
    <row r="1282" spans="1:8" x14ac:dyDescent="0.3">
      <c r="A1282" t="s">
        <v>16</v>
      </c>
      <c r="B1282" s="1">
        <v>41166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</row>
    <row r="1283" spans="1:8" x14ac:dyDescent="0.3">
      <c r="A1283" t="s">
        <v>16</v>
      </c>
      <c r="B1283" s="1">
        <v>41173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</row>
    <row r="1284" spans="1:8" x14ac:dyDescent="0.3">
      <c r="A1284" t="s">
        <v>16</v>
      </c>
      <c r="B1284" s="1">
        <v>41180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</row>
    <row r="1285" spans="1:8" x14ac:dyDescent="0.3">
      <c r="A1285" t="s">
        <v>16</v>
      </c>
      <c r="B1285" s="1">
        <v>41187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</row>
    <row r="1286" spans="1:8" x14ac:dyDescent="0.3">
      <c r="A1286" t="s">
        <v>16</v>
      </c>
      <c r="B1286" s="1">
        <v>41194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</row>
    <row r="1287" spans="1:8" x14ac:dyDescent="0.3">
      <c r="A1287" t="s">
        <v>16</v>
      </c>
      <c r="B1287" s="1">
        <v>41201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</row>
    <row r="1288" spans="1:8" x14ac:dyDescent="0.3">
      <c r="A1288" t="s">
        <v>16</v>
      </c>
      <c r="B1288" s="1">
        <v>41208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</row>
    <row r="1289" spans="1:8" x14ac:dyDescent="0.3">
      <c r="A1289" t="s">
        <v>17</v>
      </c>
      <c r="B1289" s="1">
        <v>40214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</row>
    <row r="1290" spans="1:8" x14ac:dyDescent="0.3">
      <c r="A1290" t="s">
        <v>17</v>
      </c>
      <c r="B1290" s="1">
        <v>40221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</row>
    <row r="1291" spans="1:8" x14ac:dyDescent="0.3">
      <c r="A1291" t="s">
        <v>17</v>
      </c>
      <c r="B1291" s="1">
        <v>40228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</row>
    <row r="1292" spans="1:8" x14ac:dyDescent="0.3">
      <c r="A1292" t="s">
        <v>17</v>
      </c>
      <c r="B1292" s="1">
        <v>40235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</row>
    <row r="1293" spans="1:8" x14ac:dyDescent="0.3">
      <c r="A1293" t="s">
        <v>17</v>
      </c>
      <c r="B1293" s="1">
        <v>40242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</row>
    <row r="1294" spans="1:8" x14ac:dyDescent="0.3">
      <c r="A1294" t="s">
        <v>17</v>
      </c>
      <c r="B1294" s="1">
        <v>40249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</row>
    <row r="1295" spans="1:8" x14ac:dyDescent="0.3">
      <c r="A1295" t="s">
        <v>17</v>
      </c>
      <c r="B1295" s="1">
        <v>40256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</row>
    <row r="1296" spans="1:8" x14ac:dyDescent="0.3">
      <c r="A1296" t="s">
        <v>17</v>
      </c>
      <c r="B1296" s="1">
        <v>40263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</row>
    <row r="1297" spans="1:8" x14ac:dyDescent="0.3">
      <c r="A1297" t="s">
        <v>17</v>
      </c>
      <c r="B1297" s="1">
        <v>40270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</row>
    <row r="1298" spans="1:8" x14ac:dyDescent="0.3">
      <c r="A1298" t="s">
        <v>17</v>
      </c>
      <c r="B1298" s="1">
        <v>40277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</row>
    <row r="1299" spans="1:8" x14ac:dyDescent="0.3">
      <c r="A1299" t="s">
        <v>17</v>
      </c>
      <c r="B1299" s="1">
        <v>40284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</row>
    <row r="1300" spans="1:8" x14ac:dyDescent="0.3">
      <c r="A1300" t="s">
        <v>17</v>
      </c>
      <c r="B1300" s="1">
        <v>40291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</row>
    <row r="1301" spans="1:8" x14ac:dyDescent="0.3">
      <c r="A1301" t="s">
        <v>17</v>
      </c>
      <c r="B1301" s="1">
        <v>40298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</row>
    <row r="1302" spans="1:8" x14ac:dyDescent="0.3">
      <c r="A1302" t="s">
        <v>17</v>
      </c>
      <c r="B1302" s="1">
        <v>40305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</row>
    <row r="1303" spans="1:8" x14ac:dyDescent="0.3">
      <c r="A1303" t="s">
        <v>17</v>
      </c>
      <c r="B1303" s="1">
        <v>40312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</row>
    <row r="1304" spans="1:8" x14ac:dyDescent="0.3">
      <c r="A1304" t="s">
        <v>17</v>
      </c>
      <c r="B1304" s="1">
        <v>40319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</row>
    <row r="1305" spans="1:8" x14ac:dyDescent="0.3">
      <c r="A1305" t="s">
        <v>17</v>
      </c>
      <c r="B1305" s="1">
        <v>40326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</row>
    <row r="1306" spans="1:8" x14ac:dyDescent="0.3">
      <c r="A1306" t="s">
        <v>17</v>
      </c>
      <c r="B1306" s="1">
        <v>40333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</row>
    <row r="1307" spans="1:8" x14ac:dyDescent="0.3">
      <c r="A1307" t="s">
        <v>17</v>
      </c>
      <c r="B1307" s="1">
        <v>40340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</row>
    <row r="1308" spans="1:8" x14ac:dyDescent="0.3">
      <c r="A1308" t="s">
        <v>17</v>
      </c>
      <c r="B1308" s="1">
        <v>40347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</row>
    <row r="1309" spans="1:8" x14ac:dyDescent="0.3">
      <c r="A1309" t="s">
        <v>17</v>
      </c>
      <c r="B1309" s="1">
        <v>40354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</row>
    <row r="1310" spans="1:8" x14ac:dyDescent="0.3">
      <c r="A1310" t="s">
        <v>17</v>
      </c>
      <c r="B1310" s="1">
        <v>40361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</row>
    <row r="1311" spans="1:8" x14ac:dyDescent="0.3">
      <c r="A1311" t="s">
        <v>17</v>
      </c>
      <c r="B1311" s="1">
        <v>40368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</row>
    <row r="1312" spans="1:8" x14ac:dyDescent="0.3">
      <c r="A1312" t="s">
        <v>17</v>
      </c>
      <c r="B1312" s="1">
        <v>40375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</row>
    <row r="1313" spans="1:8" x14ac:dyDescent="0.3">
      <c r="A1313" t="s">
        <v>17</v>
      </c>
      <c r="B1313" s="1">
        <v>40382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</row>
    <row r="1314" spans="1:8" x14ac:dyDescent="0.3">
      <c r="A1314" t="s">
        <v>17</v>
      </c>
      <c r="B1314" s="1">
        <v>40389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</row>
    <row r="1315" spans="1:8" x14ac:dyDescent="0.3">
      <c r="A1315" t="s">
        <v>17</v>
      </c>
      <c r="B1315" s="1">
        <v>40396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</row>
    <row r="1316" spans="1:8" x14ac:dyDescent="0.3">
      <c r="A1316" t="s">
        <v>17</v>
      </c>
      <c r="B1316" s="1">
        <v>40403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</row>
    <row r="1317" spans="1:8" x14ac:dyDescent="0.3">
      <c r="A1317" t="s">
        <v>17</v>
      </c>
      <c r="B1317" s="1">
        <v>40410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</row>
    <row r="1318" spans="1:8" x14ac:dyDescent="0.3">
      <c r="A1318" t="s">
        <v>17</v>
      </c>
      <c r="B1318" s="1">
        <v>40417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</row>
    <row r="1319" spans="1:8" x14ac:dyDescent="0.3">
      <c r="A1319" t="s">
        <v>17</v>
      </c>
      <c r="B1319" s="1">
        <v>40424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</row>
    <row r="1320" spans="1:8" x14ac:dyDescent="0.3">
      <c r="A1320" t="s">
        <v>17</v>
      </c>
      <c r="B1320" s="1">
        <v>40431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</row>
    <row r="1321" spans="1:8" x14ac:dyDescent="0.3">
      <c r="A1321" t="s">
        <v>17</v>
      </c>
      <c r="B1321" s="1">
        <v>40438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</row>
    <row r="1322" spans="1:8" x14ac:dyDescent="0.3">
      <c r="A1322" t="s">
        <v>17</v>
      </c>
      <c r="B1322" s="1">
        <v>40445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</row>
    <row r="1323" spans="1:8" x14ac:dyDescent="0.3">
      <c r="A1323" t="s">
        <v>17</v>
      </c>
      <c r="B1323" s="1">
        <v>40452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</row>
    <row r="1324" spans="1:8" x14ac:dyDescent="0.3">
      <c r="A1324" t="s">
        <v>17</v>
      </c>
      <c r="B1324" s="1">
        <v>40459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</row>
    <row r="1325" spans="1:8" x14ac:dyDescent="0.3">
      <c r="A1325" t="s">
        <v>17</v>
      </c>
      <c r="B1325" s="1">
        <v>40466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</row>
    <row r="1326" spans="1:8" x14ac:dyDescent="0.3">
      <c r="A1326" t="s">
        <v>17</v>
      </c>
      <c r="B1326" s="1">
        <v>40473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</row>
    <row r="1327" spans="1:8" x14ac:dyDescent="0.3">
      <c r="A1327" t="s">
        <v>17</v>
      </c>
      <c r="B1327" s="1">
        <v>40480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</row>
    <row r="1328" spans="1:8" x14ac:dyDescent="0.3">
      <c r="A1328" t="s">
        <v>17</v>
      </c>
      <c r="B1328" s="1">
        <v>40487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</row>
    <row r="1329" spans="1:8" x14ac:dyDescent="0.3">
      <c r="A1329" t="s">
        <v>17</v>
      </c>
      <c r="B1329" s="1">
        <v>40494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</row>
    <row r="1330" spans="1:8" x14ac:dyDescent="0.3">
      <c r="A1330" t="s">
        <v>17</v>
      </c>
      <c r="B1330" s="1">
        <v>40501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</row>
    <row r="1331" spans="1:8" x14ac:dyDescent="0.3">
      <c r="A1331" t="s">
        <v>17</v>
      </c>
      <c r="B1331" s="1">
        <v>40508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</row>
    <row r="1332" spans="1:8" x14ac:dyDescent="0.3">
      <c r="A1332" t="s">
        <v>17</v>
      </c>
      <c r="B1332" s="1">
        <v>40515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</row>
    <row r="1333" spans="1:8" x14ac:dyDescent="0.3">
      <c r="A1333" t="s">
        <v>17</v>
      </c>
      <c r="B1333" s="1">
        <v>40522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</row>
    <row r="1334" spans="1:8" x14ac:dyDescent="0.3">
      <c r="A1334" t="s">
        <v>17</v>
      </c>
      <c r="B1334" s="1">
        <v>40529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</row>
    <row r="1335" spans="1:8" x14ac:dyDescent="0.3">
      <c r="A1335" t="s">
        <v>17</v>
      </c>
      <c r="B1335" s="1">
        <v>40536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</row>
    <row r="1336" spans="1:8" x14ac:dyDescent="0.3">
      <c r="A1336" t="s">
        <v>17</v>
      </c>
      <c r="B1336" s="1">
        <v>40543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</row>
    <row r="1337" spans="1:8" x14ac:dyDescent="0.3">
      <c r="A1337" t="s">
        <v>17</v>
      </c>
      <c r="B1337" s="1">
        <v>40550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</row>
    <row r="1338" spans="1:8" x14ac:dyDescent="0.3">
      <c r="A1338" t="s">
        <v>17</v>
      </c>
      <c r="B1338" s="1">
        <v>40557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</row>
    <row r="1339" spans="1:8" x14ac:dyDescent="0.3">
      <c r="A1339" t="s">
        <v>17</v>
      </c>
      <c r="B1339" s="1">
        <v>40564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</row>
    <row r="1340" spans="1:8" x14ac:dyDescent="0.3">
      <c r="A1340" t="s">
        <v>17</v>
      </c>
      <c r="B1340" s="1">
        <v>40571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</row>
    <row r="1341" spans="1:8" x14ac:dyDescent="0.3">
      <c r="A1341" t="s">
        <v>17</v>
      </c>
      <c r="B1341" s="1">
        <v>40578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</row>
    <row r="1342" spans="1:8" x14ac:dyDescent="0.3">
      <c r="A1342" t="s">
        <v>17</v>
      </c>
      <c r="B1342" s="1">
        <v>40585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</row>
    <row r="1343" spans="1:8" x14ac:dyDescent="0.3">
      <c r="A1343" t="s">
        <v>17</v>
      </c>
      <c r="B1343" s="1">
        <v>40592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</row>
    <row r="1344" spans="1:8" x14ac:dyDescent="0.3">
      <c r="A1344" t="s">
        <v>17</v>
      </c>
      <c r="B1344" s="1">
        <v>40599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</row>
    <row r="1345" spans="1:8" x14ac:dyDescent="0.3">
      <c r="A1345" t="s">
        <v>17</v>
      </c>
      <c r="B1345" s="1">
        <v>40606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</row>
    <row r="1346" spans="1:8" x14ac:dyDescent="0.3">
      <c r="A1346" t="s">
        <v>17</v>
      </c>
      <c r="B1346" s="1">
        <v>40613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</row>
    <row r="1347" spans="1:8" x14ac:dyDescent="0.3">
      <c r="A1347" t="s">
        <v>17</v>
      </c>
      <c r="B1347" s="1">
        <v>40620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</row>
    <row r="1348" spans="1:8" x14ac:dyDescent="0.3">
      <c r="A1348" t="s">
        <v>17</v>
      </c>
      <c r="B1348" s="1">
        <v>40627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</row>
    <row r="1349" spans="1:8" x14ac:dyDescent="0.3">
      <c r="A1349" t="s">
        <v>17</v>
      </c>
      <c r="B1349" s="1">
        <v>40634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</row>
    <row r="1350" spans="1:8" x14ac:dyDescent="0.3">
      <c r="A1350" t="s">
        <v>17</v>
      </c>
      <c r="B1350" s="1">
        <v>40641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</row>
    <row r="1351" spans="1:8" x14ac:dyDescent="0.3">
      <c r="A1351" t="s">
        <v>17</v>
      </c>
      <c r="B1351" s="1">
        <v>40648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</row>
    <row r="1352" spans="1:8" x14ac:dyDescent="0.3">
      <c r="A1352" t="s">
        <v>17</v>
      </c>
      <c r="B1352" s="1">
        <v>40655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</row>
    <row r="1353" spans="1:8" x14ac:dyDescent="0.3">
      <c r="A1353" t="s">
        <v>17</v>
      </c>
      <c r="B1353" s="1">
        <v>40662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</row>
    <row r="1354" spans="1:8" x14ac:dyDescent="0.3">
      <c r="A1354" t="s">
        <v>17</v>
      </c>
      <c r="B1354" s="1">
        <v>40669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</row>
    <row r="1355" spans="1:8" x14ac:dyDescent="0.3">
      <c r="A1355" t="s">
        <v>17</v>
      </c>
      <c r="B1355" s="1">
        <v>40676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</row>
    <row r="1356" spans="1:8" x14ac:dyDescent="0.3">
      <c r="A1356" t="s">
        <v>17</v>
      </c>
      <c r="B1356" s="1">
        <v>40683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</row>
    <row r="1357" spans="1:8" x14ac:dyDescent="0.3">
      <c r="A1357" t="s">
        <v>17</v>
      </c>
      <c r="B1357" s="1">
        <v>40690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</row>
    <row r="1358" spans="1:8" x14ac:dyDescent="0.3">
      <c r="A1358" t="s">
        <v>17</v>
      </c>
      <c r="B1358" s="1">
        <v>40697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</row>
    <row r="1359" spans="1:8" x14ac:dyDescent="0.3">
      <c r="A1359" t="s">
        <v>17</v>
      </c>
      <c r="B1359" s="1">
        <v>40704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</row>
    <row r="1360" spans="1:8" x14ac:dyDescent="0.3">
      <c r="A1360" t="s">
        <v>17</v>
      </c>
      <c r="B1360" s="1">
        <v>40711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</row>
    <row r="1361" spans="1:8" x14ac:dyDescent="0.3">
      <c r="A1361" t="s">
        <v>17</v>
      </c>
      <c r="B1361" s="1">
        <v>40718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</row>
    <row r="1362" spans="1:8" x14ac:dyDescent="0.3">
      <c r="A1362" t="s">
        <v>17</v>
      </c>
      <c r="B1362" s="1">
        <v>40725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</row>
    <row r="1363" spans="1:8" x14ac:dyDescent="0.3">
      <c r="A1363" t="s">
        <v>17</v>
      </c>
      <c r="B1363" s="1">
        <v>40732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</row>
    <row r="1364" spans="1:8" x14ac:dyDescent="0.3">
      <c r="A1364" t="s">
        <v>17</v>
      </c>
      <c r="B1364" s="1">
        <v>40739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</row>
    <row r="1365" spans="1:8" x14ac:dyDescent="0.3">
      <c r="A1365" t="s">
        <v>17</v>
      </c>
      <c r="B1365" s="1">
        <v>40746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</row>
    <row r="1366" spans="1:8" x14ac:dyDescent="0.3">
      <c r="A1366" t="s">
        <v>17</v>
      </c>
      <c r="B1366" s="1">
        <v>40753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</row>
    <row r="1367" spans="1:8" x14ac:dyDescent="0.3">
      <c r="A1367" t="s">
        <v>17</v>
      </c>
      <c r="B1367" s="1">
        <v>40760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</row>
    <row r="1368" spans="1:8" x14ac:dyDescent="0.3">
      <c r="A1368" t="s">
        <v>17</v>
      </c>
      <c r="B1368" s="1">
        <v>40767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</row>
    <row r="1369" spans="1:8" x14ac:dyDescent="0.3">
      <c r="A1369" t="s">
        <v>17</v>
      </c>
      <c r="B1369" s="1">
        <v>40774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</row>
    <row r="1370" spans="1:8" x14ac:dyDescent="0.3">
      <c r="A1370" t="s">
        <v>17</v>
      </c>
      <c r="B1370" s="1">
        <v>40781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</row>
    <row r="1371" spans="1:8" x14ac:dyDescent="0.3">
      <c r="A1371" t="s">
        <v>17</v>
      </c>
      <c r="B1371" s="1">
        <v>40788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</row>
    <row r="1372" spans="1:8" x14ac:dyDescent="0.3">
      <c r="A1372" t="s">
        <v>17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</row>
    <row r="1373" spans="1:8" x14ac:dyDescent="0.3">
      <c r="A1373" t="s">
        <v>17</v>
      </c>
      <c r="B1373" s="1">
        <v>40802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</row>
    <row r="1374" spans="1:8" x14ac:dyDescent="0.3">
      <c r="A1374" t="s">
        <v>17</v>
      </c>
      <c r="B1374" s="1">
        <v>40809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</row>
    <row r="1375" spans="1:8" x14ac:dyDescent="0.3">
      <c r="A1375" t="s">
        <v>17</v>
      </c>
      <c r="B1375" s="1">
        <v>40816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</row>
    <row r="1376" spans="1:8" x14ac:dyDescent="0.3">
      <c r="A1376" t="s">
        <v>17</v>
      </c>
      <c r="B1376" s="1">
        <v>40823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</row>
    <row r="1377" spans="1:8" x14ac:dyDescent="0.3">
      <c r="A1377" t="s">
        <v>17</v>
      </c>
      <c r="B1377" s="1">
        <v>40830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</row>
    <row r="1378" spans="1:8" x14ac:dyDescent="0.3">
      <c r="A1378" t="s">
        <v>17</v>
      </c>
      <c r="B1378" s="1">
        <v>40837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</row>
    <row r="1379" spans="1:8" x14ac:dyDescent="0.3">
      <c r="A1379" t="s">
        <v>17</v>
      </c>
      <c r="B1379" s="1">
        <v>40844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</row>
    <row r="1380" spans="1:8" x14ac:dyDescent="0.3">
      <c r="A1380" t="s">
        <v>17</v>
      </c>
      <c r="B1380" s="1">
        <v>40851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</row>
    <row r="1381" spans="1:8" x14ac:dyDescent="0.3">
      <c r="A1381" t="s">
        <v>17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</row>
    <row r="1382" spans="1:8" x14ac:dyDescent="0.3">
      <c r="A1382" t="s">
        <v>17</v>
      </c>
      <c r="B1382" s="1">
        <v>40865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</row>
    <row r="1383" spans="1:8" x14ac:dyDescent="0.3">
      <c r="A1383" t="s">
        <v>17</v>
      </c>
      <c r="B1383" s="1">
        <v>40872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</row>
    <row r="1384" spans="1:8" x14ac:dyDescent="0.3">
      <c r="A1384" t="s">
        <v>17</v>
      </c>
      <c r="B1384" s="1">
        <v>40879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</row>
    <row r="1385" spans="1:8" x14ac:dyDescent="0.3">
      <c r="A1385" t="s">
        <v>17</v>
      </c>
      <c r="B1385" s="1">
        <v>40886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</row>
    <row r="1386" spans="1:8" x14ac:dyDescent="0.3">
      <c r="A1386" t="s">
        <v>17</v>
      </c>
      <c r="B1386" s="1">
        <v>40893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</row>
    <row r="1387" spans="1:8" x14ac:dyDescent="0.3">
      <c r="A1387" t="s">
        <v>17</v>
      </c>
      <c r="B1387" s="1">
        <v>40900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</row>
    <row r="1388" spans="1:8" x14ac:dyDescent="0.3">
      <c r="A1388" t="s">
        <v>17</v>
      </c>
      <c r="B1388" s="1">
        <v>40907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</row>
    <row r="1389" spans="1:8" x14ac:dyDescent="0.3">
      <c r="A1389" t="s">
        <v>17</v>
      </c>
      <c r="B1389" s="1">
        <v>40914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</row>
    <row r="1390" spans="1:8" x14ac:dyDescent="0.3">
      <c r="A1390" t="s">
        <v>17</v>
      </c>
      <c r="B1390" s="1">
        <v>40921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</row>
    <row r="1391" spans="1:8" x14ac:dyDescent="0.3">
      <c r="A1391" t="s">
        <v>17</v>
      </c>
      <c r="B1391" s="1">
        <v>40928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</row>
    <row r="1392" spans="1:8" x14ac:dyDescent="0.3">
      <c r="A1392" t="s">
        <v>17</v>
      </c>
      <c r="B1392" s="1">
        <v>40935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</row>
    <row r="1393" spans="1:8" x14ac:dyDescent="0.3">
      <c r="A1393" t="s">
        <v>17</v>
      </c>
      <c r="B1393" s="1">
        <v>40942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</row>
    <row r="1394" spans="1:8" x14ac:dyDescent="0.3">
      <c r="A1394" t="s">
        <v>17</v>
      </c>
      <c r="B1394" s="1">
        <v>40949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</row>
    <row r="1395" spans="1:8" x14ac:dyDescent="0.3">
      <c r="A1395" t="s">
        <v>17</v>
      </c>
      <c r="B1395" s="1">
        <v>40956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</row>
    <row r="1396" spans="1:8" x14ac:dyDescent="0.3">
      <c r="A1396" t="s">
        <v>17</v>
      </c>
      <c r="B1396" s="1">
        <v>40963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</row>
    <row r="1397" spans="1:8" x14ac:dyDescent="0.3">
      <c r="A1397" t="s">
        <v>17</v>
      </c>
      <c r="B1397" s="1">
        <v>40970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</row>
    <row r="1398" spans="1:8" x14ac:dyDescent="0.3">
      <c r="A1398" t="s">
        <v>17</v>
      </c>
      <c r="B1398" s="1">
        <v>40977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</row>
    <row r="1399" spans="1:8" x14ac:dyDescent="0.3">
      <c r="A1399" t="s">
        <v>17</v>
      </c>
      <c r="B1399" s="1">
        <v>40984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</row>
    <row r="1400" spans="1:8" x14ac:dyDescent="0.3">
      <c r="A1400" t="s">
        <v>17</v>
      </c>
      <c r="B1400" s="1">
        <v>40991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</row>
    <row r="1401" spans="1:8" x14ac:dyDescent="0.3">
      <c r="A1401" t="s">
        <v>17</v>
      </c>
      <c r="B1401" s="1">
        <v>40998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</row>
    <row r="1402" spans="1:8" x14ac:dyDescent="0.3">
      <c r="A1402" t="s">
        <v>17</v>
      </c>
      <c r="B1402" s="1">
        <v>41005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</row>
    <row r="1403" spans="1:8" x14ac:dyDescent="0.3">
      <c r="A1403" t="s">
        <v>17</v>
      </c>
      <c r="B1403" s="1">
        <v>41012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</row>
    <row r="1404" spans="1:8" x14ac:dyDescent="0.3">
      <c r="A1404" t="s">
        <v>17</v>
      </c>
      <c r="B1404" s="1">
        <v>41019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</row>
    <row r="1405" spans="1:8" x14ac:dyDescent="0.3">
      <c r="A1405" t="s">
        <v>17</v>
      </c>
      <c r="B1405" s="1">
        <v>41026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</row>
    <row r="1406" spans="1:8" x14ac:dyDescent="0.3">
      <c r="A1406" t="s">
        <v>17</v>
      </c>
      <c r="B1406" s="1">
        <v>41033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</row>
    <row r="1407" spans="1:8" x14ac:dyDescent="0.3">
      <c r="A1407" t="s">
        <v>17</v>
      </c>
      <c r="B1407" s="1">
        <v>41040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</row>
    <row r="1408" spans="1:8" x14ac:dyDescent="0.3">
      <c r="A1408" t="s">
        <v>17</v>
      </c>
      <c r="B1408" s="1">
        <v>41047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</row>
    <row r="1409" spans="1:8" x14ac:dyDescent="0.3">
      <c r="A1409" t="s">
        <v>17</v>
      </c>
      <c r="B1409" s="1">
        <v>41054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</row>
    <row r="1410" spans="1:8" x14ac:dyDescent="0.3">
      <c r="A1410" t="s">
        <v>17</v>
      </c>
      <c r="B1410" s="1">
        <v>41061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</row>
    <row r="1411" spans="1:8" x14ac:dyDescent="0.3">
      <c r="A1411" t="s">
        <v>17</v>
      </c>
      <c r="B1411" s="1">
        <v>41068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</row>
    <row r="1412" spans="1:8" x14ac:dyDescent="0.3">
      <c r="A1412" t="s">
        <v>17</v>
      </c>
      <c r="B1412" s="1">
        <v>41075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</row>
    <row r="1413" spans="1:8" x14ac:dyDescent="0.3">
      <c r="A1413" t="s">
        <v>17</v>
      </c>
      <c r="B1413" s="1">
        <v>41082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</row>
    <row r="1414" spans="1:8" x14ac:dyDescent="0.3">
      <c r="A1414" t="s">
        <v>17</v>
      </c>
      <c r="B1414" s="1">
        <v>41089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</row>
    <row r="1415" spans="1:8" x14ac:dyDescent="0.3">
      <c r="A1415" t="s">
        <v>17</v>
      </c>
      <c r="B1415" s="1">
        <v>41096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</row>
    <row r="1416" spans="1:8" x14ac:dyDescent="0.3">
      <c r="A1416" t="s">
        <v>17</v>
      </c>
      <c r="B1416" s="1">
        <v>41103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</row>
    <row r="1417" spans="1:8" x14ac:dyDescent="0.3">
      <c r="A1417" t="s">
        <v>17</v>
      </c>
      <c r="B1417" s="1">
        <v>41110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</row>
    <row r="1418" spans="1:8" x14ac:dyDescent="0.3">
      <c r="A1418" t="s">
        <v>17</v>
      </c>
      <c r="B1418" s="1">
        <v>41117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</row>
    <row r="1419" spans="1:8" x14ac:dyDescent="0.3">
      <c r="A1419" t="s">
        <v>17</v>
      </c>
      <c r="B1419" s="1">
        <v>41124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</row>
    <row r="1420" spans="1:8" x14ac:dyDescent="0.3">
      <c r="A1420" t="s">
        <v>17</v>
      </c>
      <c r="B1420" s="1">
        <v>41131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</row>
    <row r="1421" spans="1:8" x14ac:dyDescent="0.3">
      <c r="A1421" t="s">
        <v>17</v>
      </c>
      <c r="B1421" s="1">
        <v>41138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</row>
    <row r="1422" spans="1:8" x14ac:dyDescent="0.3">
      <c r="A1422" t="s">
        <v>17</v>
      </c>
      <c r="B1422" s="1">
        <v>41145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</row>
    <row r="1423" spans="1:8" x14ac:dyDescent="0.3">
      <c r="A1423" t="s">
        <v>17</v>
      </c>
      <c r="B1423" s="1">
        <v>41152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</row>
    <row r="1424" spans="1:8" x14ac:dyDescent="0.3">
      <c r="A1424" t="s">
        <v>17</v>
      </c>
      <c r="B1424" s="1">
        <v>41159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</row>
    <row r="1425" spans="1:8" x14ac:dyDescent="0.3">
      <c r="A1425" t="s">
        <v>17</v>
      </c>
      <c r="B1425" s="1">
        <v>41166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</row>
    <row r="1426" spans="1:8" x14ac:dyDescent="0.3">
      <c r="A1426" t="s">
        <v>17</v>
      </c>
      <c r="B1426" s="1">
        <v>41173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</row>
    <row r="1427" spans="1:8" x14ac:dyDescent="0.3">
      <c r="A1427" t="s">
        <v>17</v>
      </c>
      <c r="B1427" s="1">
        <v>41180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</row>
    <row r="1428" spans="1:8" x14ac:dyDescent="0.3">
      <c r="A1428" t="s">
        <v>17</v>
      </c>
      <c r="B1428" s="1">
        <v>41187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</row>
    <row r="1429" spans="1:8" x14ac:dyDescent="0.3">
      <c r="A1429" t="s">
        <v>17</v>
      </c>
      <c r="B1429" s="1">
        <v>41194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</row>
    <row r="1430" spans="1:8" x14ac:dyDescent="0.3">
      <c r="A1430" t="s">
        <v>17</v>
      </c>
      <c r="B1430" s="1">
        <v>41201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</row>
    <row r="1431" spans="1:8" x14ac:dyDescent="0.3">
      <c r="A1431" t="s">
        <v>17</v>
      </c>
      <c r="B1431" s="1">
        <v>41208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</row>
    <row r="1432" spans="1:8" x14ac:dyDescent="0.3">
      <c r="A1432" t="s">
        <v>18</v>
      </c>
      <c r="B1432" s="1">
        <v>40214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</row>
    <row r="1433" spans="1:8" x14ac:dyDescent="0.3">
      <c r="A1433" t="s">
        <v>18</v>
      </c>
      <c r="B1433" s="1">
        <v>40221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</row>
    <row r="1434" spans="1:8" x14ac:dyDescent="0.3">
      <c r="A1434" t="s">
        <v>18</v>
      </c>
      <c r="B1434" s="1">
        <v>40228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</row>
    <row r="1435" spans="1:8" x14ac:dyDescent="0.3">
      <c r="A1435" t="s">
        <v>18</v>
      </c>
      <c r="B1435" s="1">
        <v>40235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</row>
    <row r="1436" spans="1:8" x14ac:dyDescent="0.3">
      <c r="A1436" t="s">
        <v>18</v>
      </c>
      <c r="B1436" s="1">
        <v>40242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</row>
    <row r="1437" spans="1:8" x14ac:dyDescent="0.3">
      <c r="A1437" t="s">
        <v>18</v>
      </c>
      <c r="B1437" s="1">
        <v>40249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</row>
    <row r="1438" spans="1:8" x14ac:dyDescent="0.3">
      <c r="A1438" t="s">
        <v>18</v>
      </c>
      <c r="B1438" s="1">
        <v>40256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</row>
    <row r="1439" spans="1:8" x14ac:dyDescent="0.3">
      <c r="A1439" t="s">
        <v>18</v>
      </c>
      <c r="B1439" s="1">
        <v>40263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</row>
    <row r="1440" spans="1:8" x14ac:dyDescent="0.3">
      <c r="A1440" t="s">
        <v>18</v>
      </c>
      <c r="B1440" s="1">
        <v>40270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</row>
    <row r="1441" spans="1:8" x14ac:dyDescent="0.3">
      <c r="A1441" t="s">
        <v>18</v>
      </c>
      <c r="B1441" s="1">
        <v>40277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</row>
    <row r="1442" spans="1:8" x14ac:dyDescent="0.3">
      <c r="A1442" t="s">
        <v>18</v>
      </c>
      <c r="B1442" s="1">
        <v>40284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</row>
    <row r="1443" spans="1:8" x14ac:dyDescent="0.3">
      <c r="A1443" t="s">
        <v>18</v>
      </c>
      <c r="B1443" s="1">
        <v>40291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</row>
    <row r="1444" spans="1:8" x14ac:dyDescent="0.3">
      <c r="A1444" t="s">
        <v>18</v>
      </c>
      <c r="B1444" s="1">
        <v>40298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</row>
    <row r="1445" spans="1:8" x14ac:dyDescent="0.3">
      <c r="A1445" t="s">
        <v>18</v>
      </c>
      <c r="B1445" s="1">
        <v>40305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</row>
    <row r="1446" spans="1:8" x14ac:dyDescent="0.3">
      <c r="A1446" t="s">
        <v>18</v>
      </c>
      <c r="B1446" s="1">
        <v>40312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</row>
    <row r="1447" spans="1:8" x14ac:dyDescent="0.3">
      <c r="A1447" t="s">
        <v>18</v>
      </c>
      <c r="B1447" s="1">
        <v>40319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</row>
    <row r="1448" spans="1:8" x14ac:dyDescent="0.3">
      <c r="A1448" t="s">
        <v>18</v>
      </c>
      <c r="B1448" s="1">
        <v>40326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</row>
    <row r="1449" spans="1:8" x14ac:dyDescent="0.3">
      <c r="A1449" t="s">
        <v>18</v>
      </c>
      <c r="B1449" s="1">
        <v>40333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</row>
    <row r="1450" spans="1:8" x14ac:dyDescent="0.3">
      <c r="A1450" t="s">
        <v>18</v>
      </c>
      <c r="B1450" s="1">
        <v>40340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</row>
    <row r="1451" spans="1:8" x14ac:dyDescent="0.3">
      <c r="A1451" t="s">
        <v>18</v>
      </c>
      <c r="B1451" s="1">
        <v>40347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</row>
    <row r="1452" spans="1:8" x14ac:dyDescent="0.3">
      <c r="A1452" t="s">
        <v>18</v>
      </c>
      <c r="B1452" s="1">
        <v>40354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 x14ac:dyDescent="0.3">
      <c r="A1453" t="s">
        <v>18</v>
      </c>
      <c r="B1453" s="1">
        <v>40361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</row>
    <row r="1454" spans="1:8" x14ac:dyDescent="0.3">
      <c r="A1454" t="s">
        <v>18</v>
      </c>
      <c r="B1454" s="1">
        <v>40368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</row>
    <row r="1455" spans="1:8" x14ac:dyDescent="0.3">
      <c r="A1455" t="s">
        <v>18</v>
      </c>
      <c r="B1455" s="1">
        <v>40375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</row>
    <row r="1456" spans="1:8" x14ac:dyDescent="0.3">
      <c r="A1456" t="s">
        <v>18</v>
      </c>
      <c r="B1456" s="1">
        <v>40382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</row>
    <row r="1457" spans="1:8" x14ac:dyDescent="0.3">
      <c r="A1457" t="s">
        <v>18</v>
      </c>
      <c r="B1457" s="1">
        <v>40389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</row>
    <row r="1458" spans="1:8" x14ac:dyDescent="0.3">
      <c r="A1458" t="s">
        <v>18</v>
      </c>
      <c r="B1458" s="1">
        <v>40396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</row>
    <row r="1459" spans="1:8" x14ac:dyDescent="0.3">
      <c r="A1459" t="s">
        <v>18</v>
      </c>
      <c r="B1459" s="1">
        <v>40403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</row>
    <row r="1460" spans="1:8" x14ac:dyDescent="0.3">
      <c r="A1460" t="s">
        <v>18</v>
      </c>
      <c r="B1460" s="1">
        <v>40410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</row>
    <row r="1461" spans="1:8" x14ac:dyDescent="0.3">
      <c r="A1461" t="s">
        <v>18</v>
      </c>
      <c r="B1461" s="1">
        <v>40417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</row>
    <row r="1462" spans="1:8" x14ac:dyDescent="0.3">
      <c r="A1462" t="s">
        <v>18</v>
      </c>
      <c r="B1462" s="1">
        <v>40424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</row>
    <row r="1463" spans="1:8" x14ac:dyDescent="0.3">
      <c r="A1463" t="s">
        <v>18</v>
      </c>
      <c r="B1463" s="1">
        <v>40431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</row>
    <row r="1464" spans="1:8" x14ac:dyDescent="0.3">
      <c r="A1464" t="s">
        <v>18</v>
      </c>
      <c r="B1464" s="1">
        <v>40438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</row>
    <row r="1465" spans="1:8" x14ac:dyDescent="0.3">
      <c r="A1465" t="s">
        <v>18</v>
      </c>
      <c r="B1465" s="1">
        <v>40445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</row>
    <row r="1466" spans="1:8" x14ac:dyDescent="0.3">
      <c r="A1466" t="s">
        <v>18</v>
      </c>
      <c r="B1466" s="1">
        <v>40452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</row>
    <row r="1467" spans="1:8" x14ac:dyDescent="0.3">
      <c r="A1467" t="s">
        <v>18</v>
      </c>
      <c r="B1467" s="1">
        <v>40459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</row>
    <row r="1468" spans="1:8" x14ac:dyDescent="0.3">
      <c r="A1468" t="s">
        <v>18</v>
      </c>
      <c r="B1468" s="1">
        <v>40466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</row>
    <row r="1469" spans="1:8" x14ac:dyDescent="0.3">
      <c r="A1469" t="s">
        <v>18</v>
      </c>
      <c r="B1469" s="1">
        <v>40473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</row>
    <row r="1470" spans="1:8" x14ac:dyDescent="0.3">
      <c r="A1470" t="s">
        <v>18</v>
      </c>
      <c r="B1470" s="1">
        <v>40480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</row>
    <row r="1471" spans="1:8" x14ac:dyDescent="0.3">
      <c r="A1471" t="s">
        <v>18</v>
      </c>
      <c r="B1471" s="1">
        <v>40487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</row>
    <row r="1472" spans="1:8" x14ac:dyDescent="0.3">
      <c r="A1472" t="s">
        <v>18</v>
      </c>
      <c r="B1472" s="1">
        <v>40494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</row>
    <row r="1473" spans="1:8" x14ac:dyDescent="0.3">
      <c r="A1473" t="s">
        <v>18</v>
      </c>
      <c r="B1473" s="1">
        <v>40501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</row>
    <row r="1474" spans="1:8" x14ac:dyDescent="0.3">
      <c r="A1474" t="s">
        <v>18</v>
      </c>
      <c r="B1474" s="1">
        <v>40508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</row>
    <row r="1475" spans="1:8" x14ac:dyDescent="0.3">
      <c r="A1475" t="s">
        <v>18</v>
      </c>
      <c r="B1475" s="1">
        <v>40515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</row>
    <row r="1476" spans="1:8" x14ac:dyDescent="0.3">
      <c r="A1476" t="s">
        <v>18</v>
      </c>
      <c r="B1476" s="1">
        <v>40522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</row>
    <row r="1477" spans="1:8" x14ac:dyDescent="0.3">
      <c r="A1477" t="s">
        <v>18</v>
      </c>
      <c r="B1477" s="1">
        <v>40529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</row>
    <row r="1478" spans="1:8" x14ac:dyDescent="0.3">
      <c r="A1478" t="s">
        <v>18</v>
      </c>
      <c r="B1478" s="1">
        <v>40536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</row>
    <row r="1479" spans="1:8" x14ac:dyDescent="0.3">
      <c r="A1479" t="s">
        <v>18</v>
      </c>
      <c r="B1479" s="1">
        <v>40543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</row>
    <row r="1480" spans="1:8" x14ac:dyDescent="0.3">
      <c r="A1480" t="s">
        <v>18</v>
      </c>
      <c r="B1480" s="1">
        <v>40550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</row>
    <row r="1481" spans="1:8" x14ac:dyDescent="0.3">
      <c r="A1481" t="s">
        <v>18</v>
      </c>
      <c r="B1481" s="1">
        <v>40557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</row>
    <row r="1482" spans="1:8" x14ac:dyDescent="0.3">
      <c r="A1482" t="s">
        <v>18</v>
      </c>
      <c r="B1482" s="1">
        <v>40564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</row>
    <row r="1483" spans="1:8" x14ac:dyDescent="0.3">
      <c r="A1483" t="s">
        <v>18</v>
      </c>
      <c r="B1483" s="1">
        <v>40571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</row>
    <row r="1484" spans="1:8" x14ac:dyDescent="0.3">
      <c r="A1484" t="s">
        <v>18</v>
      </c>
      <c r="B1484" s="1">
        <v>40578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</row>
    <row r="1485" spans="1:8" x14ac:dyDescent="0.3">
      <c r="A1485" t="s">
        <v>18</v>
      </c>
      <c r="B1485" s="1">
        <v>40585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</row>
    <row r="1486" spans="1:8" x14ac:dyDescent="0.3">
      <c r="A1486" t="s">
        <v>18</v>
      </c>
      <c r="B1486" s="1">
        <v>40592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</row>
    <row r="1487" spans="1:8" x14ac:dyDescent="0.3">
      <c r="A1487" t="s">
        <v>18</v>
      </c>
      <c r="B1487" s="1">
        <v>40599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</row>
    <row r="1488" spans="1:8" x14ac:dyDescent="0.3">
      <c r="A1488" t="s">
        <v>18</v>
      </c>
      <c r="B1488" s="1">
        <v>40606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</row>
    <row r="1489" spans="1:8" x14ac:dyDescent="0.3">
      <c r="A1489" t="s">
        <v>18</v>
      </c>
      <c r="B1489" s="1">
        <v>40613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</row>
    <row r="1490" spans="1:8" x14ac:dyDescent="0.3">
      <c r="A1490" t="s">
        <v>18</v>
      </c>
      <c r="B1490" s="1">
        <v>40620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</row>
    <row r="1491" spans="1:8" x14ac:dyDescent="0.3">
      <c r="A1491" t="s">
        <v>18</v>
      </c>
      <c r="B1491" s="1">
        <v>40627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</row>
    <row r="1492" spans="1:8" x14ac:dyDescent="0.3">
      <c r="A1492" t="s">
        <v>18</v>
      </c>
      <c r="B1492" s="1">
        <v>40634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</row>
    <row r="1493" spans="1:8" x14ac:dyDescent="0.3">
      <c r="A1493" t="s">
        <v>18</v>
      </c>
      <c r="B1493" s="1">
        <v>40641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</row>
    <row r="1494" spans="1:8" x14ac:dyDescent="0.3">
      <c r="A1494" t="s">
        <v>18</v>
      </c>
      <c r="B1494" s="1">
        <v>40648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</row>
    <row r="1495" spans="1:8" x14ac:dyDescent="0.3">
      <c r="A1495" t="s">
        <v>18</v>
      </c>
      <c r="B1495" s="1">
        <v>40655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</row>
    <row r="1496" spans="1:8" x14ac:dyDescent="0.3">
      <c r="A1496" t="s">
        <v>18</v>
      </c>
      <c r="B1496" s="1">
        <v>40662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</row>
    <row r="1497" spans="1:8" x14ac:dyDescent="0.3">
      <c r="A1497" t="s">
        <v>18</v>
      </c>
      <c r="B1497" s="1">
        <v>40669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</row>
    <row r="1498" spans="1:8" x14ac:dyDescent="0.3">
      <c r="A1498" t="s">
        <v>18</v>
      </c>
      <c r="B1498" s="1">
        <v>40676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</row>
    <row r="1499" spans="1:8" x14ac:dyDescent="0.3">
      <c r="A1499" t="s">
        <v>18</v>
      </c>
      <c r="B1499" s="1">
        <v>40683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</row>
    <row r="1500" spans="1:8" x14ac:dyDescent="0.3">
      <c r="A1500" t="s">
        <v>18</v>
      </c>
      <c r="B1500" s="1">
        <v>40690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</row>
    <row r="1501" spans="1:8" x14ac:dyDescent="0.3">
      <c r="A1501" t="s">
        <v>18</v>
      </c>
      <c r="B1501" s="1">
        <v>40697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</row>
    <row r="1502" spans="1:8" x14ac:dyDescent="0.3">
      <c r="A1502" t="s">
        <v>18</v>
      </c>
      <c r="B1502" s="1">
        <v>40704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</row>
    <row r="1503" spans="1:8" x14ac:dyDescent="0.3">
      <c r="A1503" t="s">
        <v>18</v>
      </c>
      <c r="B1503" s="1">
        <v>40711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</row>
    <row r="1504" spans="1:8" x14ac:dyDescent="0.3">
      <c r="A1504" t="s">
        <v>18</v>
      </c>
      <c r="B1504" s="1">
        <v>40718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</row>
    <row r="1505" spans="1:8" x14ac:dyDescent="0.3">
      <c r="A1505" t="s">
        <v>18</v>
      </c>
      <c r="B1505" s="1">
        <v>40725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</row>
    <row r="1506" spans="1:8" x14ac:dyDescent="0.3">
      <c r="A1506" t="s">
        <v>18</v>
      </c>
      <c r="B1506" s="1">
        <v>40732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</row>
    <row r="1507" spans="1:8" x14ac:dyDescent="0.3">
      <c r="A1507" t="s">
        <v>18</v>
      </c>
      <c r="B1507" s="1">
        <v>40739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</row>
    <row r="1508" spans="1:8" x14ac:dyDescent="0.3">
      <c r="A1508" t="s">
        <v>18</v>
      </c>
      <c r="B1508" s="1">
        <v>40746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</row>
    <row r="1509" spans="1:8" x14ac:dyDescent="0.3">
      <c r="A1509" t="s">
        <v>18</v>
      </c>
      <c r="B1509" s="1">
        <v>40753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</row>
    <row r="1510" spans="1:8" x14ac:dyDescent="0.3">
      <c r="A1510" t="s">
        <v>18</v>
      </c>
      <c r="B1510" s="1">
        <v>40760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</row>
    <row r="1511" spans="1:8" x14ac:dyDescent="0.3">
      <c r="A1511" t="s">
        <v>18</v>
      </c>
      <c r="B1511" s="1">
        <v>40767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</row>
    <row r="1512" spans="1:8" x14ac:dyDescent="0.3">
      <c r="A1512" t="s">
        <v>18</v>
      </c>
      <c r="B1512" s="1">
        <v>40774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</row>
    <row r="1513" spans="1:8" x14ac:dyDescent="0.3">
      <c r="A1513" t="s">
        <v>18</v>
      </c>
      <c r="B1513" s="1">
        <v>40781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</row>
    <row r="1514" spans="1:8" x14ac:dyDescent="0.3">
      <c r="A1514" t="s">
        <v>18</v>
      </c>
      <c r="B1514" s="1">
        <v>40788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</row>
    <row r="1515" spans="1:8" x14ac:dyDescent="0.3">
      <c r="A1515" t="s">
        <v>18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</row>
    <row r="1516" spans="1:8" x14ac:dyDescent="0.3">
      <c r="A1516" t="s">
        <v>18</v>
      </c>
      <c r="B1516" s="1">
        <v>40802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</row>
    <row r="1517" spans="1:8" x14ac:dyDescent="0.3">
      <c r="A1517" t="s">
        <v>18</v>
      </c>
      <c r="B1517" s="1">
        <v>40809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</row>
    <row r="1518" spans="1:8" x14ac:dyDescent="0.3">
      <c r="A1518" t="s">
        <v>18</v>
      </c>
      <c r="B1518" s="1">
        <v>40816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</row>
    <row r="1519" spans="1:8" x14ac:dyDescent="0.3">
      <c r="A1519" t="s">
        <v>18</v>
      </c>
      <c r="B1519" s="1">
        <v>40823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</row>
    <row r="1520" spans="1:8" x14ac:dyDescent="0.3">
      <c r="A1520" t="s">
        <v>18</v>
      </c>
      <c r="B1520" s="1">
        <v>40830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</row>
    <row r="1521" spans="1:8" x14ac:dyDescent="0.3">
      <c r="A1521" t="s">
        <v>18</v>
      </c>
      <c r="B1521" s="1">
        <v>40837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</row>
    <row r="1522" spans="1:8" x14ac:dyDescent="0.3">
      <c r="A1522" t="s">
        <v>18</v>
      </c>
      <c r="B1522" s="1">
        <v>40844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</row>
    <row r="1523" spans="1:8" x14ac:dyDescent="0.3">
      <c r="A1523" t="s">
        <v>18</v>
      </c>
      <c r="B1523" s="1">
        <v>40851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</row>
    <row r="1524" spans="1:8" x14ac:dyDescent="0.3">
      <c r="A1524" t="s">
        <v>18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</row>
    <row r="1525" spans="1:8" x14ac:dyDescent="0.3">
      <c r="A1525" t="s">
        <v>18</v>
      </c>
      <c r="B1525" s="1">
        <v>40865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</row>
    <row r="1526" spans="1:8" x14ac:dyDescent="0.3">
      <c r="A1526" t="s">
        <v>18</v>
      </c>
      <c r="B1526" s="1">
        <v>40872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</row>
    <row r="1527" spans="1:8" x14ac:dyDescent="0.3">
      <c r="A1527" t="s">
        <v>18</v>
      </c>
      <c r="B1527" s="1">
        <v>40879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</row>
    <row r="1528" spans="1:8" x14ac:dyDescent="0.3">
      <c r="A1528" t="s">
        <v>18</v>
      </c>
      <c r="B1528" s="1">
        <v>40886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</row>
    <row r="1529" spans="1:8" x14ac:dyDescent="0.3">
      <c r="A1529" t="s">
        <v>18</v>
      </c>
      <c r="B1529" s="1">
        <v>40893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</row>
    <row r="1530" spans="1:8" x14ac:dyDescent="0.3">
      <c r="A1530" t="s">
        <v>18</v>
      </c>
      <c r="B1530" s="1">
        <v>40900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</row>
    <row r="1531" spans="1:8" x14ac:dyDescent="0.3">
      <c r="A1531" t="s">
        <v>18</v>
      </c>
      <c r="B1531" s="1">
        <v>40907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</row>
    <row r="1532" spans="1:8" x14ac:dyDescent="0.3">
      <c r="A1532" t="s">
        <v>18</v>
      </c>
      <c r="B1532" s="1">
        <v>40914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</row>
    <row r="1533" spans="1:8" x14ac:dyDescent="0.3">
      <c r="A1533" t="s">
        <v>18</v>
      </c>
      <c r="B1533" s="1">
        <v>40921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</row>
    <row r="1534" spans="1:8" x14ac:dyDescent="0.3">
      <c r="A1534" t="s">
        <v>18</v>
      </c>
      <c r="B1534" s="1">
        <v>40928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</row>
    <row r="1535" spans="1:8" x14ac:dyDescent="0.3">
      <c r="A1535" t="s">
        <v>18</v>
      </c>
      <c r="B1535" s="1">
        <v>40935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</row>
    <row r="1536" spans="1:8" x14ac:dyDescent="0.3">
      <c r="A1536" t="s">
        <v>18</v>
      </c>
      <c r="B1536" s="1">
        <v>40942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</row>
    <row r="1537" spans="1:8" x14ac:dyDescent="0.3">
      <c r="A1537" t="s">
        <v>18</v>
      </c>
      <c r="B1537" s="1">
        <v>40949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</row>
    <row r="1538" spans="1:8" x14ac:dyDescent="0.3">
      <c r="A1538" t="s">
        <v>18</v>
      </c>
      <c r="B1538" s="1">
        <v>40956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</row>
    <row r="1539" spans="1:8" x14ac:dyDescent="0.3">
      <c r="A1539" t="s">
        <v>18</v>
      </c>
      <c r="B1539" s="1">
        <v>40963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</row>
    <row r="1540" spans="1:8" x14ac:dyDescent="0.3">
      <c r="A1540" t="s">
        <v>18</v>
      </c>
      <c r="B1540" s="1">
        <v>40970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</row>
    <row r="1541" spans="1:8" x14ac:dyDescent="0.3">
      <c r="A1541" t="s">
        <v>18</v>
      </c>
      <c r="B1541" s="1">
        <v>40977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</row>
    <row r="1542" spans="1:8" x14ac:dyDescent="0.3">
      <c r="A1542" t="s">
        <v>18</v>
      </c>
      <c r="B1542" s="1">
        <v>40984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</row>
    <row r="1543" spans="1:8" x14ac:dyDescent="0.3">
      <c r="A1543" t="s">
        <v>18</v>
      </c>
      <c r="B1543" s="1">
        <v>40991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</row>
    <row r="1544" spans="1:8" x14ac:dyDescent="0.3">
      <c r="A1544" t="s">
        <v>18</v>
      </c>
      <c r="B1544" s="1">
        <v>40998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</row>
    <row r="1545" spans="1:8" x14ac:dyDescent="0.3">
      <c r="A1545" t="s">
        <v>18</v>
      </c>
      <c r="B1545" s="1">
        <v>41005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</row>
    <row r="1546" spans="1:8" x14ac:dyDescent="0.3">
      <c r="A1546" t="s">
        <v>18</v>
      </c>
      <c r="B1546" s="1">
        <v>41012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</row>
    <row r="1547" spans="1:8" x14ac:dyDescent="0.3">
      <c r="A1547" t="s">
        <v>18</v>
      </c>
      <c r="B1547" s="1">
        <v>41019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</row>
    <row r="1548" spans="1:8" x14ac:dyDescent="0.3">
      <c r="A1548" t="s">
        <v>18</v>
      </c>
      <c r="B1548" s="1">
        <v>41026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</row>
    <row r="1549" spans="1:8" x14ac:dyDescent="0.3">
      <c r="A1549" t="s">
        <v>18</v>
      </c>
      <c r="B1549" s="1">
        <v>41033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</row>
    <row r="1550" spans="1:8" x14ac:dyDescent="0.3">
      <c r="A1550" t="s">
        <v>18</v>
      </c>
      <c r="B1550" s="1">
        <v>41040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</row>
    <row r="1551" spans="1:8" x14ac:dyDescent="0.3">
      <c r="A1551" t="s">
        <v>18</v>
      </c>
      <c r="B1551" s="1">
        <v>41047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</row>
    <row r="1552" spans="1:8" x14ac:dyDescent="0.3">
      <c r="A1552" t="s">
        <v>18</v>
      </c>
      <c r="B1552" s="1">
        <v>41054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</row>
    <row r="1553" spans="1:8" x14ac:dyDescent="0.3">
      <c r="A1553" t="s">
        <v>18</v>
      </c>
      <c r="B1553" s="1">
        <v>41061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</row>
    <row r="1554" spans="1:8" x14ac:dyDescent="0.3">
      <c r="A1554" t="s">
        <v>18</v>
      </c>
      <c r="B1554" s="1">
        <v>41068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</row>
    <row r="1555" spans="1:8" x14ac:dyDescent="0.3">
      <c r="A1555" t="s">
        <v>18</v>
      </c>
      <c r="B1555" s="1">
        <v>41075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</row>
    <row r="1556" spans="1:8" x14ac:dyDescent="0.3">
      <c r="A1556" t="s">
        <v>18</v>
      </c>
      <c r="B1556" s="1">
        <v>41082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</row>
    <row r="1557" spans="1:8" x14ac:dyDescent="0.3">
      <c r="A1557" t="s">
        <v>18</v>
      </c>
      <c r="B1557" s="1">
        <v>41089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</row>
    <row r="1558" spans="1:8" x14ac:dyDescent="0.3">
      <c r="A1558" t="s">
        <v>18</v>
      </c>
      <c r="B1558" s="1">
        <v>41096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</row>
    <row r="1559" spans="1:8" x14ac:dyDescent="0.3">
      <c r="A1559" t="s">
        <v>18</v>
      </c>
      <c r="B1559" s="1">
        <v>41103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</row>
    <row r="1560" spans="1:8" x14ac:dyDescent="0.3">
      <c r="A1560" t="s">
        <v>18</v>
      </c>
      <c r="B1560" s="1">
        <v>41110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</row>
    <row r="1561" spans="1:8" x14ac:dyDescent="0.3">
      <c r="A1561" t="s">
        <v>18</v>
      </c>
      <c r="B1561" s="1">
        <v>41117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</row>
    <row r="1562" spans="1:8" x14ac:dyDescent="0.3">
      <c r="A1562" t="s">
        <v>18</v>
      </c>
      <c r="B1562" s="1">
        <v>41124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</row>
    <row r="1563" spans="1:8" x14ac:dyDescent="0.3">
      <c r="A1563" t="s">
        <v>18</v>
      </c>
      <c r="B1563" s="1">
        <v>41131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</row>
    <row r="1564" spans="1:8" x14ac:dyDescent="0.3">
      <c r="A1564" t="s">
        <v>18</v>
      </c>
      <c r="B1564" s="1">
        <v>41138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</row>
    <row r="1565" spans="1:8" x14ac:dyDescent="0.3">
      <c r="A1565" t="s">
        <v>18</v>
      </c>
      <c r="B1565" s="1">
        <v>41145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</row>
    <row r="1566" spans="1:8" x14ac:dyDescent="0.3">
      <c r="A1566" t="s">
        <v>18</v>
      </c>
      <c r="B1566" s="1">
        <v>41152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</row>
    <row r="1567" spans="1:8" x14ac:dyDescent="0.3">
      <c r="A1567" t="s">
        <v>18</v>
      </c>
      <c r="B1567" s="1">
        <v>41159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</row>
    <row r="1568" spans="1:8" x14ac:dyDescent="0.3">
      <c r="A1568" t="s">
        <v>18</v>
      </c>
      <c r="B1568" s="1">
        <v>41166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</row>
    <row r="1569" spans="1:8" x14ac:dyDescent="0.3">
      <c r="A1569" t="s">
        <v>18</v>
      </c>
      <c r="B1569" s="1">
        <v>41173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</row>
    <row r="1570" spans="1:8" x14ac:dyDescent="0.3">
      <c r="A1570" t="s">
        <v>18</v>
      </c>
      <c r="B1570" s="1">
        <v>41180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</row>
    <row r="1571" spans="1:8" x14ac:dyDescent="0.3">
      <c r="A1571" t="s">
        <v>18</v>
      </c>
      <c r="B1571" s="1">
        <v>41187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</row>
    <row r="1572" spans="1:8" x14ac:dyDescent="0.3">
      <c r="A1572" t="s">
        <v>18</v>
      </c>
      <c r="B1572" s="1">
        <v>41194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</row>
    <row r="1573" spans="1:8" x14ac:dyDescent="0.3">
      <c r="A1573" t="s">
        <v>18</v>
      </c>
      <c r="B1573" s="1">
        <v>41201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</row>
    <row r="1574" spans="1:8" x14ac:dyDescent="0.3">
      <c r="A1574" t="s">
        <v>18</v>
      </c>
      <c r="B1574" s="1">
        <v>41208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</row>
    <row r="1575" spans="1:8" x14ac:dyDescent="0.3">
      <c r="A1575" t="s">
        <v>19</v>
      </c>
      <c r="B1575" s="1">
        <v>40214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</row>
    <row r="1576" spans="1:8" x14ac:dyDescent="0.3">
      <c r="A1576" t="s">
        <v>19</v>
      </c>
      <c r="B1576" s="1">
        <v>40221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</row>
    <row r="1577" spans="1:8" x14ac:dyDescent="0.3">
      <c r="A1577" t="s">
        <v>19</v>
      </c>
      <c r="B1577" s="1">
        <v>40228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 x14ac:dyDescent="0.3">
      <c r="A1578" t="s">
        <v>19</v>
      </c>
      <c r="B1578" s="1">
        <v>40235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</row>
    <row r="1579" spans="1:8" x14ac:dyDescent="0.3">
      <c r="A1579" t="s">
        <v>19</v>
      </c>
      <c r="B1579" s="1">
        <v>40242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</row>
    <row r="1580" spans="1:8" x14ac:dyDescent="0.3">
      <c r="A1580" t="s">
        <v>19</v>
      </c>
      <c r="B1580" s="1">
        <v>40249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</row>
    <row r="1581" spans="1:8" x14ac:dyDescent="0.3">
      <c r="A1581" t="s">
        <v>19</v>
      </c>
      <c r="B1581" s="1">
        <v>40256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</row>
    <row r="1582" spans="1:8" x14ac:dyDescent="0.3">
      <c r="A1582" t="s">
        <v>19</v>
      </c>
      <c r="B1582" s="1">
        <v>40263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</row>
    <row r="1583" spans="1:8" x14ac:dyDescent="0.3">
      <c r="A1583" t="s">
        <v>19</v>
      </c>
      <c r="B1583" s="1">
        <v>40270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</row>
    <row r="1584" spans="1:8" x14ac:dyDescent="0.3">
      <c r="A1584" t="s">
        <v>19</v>
      </c>
      <c r="B1584" s="1">
        <v>40277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 x14ac:dyDescent="0.3">
      <c r="A1585" t="s">
        <v>19</v>
      </c>
      <c r="B1585" s="1">
        <v>40284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 x14ac:dyDescent="0.3">
      <c r="A1586" t="s">
        <v>19</v>
      </c>
      <c r="B1586" s="1">
        <v>40291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 x14ac:dyDescent="0.3">
      <c r="A1587" t="s">
        <v>19</v>
      </c>
      <c r="B1587" s="1">
        <v>40298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 x14ac:dyDescent="0.3">
      <c r="A1588" t="s">
        <v>19</v>
      </c>
      <c r="B1588" s="1">
        <v>40305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</row>
    <row r="1589" spans="1:8" x14ac:dyDescent="0.3">
      <c r="A1589" t="s">
        <v>19</v>
      </c>
      <c r="B1589" s="1">
        <v>40312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 x14ac:dyDescent="0.3">
      <c r="A1590" t="s">
        <v>19</v>
      </c>
      <c r="B1590" s="1">
        <v>40319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 x14ac:dyDescent="0.3">
      <c r="A1591" t="s">
        <v>19</v>
      </c>
      <c r="B1591" s="1">
        <v>40326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</row>
    <row r="1592" spans="1:8" x14ac:dyDescent="0.3">
      <c r="A1592" t="s">
        <v>19</v>
      </c>
      <c r="B1592" s="1">
        <v>40333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</row>
    <row r="1593" spans="1:8" x14ac:dyDescent="0.3">
      <c r="A1593" t="s">
        <v>19</v>
      </c>
      <c r="B1593" s="1">
        <v>40340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</row>
    <row r="1594" spans="1:8" x14ac:dyDescent="0.3">
      <c r="A1594" t="s">
        <v>19</v>
      </c>
      <c r="B1594" s="1">
        <v>40347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</row>
    <row r="1595" spans="1:8" x14ac:dyDescent="0.3">
      <c r="A1595" t="s">
        <v>19</v>
      </c>
      <c r="B1595" s="1">
        <v>40354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</row>
    <row r="1596" spans="1:8" x14ac:dyDescent="0.3">
      <c r="A1596" t="s">
        <v>19</v>
      </c>
      <c r="B1596" s="1">
        <v>40361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 x14ac:dyDescent="0.3">
      <c r="A1597" t="s">
        <v>19</v>
      </c>
      <c r="B1597" s="1">
        <v>40368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</row>
    <row r="1598" spans="1:8" x14ac:dyDescent="0.3">
      <c r="A1598" t="s">
        <v>19</v>
      </c>
      <c r="B1598" s="1">
        <v>40375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</row>
    <row r="1599" spans="1:8" x14ac:dyDescent="0.3">
      <c r="A1599" t="s">
        <v>19</v>
      </c>
      <c r="B1599" s="1">
        <v>40382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</row>
    <row r="1600" spans="1:8" x14ac:dyDescent="0.3">
      <c r="A1600" t="s">
        <v>19</v>
      </c>
      <c r="B1600" s="1">
        <v>40389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</row>
    <row r="1601" spans="1:8" x14ac:dyDescent="0.3">
      <c r="A1601" t="s">
        <v>19</v>
      </c>
      <c r="B1601" s="1">
        <v>40396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</row>
    <row r="1602" spans="1:8" x14ac:dyDescent="0.3">
      <c r="A1602" t="s">
        <v>19</v>
      </c>
      <c r="B1602" s="1">
        <v>40403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</row>
    <row r="1603" spans="1:8" x14ac:dyDescent="0.3">
      <c r="A1603" t="s">
        <v>19</v>
      </c>
      <c r="B1603" s="1">
        <v>40410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</row>
    <row r="1604" spans="1:8" x14ac:dyDescent="0.3">
      <c r="A1604" t="s">
        <v>19</v>
      </c>
      <c r="B1604" s="1">
        <v>40417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 x14ac:dyDescent="0.3">
      <c r="A1605" t="s">
        <v>19</v>
      </c>
      <c r="B1605" s="1">
        <v>40424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</row>
    <row r="1606" spans="1:8" x14ac:dyDescent="0.3">
      <c r="A1606" t="s">
        <v>19</v>
      </c>
      <c r="B1606" s="1">
        <v>40431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 x14ac:dyDescent="0.3">
      <c r="A1607" t="s">
        <v>19</v>
      </c>
      <c r="B1607" s="1">
        <v>40438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 x14ac:dyDescent="0.3">
      <c r="A1608" t="s">
        <v>19</v>
      </c>
      <c r="B1608" s="1">
        <v>40445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</row>
    <row r="1609" spans="1:8" x14ac:dyDescent="0.3">
      <c r="A1609" t="s">
        <v>19</v>
      </c>
      <c r="B1609" s="1">
        <v>40452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</row>
    <row r="1610" spans="1:8" x14ac:dyDescent="0.3">
      <c r="A1610" t="s">
        <v>19</v>
      </c>
      <c r="B1610" s="1">
        <v>40459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</row>
    <row r="1611" spans="1:8" x14ac:dyDescent="0.3">
      <c r="A1611" t="s">
        <v>19</v>
      </c>
      <c r="B1611" s="1">
        <v>40466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</row>
    <row r="1612" spans="1:8" x14ac:dyDescent="0.3">
      <c r="A1612" t="s">
        <v>19</v>
      </c>
      <c r="B1612" s="1">
        <v>40473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</row>
    <row r="1613" spans="1:8" x14ac:dyDescent="0.3">
      <c r="A1613" t="s">
        <v>19</v>
      </c>
      <c r="B1613" s="1">
        <v>40480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</row>
    <row r="1614" spans="1:8" x14ac:dyDescent="0.3">
      <c r="A1614" t="s">
        <v>19</v>
      </c>
      <c r="B1614" s="1">
        <v>40487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</row>
    <row r="1615" spans="1:8" x14ac:dyDescent="0.3">
      <c r="A1615" t="s">
        <v>19</v>
      </c>
      <c r="B1615" s="1">
        <v>40494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</row>
    <row r="1616" spans="1:8" x14ac:dyDescent="0.3">
      <c r="A1616" t="s">
        <v>19</v>
      </c>
      <c r="B1616" s="1">
        <v>40501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</row>
    <row r="1617" spans="1:8" x14ac:dyDescent="0.3">
      <c r="A1617" t="s">
        <v>19</v>
      </c>
      <c r="B1617" s="1">
        <v>40508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</row>
    <row r="1618" spans="1:8" x14ac:dyDescent="0.3">
      <c r="A1618" t="s">
        <v>19</v>
      </c>
      <c r="B1618" s="1">
        <v>40515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</row>
    <row r="1619" spans="1:8" x14ac:dyDescent="0.3">
      <c r="A1619" t="s">
        <v>19</v>
      </c>
      <c r="B1619" s="1">
        <v>40522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</row>
    <row r="1620" spans="1:8" x14ac:dyDescent="0.3">
      <c r="A1620" t="s">
        <v>19</v>
      </c>
      <c r="B1620" s="1">
        <v>40529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</row>
    <row r="1621" spans="1:8" x14ac:dyDescent="0.3">
      <c r="A1621" t="s">
        <v>19</v>
      </c>
      <c r="B1621" s="1">
        <v>40536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</row>
    <row r="1622" spans="1:8" x14ac:dyDescent="0.3">
      <c r="A1622" t="s">
        <v>19</v>
      </c>
      <c r="B1622" s="1">
        <v>40543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</row>
    <row r="1623" spans="1:8" x14ac:dyDescent="0.3">
      <c r="A1623" t="s">
        <v>19</v>
      </c>
      <c r="B1623" s="1">
        <v>40550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</row>
    <row r="1624" spans="1:8" x14ac:dyDescent="0.3">
      <c r="A1624" t="s">
        <v>19</v>
      </c>
      <c r="B1624" s="1">
        <v>40557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</row>
    <row r="1625" spans="1:8" x14ac:dyDescent="0.3">
      <c r="A1625" t="s">
        <v>19</v>
      </c>
      <c r="B1625" s="1">
        <v>40564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</row>
    <row r="1626" spans="1:8" x14ac:dyDescent="0.3">
      <c r="A1626" t="s">
        <v>19</v>
      </c>
      <c r="B1626" s="1">
        <v>40571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</row>
    <row r="1627" spans="1:8" x14ac:dyDescent="0.3">
      <c r="A1627" t="s">
        <v>19</v>
      </c>
      <c r="B1627" s="1">
        <v>40578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</row>
    <row r="1628" spans="1:8" x14ac:dyDescent="0.3">
      <c r="A1628" t="s">
        <v>19</v>
      </c>
      <c r="B1628" s="1">
        <v>40585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</row>
    <row r="1629" spans="1:8" x14ac:dyDescent="0.3">
      <c r="A1629" t="s">
        <v>19</v>
      </c>
      <c r="B1629" s="1">
        <v>40592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</row>
    <row r="1630" spans="1:8" x14ac:dyDescent="0.3">
      <c r="A1630" t="s">
        <v>19</v>
      </c>
      <c r="B1630" s="1">
        <v>40599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</row>
    <row r="1631" spans="1:8" x14ac:dyDescent="0.3">
      <c r="A1631" t="s">
        <v>19</v>
      </c>
      <c r="B1631" s="1">
        <v>40606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</row>
    <row r="1632" spans="1:8" x14ac:dyDescent="0.3">
      <c r="A1632" t="s">
        <v>19</v>
      </c>
      <c r="B1632" s="1">
        <v>40613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</row>
    <row r="1633" spans="1:8" x14ac:dyDescent="0.3">
      <c r="A1633" t="s">
        <v>19</v>
      </c>
      <c r="B1633" s="1">
        <v>40620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</row>
    <row r="1634" spans="1:8" x14ac:dyDescent="0.3">
      <c r="A1634" t="s">
        <v>19</v>
      </c>
      <c r="B1634" s="1">
        <v>40627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</row>
    <row r="1635" spans="1:8" x14ac:dyDescent="0.3">
      <c r="A1635" t="s">
        <v>19</v>
      </c>
      <c r="B1635" s="1">
        <v>40634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</row>
    <row r="1636" spans="1:8" x14ac:dyDescent="0.3">
      <c r="A1636" t="s">
        <v>19</v>
      </c>
      <c r="B1636" s="1">
        <v>40641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</row>
    <row r="1637" spans="1:8" x14ac:dyDescent="0.3">
      <c r="A1637" t="s">
        <v>19</v>
      </c>
      <c r="B1637" s="1">
        <v>40648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</row>
    <row r="1638" spans="1:8" x14ac:dyDescent="0.3">
      <c r="A1638" t="s">
        <v>19</v>
      </c>
      <c r="B1638" s="1">
        <v>40655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</row>
    <row r="1639" spans="1:8" x14ac:dyDescent="0.3">
      <c r="A1639" t="s">
        <v>19</v>
      </c>
      <c r="B1639" s="1">
        <v>40662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</row>
    <row r="1640" spans="1:8" x14ac:dyDescent="0.3">
      <c r="A1640" t="s">
        <v>19</v>
      </c>
      <c r="B1640" s="1">
        <v>40669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</row>
    <row r="1641" spans="1:8" x14ac:dyDescent="0.3">
      <c r="A1641" t="s">
        <v>19</v>
      </c>
      <c r="B1641" s="1">
        <v>40676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</row>
    <row r="1642" spans="1:8" x14ac:dyDescent="0.3">
      <c r="A1642" t="s">
        <v>19</v>
      </c>
      <c r="B1642" s="1">
        <v>40683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</row>
    <row r="1643" spans="1:8" x14ac:dyDescent="0.3">
      <c r="A1643" t="s">
        <v>19</v>
      </c>
      <c r="B1643" s="1">
        <v>40690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</row>
    <row r="1644" spans="1:8" x14ac:dyDescent="0.3">
      <c r="A1644" t="s">
        <v>19</v>
      </c>
      <c r="B1644" s="1">
        <v>40697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</row>
    <row r="1645" spans="1:8" x14ac:dyDescent="0.3">
      <c r="A1645" t="s">
        <v>19</v>
      </c>
      <c r="B1645" s="1">
        <v>40704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</row>
    <row r="1646" spans="1:8" x14ac:dyDescent="0.3">
      <c r="A1646" t="s">
        <v>19</v>
      </c>
      <c r="B1646" s="1">
        <v>40711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</row>
    <row r="1647" spans="1:8" x14ac:dyDescent="0.3">
      <c r="A1647" t="s">
        <v>19</v>
      </c>
      <c r="B1647" s="1">
        <v>40718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</row>
    <row r="1648" spans="1:8" x14ac:dyDescent="0.3">
      <c r="A1648" t="s">
        <v>19</v>
      </c>
      <c r="B1648" s="1">
        <v>40725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</row>
    <row r="1649" spans="1:8" x14ac:dyDescent="0.3">
      <c r="A1649" t="s">
        <v>19</v>
      </c>
      <c r="B1649" s="1">
        <v>40732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</row>
    <row r="1650" spans="1:8" x14ac:dyDescent="0.3">
      <c r="A1650" t="s">
        <v>19</v>
      </c>
      <c r="B1650" s="1">
        <v>40739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</row>
    <row r="1651" spans="1:8" x14ac:dyDescent="0.3">
      <c r="A1651" t="s">
        <v>19</v>
      </c>
      <c r="B1651" s="1">
        <v>40746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 x14ac:dyDescent="0.3">
      <c r="A1652" t="s">
        <v>19</v>
      </c>
      <c r="B1652" s="1">
        <v>40753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</row>
    <row r="1653" spans="1:8" x14ac:dyDescent="0.3">
      <c r="A1653" t="s">
        <v>19</v>
      </c>
      <c r="B1653" s="1">
        <v>40760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</row>
    <row r="1654" spans="1:8" x14ac:dyDescent="0.3">
      <c r="A1654" t="s">
        <v>19</v>
      </c>
      <c r="B1654" s="1">
        <v>40767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</row>
    <row r="1655" spans="1:8" x14ac:dyDescent="0.3">
      <c r="A1655" t="s">
        <v>19</v>
      </c>
      <c r="B1655" s="1">
        <v>40774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</row>
    <row r="1656" spans="1:8" x14ac:dyDescent="0.3">
      <c r="A1656" t="s">
        <v>19</v>
      </c>
      <c r="B1656" s="1">
        <v>40781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</row>
    <row r="1657" spans="1:8" x14ac:dyDescent="0.3">
      <c r="A1657" t="s">
        <v>19</v>
      </c>
      <c r="B1657" s="1">
        <v>40788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</row>
    <row r="1658" spans="1:8" x14ac:dyDescent="0.3">
      <c r="A1658" t="s">
        <v>19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</row>
    <row r="1659" spans="1:8" x14ac:dyDescent="0.3">
      <c r="A1659" t="s">
        <v>19</v>
      </c>
      <c r="B1659" s="1">
        <v>40802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</row>
    <row r="1660" spans="1:8" x14ac:dyDescent="0.3">
      <c r="A1660" t="s">
        <v>19</v>
      </c>
      <c r="B1660" s="1">
        <v>40809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</row>
    <row r="1661" spans="1:8" x14ac:dyDescent="0.3">
      <c r="A1661" t="s">
        <v>19</v>
      </c>
      <c r="B1661" s="1">
        <v>40816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</row>
    <row r="1662" spans="1:8" x14ac:dyDescent="0.3">
      <c r="A1662" t="s">
        <v>19</v>
      </c>
      <c r="B1662" s="1">
        <v>40823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</row>
    <row r="1663" spans="1:8" x14ac:dyDescent="0.3">
      <c r="A1663" t="s">
        <v>19</v>
      </c>
      <c r="B1663" s="1">
        <v>40830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</row>
    <row r="1664" spans="1:8" x14ac:dyDescent="0.3">
      <c r="A1664" t="s">
        <v>19</v>
      </c>
      <c r="B1664" s="1">
        <v>40837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</row>
    <row r="1665" spans="1:8" x14ac:dyDescent="0.3">
      <c r="A1665" t="s">
        <v>19</v>
      </c>
      <c r="B1665" s="1">
        <v>40844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</row>
    <row r="1666" spans="1:8" x14ac:dyDescent="0.3">
      <c r="A1666" t="s">
        <v>19</v>
      </c>
      <c r="B1666" s="1">
        <v>40851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</row>
    <row r="1667" spans="1:8" x14ac:dyDescent="0.3">
      <c r="A1667" t="s">
        <v>19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</row>
    <row r="1668" spans="1:8" x14ac:dyDescent="0.3">
      <c r="A1668" t="s">
        <v>19</v>
      </c>
      <c r="B1668" s="1">
        <v>40865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</row>
    <row r="1669" spans="1:8" x14ac:dyDescent="0.3">
      <c r="A1669" t="s">
        <v>19</v>
      </c>
      <c r="B1669" s="1">
        <v>40872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</row>
    <row r="1670" spans="1:8" x14ac:dyDescent="0.3">
      <c r="A1670" t="s">
        <v>19</v>
      </c>
      <c r="B1670" s="1">
        <v>40879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</row>
    <row r="1671" spans="1:8" x14ac:dyDescent="0.3">
      <c r="A1671" t="s">
        <v>19</v>
      </c>
      <c r="B1671" s="1">
        <v>40886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</row>
    <row r="1672" spans="1:8" x14ac:dyDescent="0.3">
      <c r="A1672" t="s">
        <v>19</v>
      </c>
      <c r="B1672" s="1">
        <v>40893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 x14ac:dyDescent="0.3">
      <c r="A1673" t="s">
        <v>19</v>
      </c>
      <c r="B1673" s="1">
        <v>40900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</row>
    <row r="1674" spans="1:8" x14ac:dyDescent="0.3">
      <c r="A1674" t="s">
        <v>19</v>
      </c>
      <c r="B1674" s="1">
        <v>40907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</row>
    <row r="1675" spans="1:8" x14ac:dyDescent="0.3">
      <c r="A1675" t="s">
        <v>19</v>
      </c>
      <c r="B1675" s="1">
        <v>40914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</row>
    <row r="1676" spans="1:8" x14ac:dyDescent="0.3">
      <c r="A1676" t="s">
        <v>19</v>
      </c>
      <c r="B1676" s="1">
        <v>40921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</row>
    <row r="1677" spans="1:8" x14ac:dyDescent="0.3">
      <c r="A1677" t="s">
        <v>19</v>
      </c>
      <c r="B1677" s="1">
        <v>40928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</row>
    <row r="1678" spans="1:8" x14ac:dyDescent="0.3">
      <c r="A1678" t="s">
        <v>19</v>
      </c>
      <c r="B1678" s="1">
        <v>40935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</row>
    <row r="1679" spans="1:8" x14ac:dyDescent="0.3">
      <c r="A1679" t="s">
        <v>19</v>
      </c>
      <c r="B1679" s="1">
        <v>40942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</row>
    <row r="1680" spans="1:8" x14ac:dyDescent="0.3">
      <c r="A1680" t="s">
        <v>19</v>
      </c>
      <c r="B1680" s="1">
        <v>40949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</row>
    <row r="1681" spans="1:8" x14ac:dyDescent="0.3">
      <c r="A1681" t="s">
        <v>19</v>
      </c>
      <c r="B1681" s="1">
        <v>40956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</row>
    <row r="1682" spans="1:8" x14ac:dyDescent="0.3">
      <c r="A1682" t="s">
        <v>19</v>
      </c>
      <c r="B1682" s="1">
        <v>40963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</row>
    <row r="1683" spans="1:8" x14ac:dyDescent="0.3">
      <c r="A1683" t="s">
        <v>19</v>
      </c>
      <c r="B1683" s="1">
        <v>40970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</row>
    <row r="1684" spans="1:8" x14ac:dyDescent="0.3">
      <c r="A1684" t="s">
        <v>19</v>
      </c>
      <c r="B1684" s="1">
        <v>40977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</row>
    <row r="1685" spans="1:8" x14ac:dyDescent="0.3">
      <c r="A1685" t="s">
        <v>19</v>
      </c>
      <c r="B1685" s="1">
        <v>40984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</row>
    <row r="1686" spans="1:8" x14ac:dyDescent="0.3">
      <c r="A1686" t="s">
        <v>19</v>
      </c>
      <c r="B1686" s="1">
        <v>40991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</row>
    <row r="1687" spans="1:8" x14ac:dyDescent="0.3">
      <c r="A1687" t="s">
        <v>19</v>
      </c>
      <c r="B1687" s="1">
        <v>40998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</row>
    <row r="1688" spans="1:8" x14ac:dyDescent="0.3">
      <c r="A1688" t="s">
        <v>19</v>
      </c>
      <c r="B1688" s="1">
        <v>41005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</row>
    <row r="1689" spans="1:8" x14ac:dyDescent="0.3">
      <c r="A1689" t="s">
        <v>19</v>
      </c>
      <c r="B1689" s="1">
        <v>41012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</row>
    <row r="1690" spans="1:8" x14ac:dyDescent="0.3">
      <c r="A1690" t="s">
        <v>19</v>
      </c>
      <c r="B1690" s="1">
        <v>41019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</row>
    <row r="1691" spans="1:8" x14ac:dyDescent="0.3">
      <c r="A1691" t="s">
        <v>19</v>
      </c>
      <c r="B1691" s="1">
        <v>41026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</row>
    <row r="1692" spans="1:8" x14ac:dyDescent="0.3">
      <c r="A1692" t="s">
        <v>19</v>
      </c>
      <c r="B1692" s="1">
        <v>41033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</row>
    <row r="1693" spans="1:8" x14ac:dyDescent="0.3">
      <c r="A1693" t="s">
        <v>19</v>
      </c>
      <c r="B1693" s="1">
        <v>41040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</row>
    <row r="1694" spans="1:8" x14ac:dyDescent="0.3">
      <c r="A1694" t="s">
        <v>19</v>
      </c>
      <c r="B1694" s="1">
        <v>41047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</row>
    <row r="1695" spans="1:8" x14ac:dyDescent="0.3">
      <c r="A1695" t="s">
        <v>19</v>
      </c>
      <c r="B1695" s="1">
        <v>41054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</row>
    <row r="1696" spans="1:8" x14ac:dyDescent="0.3">
      <c r="A1696" t="s">
        <v>19</v>
      </c>
      <c r="B1696" s="1">
        <v>41061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</row>
    <row r="1697" spans="1:8" x14ac:dyDescent="0.3">
      <c r="A1697" t="s">
        <v>19</v>
      </c>
      <c r="B1697" s="1">
        <v>41068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</row>
    <row r="1698" spans="1:8" x14ac:dyDescent="0.3">
      <c r="A1698" t="s">
        <v>19</v>
      </c>
      <c r="B1698" s="1">
        <v>41075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</row>
    <row r="1699" spans="1:8" x14ac:dyDescent="0.3">
      <c r="A1699" t="s">
        <v>19</v>
      </c>
      <c r="B1699" s="1">
        <v>41082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</row>
    <row r="1700" spans="1:8" x14ac:dyDescent="0.3">
      <c r="A1700" t="s">
        <v>19</v>
      </c>
      <c r="B1700" s="1">
        <v>41089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</row>
    <row r="1701" spans="1:8" x14ac:dyDescent="0.3">
      <c r="A1701" t="s">
        <v>19</v>
      </c>
      <c r="B1701" s="1">
        <v>41096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</row>
    <row r="1702" spans="1:8" x14ac:dyDescent="0.3">
      <c r="A1702" t="s">
        <v>19</v>
      </c>
      <c r="B1702" s="1">
        <v>41103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</row>
    <row r="1703" spans="1:8" x14ac:dyDescent="0.3">
      <c r="A1703" t="s">
        <v>19</v>
      </c>
      <c r="B1703" s="1">
        <v>41110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</row>
    <row r="1704" spans="1:8" x14ac:dyDescent="0.3">
      <c r="A1704" t="s">
        <v>19</v>
      </c>
      <c r="B1704" s="1">
        <v>41117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</row>
    <row r="1705" spans="1:8" x14ac:dyDescent="0.3">
      <c r="A1705" t="s">
        <v>19</v>
      </c>
      <c r="B1705" s="1">
        <v>41124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</row>
    <row r="1706" spans="1:8" x14ac:dyDescent="0.3">
      <c r="A1706" t="s">
        <v>19</v>
      </c>
      <c r="B1706" s="1">
        <v>41131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</row>
    <row r="1707" spans="1:8" x14ac:dyDescent="0.3">
      <c r="A1707" t="s">
        <v>19</v>
      </c>
      <c r="B1707" s="1">
        <v>41138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</row>
    <row r="1708" spans="1:8" x14ac:dyDescent="0.3">
      <c r="A1708" t="s">
        <v>19</v>
      </c>
      <c r="B1708" s="1">
        <v>41145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</row>
    <row r="1709" spans="1:8" x14ac:dyDescent="0.3">
      <c r="A1709" t="s">
        <v>19</v>
      </c>
      <c r="B1709" s="1">
        <v>41152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</row>
    <row r="1710" spans="1:8" x14ac:dyDescent="0.3">
      <c r="A1710" t="s">
        <v>19</v>
      </c>
      <c r="B1710" s="1">
        <v>41159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</row>
    <row r="1711" spans="1:8" x14ac:dyDescent="0.3">
      <c r="A1711" t="s">
        <v>19</v>
      </c>
      <c r="B1711" s="1">
        <v>41166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</row>
    <row r="1712" spans="1:8" x14ac:dyDescent="0.3">
      <c r="A1712" t="s">
        <v>19</v>
      </c>
      <c r="B1712" s="1">
        <v>41173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</row>
    <row r="1713" spans="1:8" x14ac:dyDescent="0.3">
      <c r="A1713" t="s">
        <v>19</v>
      </c>
      <c r="B1713" s="1">
        <v>41180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</row>
    <row r="1714" spans="1:8" x14ac:dyDescent="0.3">
      <c r="A1714" t="s">
        <v>19</v>
      </c>
      <c r="B1714" s="1">
        <v>41187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</row>
    <row r="1715" spans="1:8" x14ac:dyDescent="0.3">
      <c r="A1715" t="s">
        <v>19</v>
      </c>
      <c r="B1715" s="1">
        <v>41194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</row>
    <row r="1716" spans="1:8" x14ac:dyDescent="0.3">
      <c r="A1716" t="s">
        <v>19</v>
      </c>
      <c r="B1716" s="1">
        <v>41201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</row>
    <row r="1717" spans="1:8" x14ac:dyDescent="0.3">
      <c r="A1717" t="s">
        <v>19</v>
      </c>
      <c r="B1717" s="1">
        <v>41208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</row>
    <row r="1718" spans="1:8" x14ac:dyDescent="0.3">
      <c r="A1718" t="s">
        <v>20</v>
      </c>
      <c r="B1718" s="1">
        <v>40214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</row>
    <row r="1719" spans="1:8" x14ac:dyDescent="0.3">
      <c r="A1719" t="s">
        <v>20</v>
      </c>
      <c r="B1719" s="1">
        <v>40221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</row>
    <row r="1720" spans="1:8" x14ac:dyDescent="0.3">
      <c r="A1720" t="s">
        <v>20</v>
      </c>
      <c r="B1720" s="1">
        <v>40228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</row>
    <row r="1721" spans="1:8" x14ac:dyDescent="0.3">
      <c r="A1721" t="s">
        <v>20</v>
      </c>
      <c r="B1721" s="1">
        <v>40235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</row>
    <row r="1722" spans="1:8" x14ac:dyDescent="0.3">
      <c r="A1722" t="s">
        <v>20</v>
      </c>
      <c r="B1722" s="1">
        <v>40242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</row>
    <row r="1723" spans="1:8" x14ac:dyDescent="0.3">
      <c r="A1723" t="s">
        <v>20</v>
      </c>
      <c r="B1723" s="1">
        <v>40249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</row>
    <row r="1724" spans="1:8" x14ac:dyDescent="0.3">
      <c r="A1724" t="s">
        <v>20</v>
      </c>
      <c r="B1724" s="1">
        <v>40256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</row>
    <row r="1725" spans="1:8" x14ac:dyDescent="0.3">
      <c r="A1725" t="s">
        <v>20</v>
      </c>
      <c r="B1725" s="1">
        <v>40263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</row>
    <row r="1726" spans="1:8" x14ac:dyDescent="0.3">
      <c r="A1726" t="s">
        <v>20</v>
      </c>
      <c r="B1726" s="1">
        <v>40270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</row>
    <row r="1727" spans="1:8" x14ac:dyDescent="0.3">
      <c r="A1727" t="s">
        <v>20</v>
      </c>
      <c r="B1727" s="1">
        <v>40277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</row>
    <row r="1728" spans="1:8" x14ac:dyDescent="0.3">
      <c r="A1728" t="s">
        <v>20</v>
      </c>
      <c r="B1728" s="1">
        <v>40284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</row>
    <row r="1729" spans="1:8" x14ac:dyDescent="0.3">
      <c r="A1729" t="s">
        <v>20</v>
      </c>
      <c r="B1729" s="1">
        <v>40291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</row>
    <row r="1730" spans="1:8" x14ac:dyDescent="0.3">
      <c r="A1730" t="s">
        <v>20</v>
      </c>
      <c r="B1730" s="1">
        <v>40298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</row>
    <row r="1731" spans="1:8" x14ac:dyDescent="0.3">
      <c r="A1731" t="s">
        <v>20</v>
      </c>
      <c r="B1731" s="1">
        <v>40305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</row>
    <row r="1732" spans="1:8" x14ac:dyDescent="0.3">
      <c r="A1732" t="s">
        <v>20</v>
      </c>
      <c r="B1732" s="1">
        <v>40312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</row>
    <row r="1733" spans="1:8" x14ac:dyDescent="0.3">
      <c r="A1733" t="s">
        <v>20</v>
      </c>
      <c r="B1733" s="1">
        <v>40319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</row>
    <row r="1734" spans="1:8" x14ac:dyDescent="0.3">
      <c r="A1734" t="s">
        <v>20</v>
      </c>
      <c r="B1734" s="1">
        <v>40326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</row>
    <row r="1735" spans="1:8" x14ac:dyDescent="0.3">
      <c r="A1735" t="s">
        <v>20</v>
      </c>
      <c r="B1735" s="1">
        <v>40333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</row>
    <row r="1736" spans="1:8" x14ac:dyDescent="0.3">
      <c r="A1736" t="s">
        <v>20</v>
      </c>
      <c r="B1736" s="1">
        <v>40340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</row>
    <row r="1737" spans="1:8" x14ac:dyDescent="0.3">
      <c r="A1737" t="s">
        <v>20</v>
      </c>
      <c r="B1737" s="1">
        <v>40347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</row>
    <row r="1738" spans="1:8" x14ac:dyDescent="0.3">
      <c r="A1738" t="s">
        <v>20</v>
      </c>
      <c r="B1738" s="1">
        <v>40354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</row>
    <row r="1739" spans="1:8" x14ac:dyDescent="0.3">
      <c r="A1739" t="s">
        <v>20</v>
      </c>
      <c r="B1739" s="1">
        <v>40361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</row>
    <row r="1740" spans="1:8" x14ac:dyDescent="0.3">
      <c r="A1740" t="s">
        <v>20</v>
      </c>
      <c r="B1740" s="1">
        <v>40368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</row>
    <row r="1741" spans="1:8" x14ac:dyDescent="0.3">
      <c r="A1741" t="s">
        <v>20</v>
      </c>
      <c r="B1741" s="1">
        <v>40375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</row>
    <row r="1742" spans="1:8" x14ac:dyDescent="0.3">
      <c r="A1742" t="s">
        <v>20</v>
      </c>
      <c r="B1742" s="1">
        <v>40382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</row>
    <row r="1743" spans="1:8" x14ac:dyDescent="0.3">
      <c r="A1743" t="s">
        <v>20</v>
      </c>
      <c r="B1743" s="1">
        <v>40389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</row>
    <row r="1744" spans="1:8" x14ac:dyDescent="0.3">
      <c r="A1744" t="s">
        <v>20</v>
      </c>
      <c r="B1744" s="1">
        <v>40396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</row>
    <row r="1745" spans="1:8" x14ac:dyDescent="0.3">
      <c r="A1745" t="s">
        <v>20</v>
      </c>
      <c r="B1745" s="1">
        <v>40403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</row>
    <row r="1746" spans="1:8" x14ac:dyDescent="0.3">
      <c r="A1746" t="s">
        <v>20</v>
      </c>
      <c r="B1746" s="1">
        <v>40410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</row>
    <row r="1747" spans="1:8" x14ac:dyDescent="0.3">
      <c r="A1747" t="s">
        <v>20</v>
      </c>
      <c r="B1747" s="1">
        <v>40417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</row>
    <row r="1748" spans="1:8" x14ac:dyDescent="0.3">
      <c r="A1748" t="s">
        <v>20</v>
      </c>
      <c r="B1748" s="1">
        <v>40424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</row>
    <row r="1749" spans="1:8" x14ac:dyDescent="0.3">
      <c r="A1749" t="s">
        <v>20</v>
      </c>
      <c r="B1749" s="1">
        <v>40431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</row>
    <row r="1750" spans="1:8" x14ac:dyDescent="0.3">
      <c r="A1750" t="s">
        <v>20</v>
      </c>
      <c r="B1750" s="1">
        <v>40438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</row>
    <row r="1751" spans="1:8" x14ac:dyDescent="0.3">
      <c r="A1751" t="s">
        <v>20</v>
      </c>
      <c r="B1751" s="1">
        <v>40445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</row>
    <row r="1752" spans="1:8" x14ac:dyDescent="0.3">
      <c r="A1752" t="s">
        <v>20</v>
      </c>
      <c r="B1752" s="1">
        <v>40452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</row>
    <row r="1753" spans="1:8" x14ac:dyDescent="0.3">
      <c r="A1753" t="s">
        <v>20</v>
      </c>
      <c r="B1753" s="1">
        <v>40459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</row>
    <row r="1754" spans="1:8" x14ac:dyDescent="0.3">
      <c r="A1754" t="s">
        <v>20</v>
      </c>
      <c r="B1754" s="1">
        <v>40466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</row>
    <row r="1755" spans="1:8" x14ac:dyDescent="0.3">
      <c r="A1755" t="s">
        <v>20</v>
      </c>
      <c r="B1755" s="1">
        <v>40473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</row>
    <row r="1756" spans="1:8" x14ac:dyDescent="0.3">
      <c r="A1756" t="s">
        <v>20</v>
      </c>
      <c r="B1756" s="1">
        <v>40480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</row>
    <row r="1757" spans="1:8" x14ac:dyDescent="0.3">
      <c r="A1757" t="s">
        <v>20</v>
      </c>
      <c r="B1757" s="1">
        <v>40487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</row>
    <row r="1758" spans="1:8" x14ac:dyDescent="0.3">
      <c r="A1758" t="s">
        <v>20</v>
      </c>
      <c r="B1758" s="1">
        <v>40494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</row>
    <row r="1759" spans="1:8" x14ac:dyDescent="0.3">
      <c r="A1759" t="s">
        <v>20</v>
      </c>
      <c r="B1759" s="1">
        <v>40501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</row>
    <row r="1760" spans="1:8" x14ac:dyDescent="0.3">
      <c r="A1760" t="s">
        <v>20</v>
      </c>
      <c r="B1760" s="1">
        <v>40508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</row>
    <row r="1761" spans="1:8" x14ac:dyDescent="0.3">
      <c r="A1761" t="s">
        <v>20</v>
      </c>
      <c r="B1761" s="1">
        <v>40515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</row>
    <row r="1762" spans="1:8" x14ac:dyDescent="0.3">
      <c r="A1762" t="s">
        <v>20</v>
      </c>
      <c r="B1762" s="1">
        <v>40522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</row>
    <row r="1763" spans="1:8" x14ac:dyDescent="0.3">
      <c r="A1763" t="s">
        <v>20</v>
      </c>
      <c r="B1763" s="1">
        <v>40529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</row>
    <row r="1764" spans="1:8" x14ac:dyDescent="0.3">
      <c r="A1764" t="s">
        <v>20</v>
      </c>
      <c r="B1764" s="1">
        <v>40536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</row>
    <row r="1765" spans="1:8" x14ac:dyDescent="0.3">
      <c r="A1765" t="s">
        <v>20</v>
      </c>
      <c r="B1765" s="1">
        <v>40543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</row>
    <row r="1766" spans="1:8" x14ac:dyDescent="0.3">
      <c r="A1766" t="s">
        <v>20</v>
      </c>
      <c r="B1766" s="1">
        <v>40550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</row>
    <row r="1767" spans="1:8" x14ac:dyDescent="0.3">
      <c r="A1767" t="s">
        <v>20</v>
      </c>
      <c r="B1767" s="1">
        <v>40557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</row>
    <row r="1768" spans="1:8" x14ac:dyDescent="0.3">
      <c r="A1768" t="s">
        <v>20</v>
      </c>
      <c r="B1768" s="1">
        <v>40564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</row>
    <row r="1769" spans="1:8" x14ac:dyDescent="0.3">
      <c r="A1769" t="s">
        <v>20</v>
      </c>
      <c r="B1769" s="1">
        <v>40571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 x14ac:dyDescent="0.3">
      <c r="A1770" t="s">
        <v>20</v>
      </c>
      <c r="B1770" s="1">
        <v>40578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</row>
    <row r="1771" spans="1:8" x14ac:dyDescent="0.3">
      <c r="A1771" t="s">
        <v>20</v>
      </c>
      <c r="B1771" s="1">
        <v>40585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</row>
    <row r="1772" spans="1:8" x14ac:dyDescent="0.3">
      <c r="A1772" t="s">
        <v>20</v>
      </c>
      <c r="B1772" s="1">
        <v>40592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</row>
    <row r="1773" spans="1:8" x14ac:dyDescent="0.3">
      <c r="A1773" t="s">
        <v>20</v>
      </c>
      <c r="B1773" s="1">
        <v>40599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 x14ac:dyDescent="0.3">
      <c r="A1774" t="s">
        <v>20</v>
      </c>
      <c r="B1774" s="1">
        <v>40606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</row>
    <row r="1775" spans="1:8" x14ac:dyDescent="0.3">
      <c r="A1775" t="s">
        <v>20</v>
      </c>
      <c r="B1775" s="1">
        <v>40613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</row>
    <row r="1776" spans="1:8" x14ac:dyDescent="0.3">
      <c r="A1776" t="s">
        <v>20</v>
      </c>
      <c r="B1776" s="1">
        <v>40620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 x14ac:dyDescent="0.3">
      <c r="A1777" t="s">
        <v>20</v>
      </c>
      <c r="B1777" s="1">
        <v>40627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</row>
    <row r="1778" spans="1:8" x14ac:dyDescent="0.3">
      <c r="A1778" t="s">
        <v>20</v>
      </c>
      <c r="B1778" s="1">
        <v>40634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</row>
    <row r="1779" spans="1:8" x14ac:dyDescent="0.3">
      <c r="A1779" t="s">
        <v>20</v>
      </c>
      <c r="B1779" s="1">
        <v>40641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</row>
    <row r="1780" spans="1:8" x14ac:dyDescent="0.3">
      <c r="A1780" t="s">
        <v>20</v>
      </c>
      <c r="B1780" s="1">
        <v>40648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</row>
    <row r="1781" spans="1:8" x14ac:dyDescent="0.3">
      <c r="A1781" t="s">
        <v>20</v>
      </c>
      <c r="B1781" s="1">
        <v>40655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</row>
    <row r="1782" spans="1:8" x14ac:dyDescent="0.3">
      <c r="A1782" t="s">
        <v>20</v>
      </c>
      <c r="B1782" s="1">
        <v>40662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</row>
    <row r="1783" spans="1:8" x14ac:dyDescent="0.3">
      <c r="A1783" t="s">
        <v>20</v>
      </c>
      <c r="B1783" s="1">
        <v>40669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</row>
    <row r="1784" spans="1:8" x14ac:dyDescent="0.3">
      <c r="A1784" t="s">
        <v>20</v>
      </c>
      <c r="B1784" s="1">
        <v>40676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</row>
    <row r="1785" spans="1:8" x14ac:dyDescent="0.3">
      <c r="A1785" t="s">
        <v>20</v>
      </c>
      <c r="B1785" s="1">
        <v>40683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</row>
    <row r="1786" spans="1:8" x14ac:dyDescent="0.3">
      <c r="A1786" t="s">
        <v>20</v>
      </c>
      <c r="B1786" s="1">
        <v>40690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</row>
    <row r="1787" spans="1:8" x14ac:dyDescent="0.3">
      <c r="A1787" t="s">
        <v>20</v>
      </c>
      <c r="B1787" s="1">
        <v>40697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</row>
    <row r="1788" spans="1:8" x14ac:dyDescent="0.3">
      <c r="A1788" t="s">
        <v>20</v>
      </c>
      <c r="B1788" s="1">
        <v>40704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</row>
    <row r="1789" spans="1:8" x14ac:dyDescent="0.3">
      <c r="A1789" t="s">
        <v>20</v>
      </c>
      <c r="B1789" s="1">
        <v>40711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</row>
    <row r="1790" spans="1:8" x14ac:dyDescent="0.3">
      <c r="A1790" t="s">
        <v>20</v>
      </c>
      <c r="B1790" s="1">
        <v>40718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</row>
    <row r="1791" spans="1:8" x14ac:dyDescent="0.3">
      <c r="A1791" t="s">
        <v>20</v>
      </c>
      <c r="B1791" s="1">
        <v>40725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</row>
    <row r="1792" spans="1:8" x14ac:dyDescent="0.3">
      <c r="A1792" t="s">
        <v>20</v>
      </c>
      <c r="B1792" s="1">
        <v>40732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</row>
    <row r="1793" spans="1:8" x14ac:dyDescent="0.3">
      <c r="A1793" t="s">
        <v>20</v>
      </c>
      <c r="B1793" s="1">
        <v>40739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</row>
    <row r="1794" spans="1:8" x14ac:dyDescent="0.3">
      <c r="A1794" t="s">
        <v>20</v>
      </c>
      <c r="B1794" s="1">
        <v>40746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</row>
    <row r="1795" spans="1:8" x14ac:dyDescent="0.3">
      <c r="A1795" t="s">
        <v>20</v>
      </c>
      <c r="B1795" s="1">
        <v>40753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</row>
    <row r="1796" spans="1:8" x14ac:dyDescent="0.3">
      <c r="A1796" t="s">
        <v>20</v>
      </c>
      <c r="B1796" s="1">
        <v>40760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</row>
    <row r="1797" spans="1:8" x14ac:dyDescent="0.3">
      <c r="A1797" t="s">
        <v>20</v>
      </c>
      <c r="B1797" s="1">
        <v>40767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</row>
    <row r="1798" spans="1:8" x14ac:dyDescent="0.3">
      <c r="A1798" t="s">
        <v>20</v>
      </c>
      <c r="B1798" s="1">
        <v>40774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</row>
    <row r="1799" spans="1:8" x14ac:dyDescent="0.3">
      <c r="A1799" t="s">
        <v>20</v>
      </c>
      <c r="B1799" s="1">
        <v>40781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</row>
    <row r="1800" spans="1:8" x14ac:dyDescent="0.3">
      <c r="A1800" t="s">
        <v>20</v>
      </c>
      <c r="B1800" s="1">
        <v>40788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</row>
    <row r="1801" spans="1:8" x14ac:dyDescent="0.3">
      <c r="A1801" t="s">
        <v>20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</row>
    <row r="1802" spans="1:8" x14ac:dyDescent="0.3">
      <c r="A1802" t="s">
        <v>20</v>
      </c>
      <c r="B1802" s="1">
        <v>40802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</row>
    <row r="1803" spans="1:8" x14ac:dyDescent="0.3">
      <c r="A1803" t="s">
        <v>20</v>
      </c>
      <c r="B1803" s="1">
        <v>40809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</row>
    <row r="1804" spans="1:8" x14ac:dyDescent="0.3">
      <c r="A1804" t="s">
        <v>20</v>
      </c>
      <c r="B1804" s="1">
        <v>40816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</row>
    <row r="1805" spans="1:8" x14ac:dyDescent="0.3">
      <c r="A1805" t="s">
        <v>20</v>
      </c>
      <c r="B1805" s="1">
        <v>40823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</row>
    <row r="1806" spans="1:8" x14ac:dyDescent="0.3">
      <c r="A1806" t="s">
        <v>20</v>
      </c>
      <c r="B1806" s="1">
        <v>40830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</row>
    <row r="1807" spans="1:8" x14ac:dyDescent="0.3">
      <c r="A1807" t="s">
        <v>20</v>
      </c>
      <c r="B1807" s="1">
        <v>40837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</row>
    <row r="1808" spans="1:8" x14ac:dyDescent="0.3">
      <c r="A1808" t="s">
        <v>20</v>
      </c>
      <c r="B1808" s="1">
        <v>40844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</row>
    <row r="1809" spans="1:8" x14ac:dyDescent="0.3">
      <c r="A1809" t="s">
        <v>20</v>
      </c>
      <c r="B1809" s="1">
        <v>40851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</row>
    <row r="1810" spans="1:8" x14ac:dyDescent="0.3">
      <c r="A1810" t="s">
        <v>20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</row>
    <row r="1811" spans="1:8" x14ac:dyDescent="0.3">
      <c r="A1811" t="s">
        <v>20</v>
      </c>
      <c r="B1811" s="1">
        <v>40865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</row>
    <row r="1812" spans="1:8" x14ac:dyDescent="0.3">
      <c r="A1812" t="s">
        <v>20</v>
      </c>
      <c r="B1812" s="1">
        <v>40872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</row>
    <row r="1813" spans="1:8" x14ac:dyDescent="0.3">
      <c r="A1813" t="s">
        <v>20</v>
      </c>
      <c r="B1813" s="1">
        <v>40879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</row>
    <row r="1814" spans="1:8" x14ac:dyDescent="0.3">
      <c r="A1814" t="s">
        <v>20</v>
      </c>
      <c r="B1814" s="1">
        <v>40886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</row>
    <row r="1815" spans="1:8" x14ac:dyDescent="0.3">
      <c r="A1815" t="s">
        <v>20</v>
      </c>
      <c r="B1815" s="1">
        <v>40893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</row>
    <row r="1816" spans="1:8" x14ac:dyDescent="0.3">
      <c r="A1816" t="s">
        <v>20</v>
      </c>
      <c r="B1816" s="1">
        <v>40900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</row>
    <row r="1817" spans="1:8" x14ac:dyDescent="0.3">
      <c r="A1817" t="s">
        <v>20</v>
      </c>
      <c r="B1817" s="1">
        <v>40907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</row>
    <row r="1818" spans="1:8" x14ac:dyDescent="0.3">
      <c r="A1818" t="s">
        <v>20</v>
      </c>
      <c r="B1818" s="1">
        <v>40914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</row>
    <row r="1819" spans="1:8" x14ac:dyDescent="0.3">
      <c r="A1819" t="s">
        <v>20</v>
      </c>
      <c r="B1819" s="1">
        <v>40921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</row>
    <row r="1820" spans="1:8" x14ac:dyDescent="0.3">
      <c r="A1820" t="s">
        <v>20</v>
      </c>
      <c r="B1820" s="1">
        <v>40928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</row>
    <row r="1821" spans="1:8" x14ac:dyDescent="0.3">
      <c r="A1821" t="s">
        <v>20</v>
      </c>
      <c r="B1821" s="1">
        <v>40935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</row>
    <row r="1822" spans="1:8" x14ac:dyDescent="0.3">
      <c r="A1822" t="s">
        <v>20</v>
      </c>
      <c r="B1822" s="1">
        <v>40942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</row>
    <row r="1823" spans="1:8" x14ac:dyDescent="0.3">
      <c r="A1823" t="s">
        <v>20</v>
      </c>
      <c r="B1823" s="1">
        <v>40949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</row>
    <row r="1824" spans="1:8" x14ac:dyDescent="0.3">
      <c r="A1824" t="s">
        <v>20</v>
      </c>
      <c r="B1824" s="1">
        <v>40956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</row>
    <row r="1825" spans="1:8" x14ac:dyDescent="0.3">
      <c r="A1825" t="s">
        <v>20</v>
      </c>
      <c r="B1825" s="1">
        <v>40963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</row>
    <row r="1826" spans="1:8" x14ac:dyDescent="0.3">
      <c r="A1826" t="s">
        <v>20</v>
      </c>
      <c r="B1826" s="1">
        <v>40970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</row>
    <row r="1827" spans="1:8" x14ac:dyDescent="0.3">
      <c r="A1827" t="s">
        <v>20</v>
      </c>
      <c r="B1827" s="1">
        <v>40977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</row>
    <row r="1828" spans="1:8" x14ac:dyDescent="0.3">
      <c r="A1828" t="s">
        <v>20</v>
      </c>
      <c r="B1828" s="1">
        <v>40984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</row>
    <row r="1829" spans="1:8" x14ac:dyDescent="0.3">
      <c r="A1829" t="s">
        <v>20</v>
      </c>
      <c r="B1829" s="1">
        <v>40991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</row>
    <row r="1830" spans="1:8" x14ac:dyDescent="0.3">
      <c r="A1830" t="s">
        <v>20</v>
      </c>
      <c r="B1830" s="1">
        <v>40998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</row>
    <row r="1831" spans="1:8" x14ac:dyDescent="0.3">
      <c r="A1831" t="s">
        <v>20</v>
      </c>
      <c r="B1831" s="1">
        <v>41005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</row>
    <row r="1832" spans="1:8" x14ac:dyDescent="0.3">
      <c r="A1832" t="s">
        <v>20</v>
      </c>
      <c r="B1832" s="1">
        <v>41012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</row>
    <row r="1833" spans="1:8" x14ac:dyDescent="0.3">
      <c r="A1833" t="s">
        <v>20</v>
      </c>
      <c r="B1833" s="1">
        <v>41019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</row>
    <row r="1834" spans="1:8" x14ac:dyDescent="0.3">
      <c r="A1834" t="s">
        <v>20</v>
      </c>
      <c r="B1834" s="1">
        <v>41026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</row>
    <row r="1835" spans="1:8" x14ac:dyDescent="0.3">
      <c r="A1835" t="s">
        <v>20</v>
      </c>
      <c r="B1835" s="1">
        <v>41033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</row>
    <row r="1836" spans="1:8" x14ac:dyDescent="0.3">
      <c r="A1836" t="s">
        <v>20</v>
      </c>
      <c r="B1836" s="1">
        <v>41040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</row>
    <row r="1837" spans="1:8" x14ac:dyDescent="0.3">
      <c r="A1837" t="s">
        <v>20</v>
      </c>
      <c r="B1837" s="1">
        <v>41047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</row>
    <row r="1838" spans="1:8" x14ac:dyDescent="0.3">
      <c r="A1838" t="s">
        <v>20</v>
      </c>
      <c r="B1838" s="1">
        <v>41054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</row>
    <row r="1839" spans="1:8" x14ac:dyDescent="0.3">
      <c r="A1839" t="s">
        <v>20</v>
      </c>
      <c r="B1839" s="1">
        <v>41061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</row>
    <row r="1840" spans="1:8" x14ac:dyDescent="0.3">
      <c r="A1840" t="s">
        <v>20</v>
      </c>
      <c r="B1840" s="1">
        <v>41068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</row>
    <row r="1841" spans="1:8" x14ac:dyDescent="0.3">
      <c r="A1841" t="s">
        <v>20</v>
      </c>
      <c r="B1841" s="1">
        <v>41075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</row>
    <row r="1842" spans="1:8" x14ac:dyDescent="0.3">
      <c r="A1842" t="s">
        <v>20</v>
      </c>
      <c r="B1842" s="1">
        <v>41082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</row>
    <row r="1843" spans="1:8" x14ac:dyDescent="0.3">
      <c r="A1843" t="s">
        <v>20</v>
      </c>
      <c r="B1843" s="1">
        <v>41089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</row>
    <row r="1844" spans="1:8" x14ac:dyDescent="0.3">
      <c r="A1844" t="s">
        <v>20</v>
      </c>
      <c r="B1844" s="1">
        <v>41096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</row>
    <row r="1845" spans="1:8" x14ac:dyDescent="0.3">
      <c r="A1845" t="s">
        <v>20</v>
      </c>
      <c r="B1845" s="1">
        <v>41103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</row>
    <row r="1846" spans="1:8" x14ac:dyDescent="0.3">
      <c r="A1846" t="s">
        <v>20</v>
      </c>
      <c r="B1846" s="1">
        <v>41110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</row>
    <row r="1847" spans="1:8" x14ac:dyDescent="0.3">
      <c r="A1847" t="s">
        <v>20</v>
      </c>
      <c r="B1847" s="1">
        <v>41117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</row>
    <row r="1848" spans="1:8" x14ac:dyDescent="0.3">
      <c r="A1848" t="s">
        <v>20</v>
      </c>
      <c r="B1848" s="1">
        <v>41124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</row>
    <row r="1849" spans="1:8" x14ac:dyDescent="0.3">
      <c r="A1849" t="s">
        <v>20</v>
      </c>
      <c r="B1849" s="1">
        <v>41131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</row>
    <row r="1850" spans="1:8" x14ac:dyDescent="0.3">
      <c r="A1850" t="s">
        <v>20</v>
      </c>
      <c r="B1850" s="1">
        <v>41138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</row>
    <row r="1851" spans="1:8" x14ac:dyDescent="0.3">
      <c r="A1851" t="s">
        <v>20</v>
      </c>
      <c r="B1851" s="1">
        <v>41145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</row>
    <row r="1852" spans="1:8" x14ac:dyDescent="0.3">
      <c r="A1852" t="s">
        <v>20</v>
      </c>
      <c r="B1852" s="1">
        <v>41152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</row>
    <row r="1853" spans="1:8" x14ac:dyDescent="0.3">
      <c r="A1853" t="s">
        <v>20</v>
      </c>
      <c r="B1853" s="1">
        <v>41159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</row>
    <row r="1854" spans="1:8" x14ac:dyDescent="0.3">
      <c r="A1854" t="s">
        <v>20</v>
      </c>
      <c r="B1854" s="1">
        <v>41166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</row>
    <row r="1855" spans="1:8" x14ac:dyDescent="0.3">
      <c r="A1855" t="s">
        <v>20</v>
      </c>
      <c r="B1855" s="1">
        <v>41173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</row>
    <row r="1856" spans="1:8" x14ac:dyDescent="0.3">
      <c r="A1856" t="s">
        <v>20</v>
      </c>
      <c r="B1856" s="1">
        <v>41180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</row>
    <row r="1857" spans="1:8" x14ac:dyDescent="0.3">
      <c r="A1857" t="s">
        <v>20</v>
      </c>
      <c r="B1857" s="1">
        <v>41187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</row>
    <row r="1858" spans="1:8" x14ac:dyDescent="0.3">
      <c r="A1858" t="s">
        <v>20</v>
      </c>
      <c r="B1858" s="1">
        <v>41194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</row>
    <row r="1859" spans="1:8" x14ac:dyDescent="0.3">
      <c r="A1859" t="s">
        <v>20</v>
      </c>
      <c r="B1859" s="1">
        <v>41201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</row>
    <row r="1860" spans="1:8" x14ac:dyDescent="0.3">
      <c r="A1860" t="s">
        <v>20</v>
      </c>
      <c r="B1860" s="1">
        <v>41208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</row>
    <row r="1861" spans="1:8" x14ac:dyDescent="0.3">
      <c r="A1861" t="s">
        <v>21</v>
      </c>
      <c r="B1861" s="1">
        <v>40214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</row>
    <row r="1862" spans="1:8" x14ac:dyDescent="0.3">
      <c r="A1862" t="s">
        <v>21</v>
      </c>
      <c r="B1862" s="1">
        <v>40221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</row>
    <row r="1863" spans="1:8" x14ac:dyDescent="0.3">
      <c r="A1863" t="s">
        <v>21</v>
      </c>
      <c r="B1863" s="1">
        <v>40228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</row>
    <row r="1864" spans="1:8" x14ac:dyDescent="0.3">
      <c r="A1864" t="s">
        <v>21</v>
      </c>
      <c r="B1864" s="1">
        <v>40235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</row>
    <row r="1865" spans="1:8" x14ac:dyDescent="0.3">
      <c r="A1865" t="s">
        <v>21</v>
      </c>
      <c r="B1865" s="1">
        <v>40242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</row>
    <row r="1866" spans="1:8" x14ac:dyDescent="0.3">
      <c r="A1866" t="s">
        <v>21</v>
      </c>
      <c r="B1866" s="1">
        <v>40249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</row>
    <row r="1867" spans="1:8" x14ac:dyDescent="0.3">
      <c r="A1867" t="s">
        <v>21</v>
      </c>
      <c r="B1867" s="1">
        <v>40256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</row>
    <row r="1868" spans="1:8" x14ac:dyDescent="0.3">
      <c r="A1868" t="s">
        <v>21</v>
      </c>
      <c r="B1868" s="1">
        <v>40263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</row>
    <row r="1869" spans="1:8" x14ac:dyDescent="0.3">
      <c r="A1869" t="s">
        <v>21</v>
      </c>
      <c r="B1869" s="1">
        <v>40270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</row>
    <row r="1870" spans="1:8" x14ac:dyDescent="0.3">
      <c r="A1870" t="s">
        <v>21</v>
      </c>
      <c r="B1870" s="1">
        <v>40277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</row>
    <row r="1871" spans="1:8" x14ac:dyDescent="0.3">
      <c r="A1871" t="s">
        <v>21</v>
      </c>
      <c r="B1871" s="1">
        <v>40284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</row>
    <row r="1872" spans="1:8" x14ac:dyDescent="0.3">
      <c r="A1872" t="s">
        <v>21</v>
      </c>
      <c r="B1872" s="1">
        <v>40291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</row>
    <row r="1873" spans="1:8" x14ac:dyDescent="0.3">
      <c r="A1873" t="s">
        <v>21</v>
      </c>
      <c r="B1873" s="1">
        <v>40298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</row>
    <row r="1874" spans="1:8" x14ac:dyDescent="0.3">
      <c r="A1874" t="s">
        <v>21</v>
      </c>
      <c r="B1874" s="1">
        <v>40305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</row>
    <row r="1875" spans="1:8" x14ac:dyDescent="0.3">
      <c r="A1875" t="s">
        <v>21</v>
      </c>
      <c r="B1875" s="1">
        <v>40312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</row>
    <row r="1876" spans="1:8" x14ac:dyDescent="0.3">
      <c r="A1876" t="s">
        <v>21</v>
      </c>
      <c r="B1876" s="1">
        <v>40319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</row>
    <row r="1877" spans="1:8" x14ac:dyDescent="0.3">
      <c r="A1877" t="s">
        <v>21</v>
      </c>
      <c r="B1877" s="1">
        <v>40326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</row>
    <row r="1878" spans="1:8" x14ac:dyDescent="0.3">
      <c r="A1878" t="s">
        <v>21</v>
      </c>
      <c r="B1878" s="1">
        <v>40333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</row>
    <row r="1879" spans="1:8" x14ac:dyDescent="0.3">
      <c r="A1879" t="s">
        <v>21</v>
      </c>
      <c r="B1879" s="1">
        <v>40340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</row>
    <row r="1880" spans="1:8" x14ac:dyDescent="0.3">
      <c r="A1880" t="s">
        <v>21</v>
      </c>
      <c r="B1880" s="1">
        <v>40347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</row>
    <row r="1881" spans="1:8" x14ac:dyDescent="0.3">
      <c r="A1881" t="s">
        <v>21</v>
      </c>
      <c r="B1881" s="1">
        <v>40354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</row>
    <row r="1882" spans="1:8" x14ac:dyDescent="0.3">
      <c r="A1882" t="s">
        <v>21</v>
      </c>
      <c r="B1882" s="1">
        <v>40361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</row>
    <row r="1883" spans="1:8" x14ac:dyDescent="0.3">
      <c r="A1883" t="s">
        <v>21</v>
      </c>
      <c r="B1883" s="1">
        <v>40368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</row>
    <row r="1884" spans="1:8" x14ac:dyDescent="0.3">
      <c r="A1884" t="s">
        <v>21</v>
      </c>
      <c r="B1884" s="1">
        <v>40375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</row>
    <row r="1885" spans="1:8" x14ac:dyDescent="0.3">
      <c r="A1885" t="s">
        <v>21</v>
      </c>
      <c r="B1885" s="1">
        <v>40382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</row>
    <row r="1886" spans="1:8" x14ac:dyDescent="0.3">
      <c r="A1886" t="s">
        <v>21</v>
      </c>
      <c r="B1886" s="1">
        <v>40389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</row>
    <row r="1887" spans="1:8" x14ac:dyDescent="0.3">
      <c r="A1887" t="s">
        <v>21</v>
      </c>
      <c r="B1887" s="1">
        <v>40396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</row>
    <row r="1888" spans="1:8" x14ac:dyDescent="0.3">
      <c r="A1888" t="s">
        <v>21</v>
      </c>
      <c r="B1888" s="1">
        <v>40403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</row>
    <row r="1889" spans="1:8" x14ac:dyDescent="0.3">
      <c r="A1889" t="s">
        <v>21</v>
      </c>
      <c r="B1889" s="1">
        <v>40410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</row>
    <row r="1890" spans="1:8" x14ac:dyDescent="0.3">
      <c r="A1890" t="s">
        <v>21</v>
      </c>
      <c r="B1890" s="1">
        <v>40417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</row>
    <row r="1891" spans="1:8" x14ac:dyDescent="0.3">
      <c r="A1891" t="s">
        <v>21</v>
      </c>
      <c r="B1891" s="1">
        <v>40424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</row>
    <row r="1892" spans="1:8" x14ac:dyDescent="0.3">
      <c r="A1892" t="s">
        <v>21</v>
      </c>
      <c r="B1892" s="1">
        <v>40431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</row>
    <row r="1893" spans="1:8" x14ac:dyDescent="0.3">
      <c r="A1893" t="s">
        <v>21</v>
      </c>
      <c r="B1893" s="1">
        <v>40438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</row>
    <row r="1894" spans="1:8" x14ac:dyDescent="0.3">
      <c r="A1894" t="s">
        <v>21</v>
      </c>
      <c r="B1894" s="1">
        <v>40445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</row>
    <row r="1895" spans="1:8" x14ac:dyDescent="0.3">
      <c r="A1895" t="s">
        <v>21</v>
      </c>
      <c r="B1895" s="1">
        <v>40452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</row>
    <row r="1896" spans="1:8" x14ac:dyDescent="0.3">
      <c r="A1896" t="s">
        <v>21</v>
      </c>
      <c r="B1896" s="1">
        <v>40459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</row>
    <row r="1897" spans="1:8" x14ac:dyDescent="0.3">
      <c r="A1897" t="s">
        <v>21</v>
      </c>
      <c r="B1897" s="1">
        <v>40466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</row>
    <row r="1898" spans="1:8" x14ac:dyDescent="0.3">
      <c r="A1898" t="s">
        <v>21</v>
      </c>
      <c r="B1898" s="1">
        <v>40473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</row>
    <row r="1899" spans="1:8" x14ac:dyDescent="0.3">
      <c r="A1899" t="s">
        <v>21</v>
      </c>
      <c r="B1899" s="1">
        <v>40480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</row>
    <row r="1900" spans="1:8" x14ac:dyDescent="0.3">
      <c r="A1900" t="s">
        <v>21</v>
      </c>
      <c r="B1900" s="1">
        <v>40487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</row>
    <row r="1901" spans="1:8" x14ac:dyDescent="0.3">
      <c r="A1901" t="s">
        <v>21</v>
      </c>
      <c r="B1901" s="1">
        <v>40494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</row>
    <row r="1902" spans="1:8" x14ac:dyDescent="0.3">
      <c r="A1902" t="s">
        <v>21</v>
      </c>
      <c r="B1902" s="1">
        <v>40501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</row>
    <row r="1903" spans="1:8" x14ac:dyDescent="0.3">
      <c r="A1903" t="s">
        <v>21</v>
      </c>
      <c r="B1903" s="1">
        <v>40508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</row>
    <row r="1904" spans="1:8" x14ac:dyDescent="0.3">
      <c r="A1904" t="s">
        <v>21</v>
      </c>
      <c r="B1904" s="1">
        <v>40515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</row>
    <row r="1905" spans="1:8" x14ac:dyDescent="0.3">
      <c r="A1905" t="s">
        <v>21</v>
      </c>
      <c r="B1905" s="1">
        <v>40522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</row>
    <row r="1906" spans="1:8" x14ac:dyDescent="0.3">
      <c r="A1906" t="s">
        <v>21</v>
      </c>
      <c r="B1906" s="1">
        <v>40529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</row>
    <row r="1907" spans="1:8" x14ac:dyDescent="0.3">
      <c r="A1907" t="s">
        <v>21</v>
      </c>
      <c r="B1907" s="1">
        <v>40536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</row>
    <row r="1908" spans="1:8" x14ac:dyDescent="0.3">
      <c r="A1908" t="s">
        <v>21</v>
      </c>
      <c r="B1908" s="1">
        <v>40543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</row>
    <row r="1909" spans="1:8" x14ac:dyDescent="0.3">
      <c r="A1909" t="s">
        <v>21</v>
      </c>
      <c r="B1909" s="1">
        <v>40550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</row>
    <row r="1910" spans="1:8" x14ac:dyDescent="0.3">
      <c r="A1910" t="s">
        <v>21</v>
      </c>
      <c r="B1910" s="1">
        <v>40557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</row>
    <row r="1911" spans="1:8" x14ac:dyDescent="0.3">
      <c r="A1911" t="s">
        <v>21</v>
      </c>
      <c r="B1911" s="1">
        <v>40564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</row>
    <row r="1912" spans="1:8" x14ac:dyDescent="0.3">
      <c r="A1912" t="s">
        <v>21</v>
      </c>
      <c r="B1912" s="1">
        <v>40571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</row>
    <row r="1913" spans="1:8" x14ac:dyDescent="0.3">
      <c r="A1913" t="s">
        <v>21</v>
      </c>
      <c r="B1913" s="1">
        <v>40578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</row>
    <row r="1914" spans="1:8" x14ac:dyDescent="0.3">
      <c r="A1914" t="s">
        <v>21</v>
      </c>
      <c r="B1914" s="1">
        <v>40585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</row>
    <row r="1915" spans="1:8" x14ac:dyDescent="0.3">
      <c r="A1915" t="s">
        <v>21</v>
      </c>
      <c r="B1915" s="1">
        <v>40592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</row>
    <row r="1916" spans="1:8" x14ac:dyDescent="0.3">
      <c r="A1916" t="s">
        <v>21</v>
      </c>
      <c r="B1916" s="1">
        <v>40599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</row>
    <row r="1917" spans="1:8" x14ac:dyDescent="0.3">
      <c r="A1917" t="s">
        <v>21</v>
      </c>
      <c r="B1917" s="1">
        <v>40606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</row>
    <row r="1918" spans="1:8" x14ac:dyDescent="0.3">
      <c r="A1918" t="s">
        <v>21</v>
      </c>
      <c r="B1918" s="1">
        <v>40613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</row>
    <row r="1919" spans="1:8" x14ac:dyDescent="0.3">
      <c r="A1919" t="s">
        <v>21</v>
      </c>
      <c r="B1919" s="1">
        <v>40620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</row>
    <row r="1920" spans="1:8" x14ac:dyDescent="0.3">
      <c r="A1920" t="s">
        <v>21</v>
      </c>
      <c r="B1920" s="1">
        <v>40627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</row>
    <row r="1921" spans="1:8" x14ac:dyDescent="0.3">
      <c r="A1921" t="s">
        <v>21</v>
      </c>
      <c r="B1921" s="1">
        <v>40634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</row>
    <row r="1922" spans="1:8" x14ac:dyDescent="0.3">
      <c r="A1922" t="s">
        <v>21</v>
      </c>
      <c r="B1922" s="1">
        <v>40641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</row>
    <row r="1923" spans="1:8" x14ac:dyDescent="0.3">
      <c r="A1923" t="s">
        <v>21</v>
      </c>
      <c r="B1923" s="1">
        <v>40648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</row>
    <row r="1924" spans="1:8" x14ac:dyDescent="0.3">
      <c r="A1924" t="s">
        <v>21</v>
      </c>
      <c r="B1924" s="1">
        <v>40655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</row>
    <row r="1925" spans="1:8" x14ac:dyDescent="0.3">
      <c r="A1925" t="s">
        <v>21</v>
      </c>
      <c r="B1925" s="1">
        <v>40662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</row>
    <row r="1926" spans="1:8" x14ac:dyDescent="0.3">
      <c r="A1926" t="s">
        <v>21</v>
      </c>
      <c r="B1926" s="1">
        <v>40669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</row>
    <row r="1927" spans="1:8" x14ac:dyDescent="0.3">
      <c r="A1927" t="s">
        <v>21</v>
      </c>
      <c r="B1927" s="1">
        <v>40676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</row>
    <row r="1928" spans="1:8" x14ac:dyDescent="0.3">
      <c r="A1928" t="s">
        <v>21</v>
      </c>
      <c r="B1928" s="1">
        <v>40683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</row>
    <row r="1929" spans="1:8" x14ac:dyDescent="0.3">
      <c r="A1929" t="s">
        <v>21</v>
      </c>
      <c r="B1929" s="1">
        <v>40690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</row>
    <row r="1930" spans="1:8" x14ac:dyDescent="0.3">
      <c r="A1930" t="s">
        <v>21</v>
      </c>
      <c r="B1930" s="1">
        <v>40697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</row>
    <row r="1931" spans="1:8" x14ac:dyDescent="0.3">
      <c r="A1931" t="s">
        <v>21</v>
      </c>
      <c r="B1931" s="1">
        <v>40704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</row>
    <row r="1932" spans="1:8" x14ac:dyDescent="0.3">
      <c r="A1932" t="s">
        <v>21</v>
      </c>
      <c r="B1932" s="1">
        <v>40711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</row>
    <row r="1933" spans="1:8" x14ac:dyDescent="0.3">
      <c r="A1933" t="s">
        <v>21</v>
      </c>
      <c r="B1933" s="1">
        <v>40718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</row>
    <row r="1934" spans="1:8" x14ac:dyDescent="0.3">
      <c r="A1934" t="s">
        <v>21</v>
      </c>
      <c r="B1934" s="1">
        <v>40725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</row>
    <row r="1935" spans="1:8" x14ac:dyDescent="0.3">
      <c r="A1935" t="s">
        <v>21</v>
      </c>
      <c r="B1935" s="1">
        <v>40732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</row>
    <row r="1936" spans="1:8" x14ac:dyDescent="0.3">
      <c r="A1936" t="s">
        <v>21</v>
      </c>
      <c r="B1936" s="1">
        <v>40739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</row>
    <row r="1937" spans="1:8" x14ac:dyDescent="0.3">
      <c r="A1937" t="s">
        <v>21</v>
      </c>
      <c r="B1937" s="1">
        <v>40746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</row>
    <row r="1938" spans="1:8" x14ac:dyDescent="0.3">
      <c r="A1938" t="s">
        <v>21</v>
      </c>
      <c r="B1938" s="1">
        <v>40753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</row>
    <row r="1939" spans="1:8" x14ac:dyDescent="0.3">
      <c r="A1939" t="s">
        <v>21</v>
      </c>
      <c r="B1939" s="1">
        <v>40760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</row>
    <row r="1940" spans="1:8" x14ac:dyDescent="0.3">
      <c r="A1940" t="s">
        <v>21</v>
      </c>
      <c r="B1940" s="1">
        <v>40767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</row>
    <row r="1941" spans="1:8" x14ac:dyDescent="0.3">
      <c r="A1941" t="s">
        <v>21</v>
      </c>
      <c r="B1941" s="1">
        <v>40774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</row>
    <row r="1942" spans="1:8" x14ac:dyDescent="0.3">
      <c r="A1942" t="s">
        <v>21</v>
      </c>
      <c r="B1942" s="1">
        <v>40781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</row>
    <row r="1943" spans="1:8" x14ac:dyDescent="0.3">
      <c r="A1943" t="s">
        <v>21</v>
      </c>
      <c r="B1943" s="1">
        <v>40788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</row>
    <row r="1944" spans="1:8" x14ac:dyDescent="0.3">
      <c r="A1944" t="s">
        <v>21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</row>
    <row r="1945" spans="1:8" x14ac:dyDescent="0.3">
      <c r="A1945" t="s">
        <v>21</v>
      </c>
      <c r="B1945" s="1">
        <v>40802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</row>
    <row r="1946" spans="1:8" x14ac:dyDescent="0.3">
      <c r="A1946" t="s">
        <v>21</v>
      </c>
      <c r="B1946" s="1">
        <v>40809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</row>
    <row r="1947" spans="1:8" x14ac:dyDescent="0.3">
      <c r="A1947" t="s">
        <v>21</v>
      </c>
      <c r="B1947" s="1">
        <v>40816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</row>
    <row r="1948" spans="1:8" x14ac:dyDescent="0.3">
      <c r="A1948" t="s">
        <v>21</v>
      </c>
      <c r="B1948" s="1">
        <v>40823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</row>
    <row r="1949" spans="1:8" x14ac:dyDescent="0.3">
      <c r="A1949" t="s">
        <v>21</v>
      </c>
      <c r="B1949" s="1">
        <v>40830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</row>
    <row r="1950" spans="1:8" x14ac:dyDescent="0.3">
      <c r="A1950" t="s">
        <v>21</v>
      </c>
      <c r="B1950" s="1">
        <v>40837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</row>
    <row r="1951" spans="1:8" x14ac:dyDescent="0.3">
      <c r="A1951" t="s">
        <v>21</v>
      </c>
      <c r="B1951" s="1">
        <v>40844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</row>
    <row r="1952" spans="1:8" x14ac:dyDescent="0.3">
      <c r="A1952" t="s">
        <v>21</v>
      </c>
      <c r="B1952" s="1">
        <v>40851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</row>
    <row r="1953" spans="1:8" x14ac:dyDescent="0.3">
      <c r="A1953" t="s">
        <v>21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</row>
    <row r="1954" spans="1:8" x14ac:dyDescent="0.3">
      <c r="A1954" t="s">
        <v>21</v>
      </c>
      <c r="B1954" s="1">
        <v>40865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</row>
    <row r="1955" spans="1:8" x14ac:dyDescent="0.3">
      <c r="A1955" t="s">
        <v>21</v>
      </c>
      <c r="B1955" s="1">
        <v>40872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</row>
    <row r="1956" spans="1:8" x14ac:dyDescent="0.3">
      <c r="A1956" t="s">
        <v>21</v>
      </c>
      <c r="B1956" s="1">
        <v>40879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</row>
    <row r="1957" spans="1:8" x14ac:dyDescent="0.3">
      <c r="A1957" t="s">
        <v>21</v>
      </c>
      <c r="B1957" s="1">
        <v>40886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</row>
    <row r="1958" spans="1:8" x14ac:dyDescent="0.3">
      <c r="A1958" t="s">
        <v>21</v>
      </c>
      <c r="B1958" s="1">
        <v>40893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</row>
    <row r="1959" spans="1:8" x14ac:dyDescent="0.3">
      <c r="A1959" t="s">
        <v>21</v>
      </c>
      <c r="B1959" s="1">
        <v>40900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</row>
    <row r="1960" spans="1:8" x14ac:dyDescent="0.3">
      <c r="A1960" t="s">
        <v>21</v>
      </c>
      <c r="B1960" s="1">
        <v>40907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</row>
    <row r="1961" spans="1:8" x14ac:dyDescent="0.3">
      <c r="A1961" t="s">
        <v>21</v>
      </c>
      <c r="B1961" s="1">
        <v>40914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</row>
    <row r="1962" spans="1:8" x14ac:dyDescent="0.3">
      <c r="A1962" t="s">
        <v>21</v>
      </c>
      <c r="B1962" s="1">
        <v>40921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</row>
    <row r="1963" spans="1:8" x14ac:dyDescent="0.3">
      <c r="A1963" t="s">
        <v>21</v>
      </c>
      <c r="B1963" s="1">
        <v>40928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</row>
    <row r="1964" spans="1:8" x14ac:dyDescent="0.3">
      <c r="A1964" t="s">
        <v>21</v>
      </c>
      <c r="B1964" s="1">
        <v>40935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</row>
    <row r="1965" spans="1:8" x14ac:dyDescent="0.3">
      <c r="A1965" t="s">
        <v>21</v>
      </c>
      <c r="B1965" s="1">
        <v>40942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</row>
    <row r="1966" spans="1:8" x14ac:dyDescent="0.3">
      <c r="A1966" t="s">
        <v>21</v>
      </c>
      <c r="B1966" s="1">
        <v>40949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</row>
    <row r="1967" spans="1:8" x14ac:dyDescent="0.3">
      <c r="A1967" t="s">
        <v>21</v>
      </c>
      <c r="B1967" s="1">
        <v>40956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</row>
    <row r="1968" spans="1:8" x14ac:dyDescent="0.3">
      <c r="A1968" t="s">
        <v>21</v>
      </c>
      <c r="B1968" s="1">
        <v>40963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</row>
    <row r="1969" spans="1:8" x14ac:dyDescent="0.3">
      <c r="A1969" t="s">
        <v>21</v>
      </c>
      <c r="B1969" s="1">
        <v>40970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</row>
    <row r="1970" spans="1:8" x14ac:dyDescent="0.3">
      <c r="A1970" t="s">
        <v>21</v>
      </c>
      <c r="B1970" s="1">
        <v>40977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</row>
    <row r="1971" spans="1:8" x14ac:dyDescent="0.3">
      <c r="A1971" t="s">
        <v>21</v>
      </c>
      <c r="B1971" s="1">
        <v>40984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</row>
    <row r="1972" spans="1:8" x14ac:dyDescent="0.3">
      <c r="A1972" t="s">
        <v>21</v>
      </c>
      <c r="B1972" s="1">
        <v>40991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</row>
    <row r="1973" spans="1:8" x14ac:dyDescent="0.3">
      <c r="A1973" t="s">
        <v>21</v>
      </c>
      <c r="B1973" s="1">
        <v>40998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</row>
    <row r="1974" spans="1:8" x14ac:dyDescent="0.3">
      <c r="A1974" t="s">
        <v>21</v>
      </c>
      <c r="B1974" s="1">
        <v>41005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</row>
    <row r="1975" spans="1:8" x14ac:dyDescent="0.3">
      <c r="A1975" t="s">
        <v>21</v>
      </c>
      <c r="B1975" s="1">
        <v>41012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</row>
    <row r="1976" spans="1:8" x14ac:dyDescent="0.3">
      <c r="A1976" t="s">
        <v>21</v>
      </c>
      <c r="B1976" s="1">
        <v>41019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</row>
    <row r="1977" spans="1:8" x14ac:dyDescent="0.3">
      <c r="A1977" t="s">
        <v>21</v>
      </c>
      <c r="B1977" s="1">
        <v>41026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</row>
    <row r="1978" spans="1:8" x14ac:dyDescent="0.3">
      <c r="A1978" t="s">
        <v>21</v>
      </c>
      <c r="B1978" s="1">
        <v>41033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</row>
    <row r="1979" spans="1:8" x14ac:dyDescent="0.3">
      <c r="A1979" t="s">
        <v>21</v>
      </c>
      <c r="B1979" s="1">
        <v>41040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</row>
    <row r="1980" spans="1:8" x14ac:dyDescent="0.3">
      <c r="A1980" t="s">
        <v>21</v>
      </c>
      <c r="B1980" s="1">
        <v>41047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</row>
    <row r="1981" spans="1:8" x14ac:dyDescent="0.3">
      <c r="A1981" t="s">
        <v>21</v>
      </c>
      <c r="B1981" s="1">
        <v>41054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</row>
    <row r="1982" spans="1:8" x14ac:dyDescent="0.3">
      <c r="A1982" t="s">
        <v>21</v>
      </c>
      <c r="B1982" s="1">
        <v>41061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</row>
    <row r="1983" spans="1:8" x14ac:dyDescent="0.3">
      <c r="A1983" t="s">
        <v>21</v>
      </c>
      <c r="B1983" s="1">
        <v>41068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</row>
    <row r="1984" spans="1:8" x14ac:dyDescent="0.3">
      <c r="A1984" t="s">
        <v>21</v>
      </c>
      <c r="B1984" s="1">
        <v>41075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</row>
    <row r="1985" spans="1:8" x14ac:dyDescent="0.3">
      <c r="A1985" t="s">
        <v>21</v>
      </c>
      <c r="B1985" s="1">
        <v>41082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</row>
    <row r="1986" spans="1:8" x14ac:dyDescent="0.3">
      <c r="A1986" t="s">
        <v>21</v>
      </c>
      <c r="B1986" s="1">
        <v>41089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</row>
    <row r="1987" spans="1:8" x14ac:dyDescent="0.3">
      <c r="A1987" t="s">
        <v>21</v>
      </c>
      <c r="B1987" s="1">
        <v>41096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</row>
    <row r="1988" spans="1:8" x14ac:dyDescent="0.3">
      <c r="A1988" t="s">
        <v>21</v>
      </c>
      <c r="B1988" s="1">
        <v>41103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</row>
    <row r="1989" spans="1:8" x14ac:dyDescent="0.3">
      <c r="A1989" t="s">
        <v>21</v>
      </c>
      <c r="B1989" s="1">
        <v>41110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</row>
    <row r="1990" spans="1:8" x14ac:dyDescent="0.3">
      <c r="A1990" t="s">
        <v>21</v>
      </c>
      <c r="B1990" s="1">
        <v>41117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</row>
    <row r="1991" spans="1:8" x14ac:dyDescent="0.3">
      <c r="A1991" t="s">
        <v>21</v>
      </c>
      <c r="B1991" s="1">
        <v>41124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</row>
    <row r="1992" spans="1:8" x14ac:dyDescent="0.3">
      <c r="A1992" t="s">
        <v>21</v>
      </c>
      <c r="B1992" s="1">
        <v>41131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</row>
    <row r="1993" spans="1:8" x14ac:dyDescent="0.3">
      <c r="A1993" t="s">
        <v>21</v>
      </c>
      <c r="B1993" s="1">
        <v>41138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</row>
    <row r="1994" spans="1:8" x14ac:dyDescent="0.3">
      <c r="A1994" t="s">
        <v>21</v>
      </c>
      <c r="B1994" s="1">
        <v>41145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</row>
    <row r="1995" spans="1:8" x14ac:dyDescent="0.3">
      <c r="A1995" t="s">
        <v>21</v>
      </c>
      <c r="B1995" s="1">
        <v>41152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</row>
    <row r="1996" spans="1:8" x14ac:dyDescent="0.3">
      <c r="A1996" t="s">
        <v>21</v>
      </c>
      <c r="B1996" s="1">
        <v>41159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</row>
    <row r="1997" spans="1:8" x14ac:dyDescent="0.3">
      <c r="A1997" t="s">
        <v>21</v>
      </c>
      <c r="B1997" s="1">
        <v>41166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</row>
    <row r="1998" spans="1:8" x14ac:dyDescent="0.3">
      <c r="A1998" t="s">
        <v>21</v>
      </c>
      <c r="B1998" s="1">
        <v>41173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</row>
    <row r="1999" spans="1:8" x14ac:dyDescent="0.3">
      <c r="A1999" t="s">
        <v>21</v>
      </c>
      <c r="B1999" s="1">
        <v>41180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</row>
    <row r="2000" spans="1:8" x14ac:dyDescent="0.3">
      <c r="A2000" t="s">
        <v>21</v>
      </c>
      <c r="B2000" s="1">
        <v>41187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</row>
    <row r="2001" spans="1:8" x14ac:dyDescent="0.3">
      <c r="A2001" t="s">
        <v>21</v>
      </c>
      <c r="B2001" s="1">
        <v>41194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</row>
    <row r="2002" spans="1:8" x14ac:dyDescent="0.3">
      <c r="A2002" t="s">
        <v>21</v>
      </c>
      <c r="B2002" s="1">
        <v>41201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</row>
    <row r="2003" spans="1:8" x14ac:dyDescent="0.3">
      <c r="A2003" t="s">
        <v>21</v>
      </c>
      <c r="B2003" s="1">
        <v>41208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</row>
    <row r="2004" spans="1:8" x14ac:dyDescent="0.3">
      <c r="A2004" t="s">
        <v>22</v>
      </c>
      <c r="B2004" s="1">
        <v>40214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</row>
    <row r="2005" spans="1:8" x14ac:dyDescent="0.3">
      <c r="A2005" t="s">
        <v>22</v>
      </c>
      <c r="B2005" s="1">
        <v>40221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</row>
    <row r="2006" spans="1:8" x14ac:dyDescent="0.3">
      <c r="A2006" t="s">
        <v>22</v>
      </c>
      <c r="B2006" s="1">
        <v>40228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</row>
    <row r="2007" spans="1:8" x14ac:dyDescent="0.3">
      <c r="A2007" t="s">
        <v>22</v>
      </c>
      <c r="B2007" s="1">
        <v>40235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</row>
    <row r="2008" spans="1:8" x14ac:dyDescent="0.3">
      <c r="A2008" t="s">
        <v>22</v>
      </c>
      <c r="B2008" s="1">
        <v>40242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</row>
    <row r="2009" spans="1:8" x14ac:dyDescent="0.3">
      <c r="A2009" t="s">
        <v>22</v>
      </c>
      <c r="B2009" s="1">
        <v>40249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</row>
    <row r="2010" spans="1:8" x14ac:dyDescent="0.3">
      <c r="A2010" t="s">
        <v>22</v>
      </c>
      <c r="B2010" s="1">
        <v>40256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 x14ac:dyDescent="0.3">
      <c r="A2011" t="s">
        <v>22</v>
      </c>
      <c r="B2011" s="1">
        <v>40263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</row>
    <row r="2012" spans="1:8" x14ac:dyDescent="0.3">
      <c r="A2012" t="s">
        <v>22</v>
      </c>
      <c r="B2012" s="1">
        <v>40270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</row>
    <row r="2013" spans="1:8" x14ac:dyDescent="0.3">
      <c r="A2013" t="s">
        <v>22</v>
      </c>
      <c r="B2013" s="1">
        <v>40277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</row>
    <row r="2014" spans="1:8" x14ac:dyDescent="0.3">
      <c r="A2014" t="s">
        <v>22</v>
      </c>
      <c r="B2014" s="1">
        <v>40284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</row>
    <row r="2015" spans="1:8" x14ac:dyDescent="0.3">
      <c r="A2015" t="s">
        <v>22</v>
      </c>
      <c r="B2015" s="1">
        <v>40291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</row>
    <row r="2016" spans="1:8" x14ac:dyDescent="0.3">
      <c r="A2016" t="s">
        <v>22</v>
      </c>
      <c r="B2016" s="1">
        <v>40298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</row>
    <row r="2017" spans="1:8" x14ac:dyDescent="0.3">
      <c r="A2017" t="s">
        <v>22</v>
      </c>
      <c r="B2017" s="1">
        <v>40305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</row>
    <row r="2018" spans="1:8" x14ac:dyDescent="0.3">
      <c r="A2018" t="s">
        <v>22</v>
      </c>
      <c r="B2018" s="1">
        <v>40312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</row>
    <row r="2019" spans="1:8" x14ac:dyDescent="0.3">
      <c r="A2019" t="s">
        <v>22</v>
      </c>
      <c r="B2019" s="1">
        <v>40319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</row>
    <row r="2020" spans="1:8" x14ac:dyDescent="0.3">
      <c r="A2020" t="s">
        <v>22</v>
      </c>
      <c r="B2020" s="1">
        <v>40326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</row>
    <row r="2021" spans="1:8" x14ac:dyDescent="0.3">
      <c r="A2021" t="s">
        <v>22</v>
      </c>
      <c r="B2021" s="1">
        <v>40333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</row>
    <row r="2022" spans="1:8" x14ac:dyDescent="0.3">
      <c r="A2022" t="s">
        <v>22</v>
      </c>
      <c r="B2022" s="1">
        <v>40340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</row>
    <row r="2023" spans="1:8" x14ac:dyDescent="0.3">
      <c r="A2023" t="s">
        <v>22</v>
      </c>
      <c r="B2023" s="1">
        <v>40347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</row>
    <row r="2024" spans="1:8" x14ac:dyDescent="0.3">
      <c r="A2024" t="s">
        <v>22</v>
      </c>
      <c r="B2024" s="1">
        <v>40354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</row>
    <row r="2025" spans="1:8" x14ac:dyDescent="0.3">
      <c r="A2025" t="s">
        <v>22</v>
      </c>
      <c r="B2025" s="1">
        <v>40361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</row>
    <row r="2026" spans="1:8" x14ac:dyDescent="0.3">
      <c r="A2026" t="s">
        <v>22</v>
      </c>
      <c r="B2026" s="1">
        <v>40368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</row>
    <row r="2027" spans="1:8" x14ac:dyDescent="0.3">
      <c r="A2027" t="s">
        <v>22</v>
      </c>
      <c r="B2027" s="1">
        <v>40375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</row>
    <row r="2028" spans="1:8" x14ac:dyDescent="0.3">
      <c r="A2028" t="s">
        <v>22</v>
      </c>
      <c r="B2028" s="1">
        <v>40382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</row>
    <row r="2029" spans="1:8" x14ac:dyDescent="0.3">
      <c r="A2029" t="s">
        <v>22</v>
      </c>
      <c r="B2029" s="1">
        <v>40389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</row>
    <row r="2030" spans="1:8" x14ac:dyDescent="0.3">
      <c r="A2030" t="s">
        <v>22</v>
      </c>
      <c r="B2030" s="1">
        <v>40396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</row>
    <row r="2031" spans="1:8" x14ac:dyDescent="0.3">
      <c r="A2031" t="s">
        <v>22</v>
      </c>
      <c r="B2031" s="1">
        <v>40403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</row>
    <row r="2032" spans="1:8" x14ac:dyDescent="0.3">
      <c r="A2032" t="s">
        <v>22</v>
      </c>
      <c r="B2032" s="1">
        <v>40410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</row>
    <row r="2033" spans="1:8" x14ac:dyDescent="0.3">
      <c r="A2033" t="s">
        <v>22</v>
      </c>
      <c r="B2033" s="1">
        <v>40417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</row>
    <row r="2034" spans="1:8" x14ac:dyDescent="0.3">
      <c r="A2034" t="s">
        <v>22</v>
      </c>
      <c r="B2034" s="1">
        <v>40424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</row>
    <row r="2035" spans="1:8" x14ac:dyDescent="0.3">
      <c r="A2035" t="s">
        <v>22</v>
      </c>
      <c r="B2035" s="1">
        <v>40431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</row>
    <row r="2036" spans="1:8" x14ac:dyDescent="0.3">
      <c r="A2036" t="s">
        <v>22</v>
      </c>
      <c r="B2036" s="1">
        <v>40438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</row>
    <row r="2037" spans="1:8" x14ac:dyDescent="0.3">
      <c r="A2037" t="s">
        <v>22</v>
      </c>
      <c r="B2037" s="1">
        <v>40445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</row>
    <row r="2038" spans="1:8" x14ac:dyDescent="0.3">
      <c r="A2038" t="s">
        <v>22</v>
      </c>
      <c r="B2038" s="1">
        <v>40452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</row>
    <row r="2039" spans="1:8" x14ac:dyDescent="0.3">
      <c r="A2039" t="s">
        <v>22</v>
      </c>
      <c r="B2039" s="1">
        <v>40459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</row>
    <row r="2040" spans="1:8" x14ac:dyDescent="0.3">
      <c r="A2040" t="s">
        <v>22</v>
      </c>
      <c r="B2040" s="1">
        <v>40466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</row>
    <row r="2041" spans="1:8" x14ac:dyDescent="0.3">
      <c r="A2041" t="s">
        <v>22</v>
      </c>
      <c r="B2041" s="1">
        <v>40473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</row>
    <row r="2042" spans="1:8" x14ac:dyDescent="0.3">
      <c r="A2042" t="s">
        <v>22</v>
      </c>
      <c r="B2042" s="1">
        <v>40480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</row>
    <row r="2043" spans="1:8" x14ac:dyDescent="0.3">
      <c r="A2043" t="s">
        <v>22</v>
      </c>
      <c r="B2043" s="1">
        <v>40487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</row>
    <row r="2044" spans="1:8" x14ac:dyDescent="0.3">
      <c r="A2044" t="s">
        <v>22</v>
      </c>
      <c r="B2044" s="1">
        <v>40494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</row>
    <row r="2045" spans="1:8" x14ac:dyDescent="0.3">
      <c r="A2045" t="s">
        <v>22</v>
      </c>
      <c r="B2045" s="1">
        <v>40501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</row>
    <row r="2046" spans="1:8" x14ac:dyDescent="0.3">
      <c r="A2046" t="s">
        <v>22</v>
      </c>
      <c r="B2046" s="1">
        <v>40508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</row>
    <row r="2047" spans="1:8" x14ac:dyDescent="0.3">
      <c r="A2047" t="s">
        <v>22</v>
      </c>
      <c r="B2047" s="1">
        <v>40515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</row>
    <row r="2048" spans="1:8" x14ac:dyDescent="0.3">
      <c r="A2048" t="s">
        <v>22</v>
      </c>
      <c r="B2048" s="1">
        <v>40522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</row>
    <row r="2049" spans="1:8" x14ac:dyDescent="0.3">
      <c r="A2049" t="s">
        <v>22</v>
      </c>
      <c r="B2049" s="1">
        <v>40529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</row>
    <row r="2050" spans="1:8" x14ac:dyDescent="0.3">
      <c r="A2050" t="s">
        <v>22</v>
      </c>
      <c r="B2050" s="1">
        <v>40536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</row>
    <row r="2051" spans="1:8" x14ac:dyDescent="0.3">
      <c r="A2051" t="s">
        <v>22</v>
      </c>
      <c r="B2051" s="1">
        <v>40543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</row>
    <row r="2052" spans="1:8" x14ac:dyDescent="0.3">
      <c r="A2052" t="s">
        <v>22</v>
      </c>
      <c r="B2052" s="1">
        <v>40550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</row>
    <row r="2053" spans="1:8" x14ac:dyDescent="0.3">
      <c r="A2053" t="s">
        <v>22</v>
      </c>
      <c r="B2053" s="1">
        <v>40557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</row>
    <row r="2054" spans="1:8" x14ac:dyDescent="0.3">
      <c r="A2054" t="s">
        <v>22</v>
      </c>
      <c r="B2054" s="1">
        <v>40564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</row>
    <row r="2055" spans="1:8" x14ac:dyDescent="0.3">
      <c r="A2055" t="s">
        <v>22</v>
      </c>
      <c r="B2055" s="1">
        <v>40571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</row>
    <row r="2056" spans="1:8" x14ac:dyDescent="0.3">
      <c r="A2056" t="s">
        <v>22</v>
      </c>
      <c r="B2056" s="1">
        <v>40578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</row>
    <row r="2057" spans="1:8" x14ac:dyDescent="0.3">
      <c r="A2057" t="s">
        <v>22</v>
      </c>
      <c r="B2057" s="1">
        <v>40585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</row>
    <row r="2058" spans="1:8" x14ac:dyDescent="0.3">
      <c r="A2058" t="s">
        <v>22</v>
      </c>
      <c r="B2058" s="1">
        <v>40592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</row>
    <row r="2059" spans="1:8" x14ac:dyDescent="0.3">
      <c r="A2059" t="s">
        <v>22</v>
      </c>
      <c r="B2059" s="1">
        <v>40599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</row>
    <row r="2060" spans="1:8" x14ac:dyDescent="0.3">
      <c r="A2060" t="s">
        <v>22</v>
      </c>
      <c r="B2060" s="1">
        <v>40606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</row>
    <row r="2061" spans="1:8" x14ac:dyDescent="0.3">
      <c r="A2061" t="s">
        <v>22</v>
      </c>
      <c r="B2061" s="1">
        <v>40613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</row>
    <row r="2062" spans="1:8" x14ac:dyDescent="0.3">
      <c r="A2062" t="s">
        <v>22</v>
      </c>
      <c r="B2062" s="1">
        <v>40620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</row>
    <row r="2063" spans="1:8" x14ac:dyDescent="0.3">
      <c r="A2063" t="s">
        <v>22</v>
      </c>
      <c r="B2063" s="1">
        <v>40627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</row>
    <row r="2064" spans="1:8" x14ac:dyDescent="0.3">
      <c r="A2064" t="s">
        <v>22</v>
      </c>
      <c r="B2064" s="1">
        <v>40634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</row>
    <row r="2065" spans="1:8" x14ac:dyDescent="0.3">
      <c r="A2065" t="s">
        <v>22</v>
      </c>
      <c r="B2065" s="1">
        <v>40641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</row>
    <row r="2066" spans="1:8" x14ac:dyDescent="0.3">
      <c r="A2066" t="s">
        <v>22</v>
      </c>
      <c r="B2066" s="1">
        <v>40648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</row>
    <row r="2067" spans="1:8" x14ac:dyDescent="0.3">
      <c r="A2067" t="s">
        <v>22</v>
      </c>
      <c r="B2067" s="1">
        <v>40655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</row>
    <row r="2068" spans="1:8" x14ac:dyDescent="0.3">
      <c r="A2068" t="s">
        <v>22</v>
      </c>
      <c r="B2068" s="1">
        <v>40662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</row>
    <row r="2069" spans="1:8" x14ac:dyDescent="0.3">
      <c r="A2069" t="s">
        <v>22</v>
      </c>
      <c r="B2069" s="1">
        <v>40669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</row>
    <row r="2070" spans="1:8" x14ac:dyDescent="0.3">
      <c r="A2070" t="s">
        <v>22</v>
      </c>
      <c r="B2070" s="1">
        <v>40676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</row>
    <row r="2071" spans="1:8" x14ac:dyDescent="0.3">
      <c r="A2071" t="s">
        <v>22</v>
      </c>
      <c r="B2071" s="1">
        <v>40683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</row>
    <row r="2072" spans="1:8" x14ac:dyDescent="0.3">
      <c r="A2072" t="s">
        <v>22</v>
      </c>
      <c r="B2072" s="1">
        <v>40690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</row>
    <row r="2073" spans="1:8" x14ac:dyDescent="0.3">
      <c r="A2073" t="s">
        <v>22</v>
      </c>
      <c r="B2073" s="1">
        <v>40697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</row>
    <row r="2074" spans="1:8" x14ac:dyDescent="0.3">
      <c r="A2074" t="s">
        <v>22</v>
      </c>
      <c r="B2074" s="1">
        <v>40704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</row>
    <row r="2075" spans="1:8" x14ac:dyDescent="0.3">
      <c r="A2075" t="s">
        <v>22</v>
      </c>
      <c r="B2075" s="1">
        <v>40711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</row>
    <row r="2076" spans="1:8" x14ac:dyDescent="0.3">
      <c r="A2076" t="s">
        <v>22</v>
      </c>
      <c r="B2076" s="1">
        <v>40718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</row>
    <row r="2077" spans="1:8" x14ac:dyDescent="0.3">
      <c r="A2077" t="s">
        <v>22</v>
      </c>
      <c r="B2077" s="1">
        <v>40725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</row>
    <row r="2078" spans="1:8" x14ac:dyDescent="0.3">
      <c r="A2078" t="s">
        <v>22</v>
      </c>
      <c r="B2078" s="1">
        <v>40732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</row>
    <row r="2079" spans="1:8" x14ac:dyDescent="0.3">
      <c r="A2079" t="s">
        <v>22</v>
      </c>
      <c r="B2079" s="1">
        <v>40739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 x14ac:dyDescent="0.3">
      <c r="A2080" t="s">
        <v>22</v>
      </c>
      <c r="B2080" s="1">
        <v>40746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</row>
    <row r="2081" spans="1:8" x14ac:dyDescent="0.3">
      <c r="A2081" t="s">
        <v>22</v>
      </c>
      <c r="B2081" s="1">
        <v>40753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</row>
    <row r="2082" spans="1:8" x14ac:dyDescent="0.3">
      <c r="A2082" t="s">
        <v>22</v>
      </c>
      <c r="B2082" s="1">
        <v>40760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</row>
    <row r="2083" spans="1:8" x14ac:dyDescent="0.3">
      <c r="A2083" t="s">
        <v>22</v>
      </c>
      <c r="B2083" s="1">
        <v>40767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</row>
    <row r="2084" spans="1:8" x14ac:dyDescent="0.3">
      <c r="A2084" t="s">
        <v>22</v>
      </c>
      <c r="B2084" s="1">
        <v>40774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</row>
    <row r="2085" spans="1:8" x14ac:dyDescent="0.3">
      <c r="A2085" t="s">
        <v>22</v>
      </c>
      <c r="B2085" s="1">
        <v>40781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</row>
    <row r="2086" spans="1:8" x14ac:dyDescent="0.3">
      <c r="A2086" t="s">
        <v>22</v>
      </c>
      <c r="B2086" s="1">
        <v>40788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</row>
    <row r="2087" spans="1:8" x14ac:dyDescent="0.3">
      <c r="A2087" t="s">
        <v>22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</row>
    <row r="2088" spans="1:8" x14ac:dyDescent="0.3">
      <c r="A2088" t="s">
        <v>22</v>
      </c>
      <c r="B2088" s="1">
        <v>40802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</row>
    <row r="2089" spans="1:8" x14ac:dyDescent="0.3">
      <c r="A2089" t="s">
        <v>22</v>
      </c>
      <c r="B2089" s="1">
        <v>40809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</row>
    <row r="2090" spans="1:8" x14ac:dyDescent="0.3">
      <c r="A2090" t="s">
        <v>22</v>
      </c>
      <c r="B2090" s="1">
        <v>40816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</row>
    <row r="2091" spans="1:8" x14ac:dyDescent="0.3">
      <c r="A2091" t="s">
        <v>22</v>
      </c>
      <c r="B2091" s="1">
        <v>40823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</row>
    <row r="2092" spans="1:8" x14ac:dyDescent="0.3">
      <c r="A2092" t="s">
        <v>22</v>
      </c>
      <c r="B2092" s="1">
        <v>40830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</row>
    <row r="2093" spans="1:8" x14ac:dyDescent="0.3">
      <c r="A2093" t="s">
        <v>22</v>
      </c>
      <c r="B2093" s="1">
        <v>40837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</row>
    <row r="2094" spans="1:8" x14ac:dyDescent="0.3">
      <c r="A2094" t="s">
        <v>22</v>
      </c>
      <c r="B2094" s="1">
        <v>40844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</row>
    <row r="2095" spans="1:8" x14ac:dyDescent="0.3">
      <c r="A2095" t="s">
        <v>22</v>
      </c>
      <c r="B2095" s="1">
        <v>40851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</row>
    <row r="2096" spans="1:8" x14ac:dyDescent="0.3">
      <c r="A2096" t="s">
        <v>22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</row>
    <row r="2097" spans="1:8" x14ac:dyDescent="0.3">
      <c r="A2097" t="s">
        <v>22</v>
      </c>
      <c r="B2097" s="1">
        <v>40865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</row>
    <row r="2098" spans="1:8" x14ac:dyDescent="0.3">
      <c r="A2098" t="s">
        <v>22</v>
      </c>
      <c r="B2098" s="1">
        <v>40872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</row>
    <row r="2099" spans="1:8" x14ac:dyDescent="0.3">
      <c r="A2099" t="s">
        <v>22</v>
      </c>
      <c r="B2099" s="1">
        <v>40879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</row>
    <row r="2100" spans="1:8" x14ac:dyDescent="0.3">
      <c r="A2100" t="s">
        <v>22</v>
      </c>
      <c r="B2100" s="1">
        <v>40886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</row>
    <row r="2101" spans="1:8" x14ac:dyDescent="0.3">
      <c r="A2101" t="s">
        <v>22</v>
      </c>
      <c r="B2101" s="1">
        <v>40893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</row>
    <row r="2102" spans="1:8" x14ac:dyDescent="0.3">
      <c r="A2102" t="s">
        <v>22</v>
      </c>
      <c r="B2102" s="1">
        <v>40900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</row>
    <row r="2103" spans="1:8" x14ac:dyDescent="0.3">
      <c r="A2103" t="s">
        <v>22</v>
      </c>
      <c r="B2103" s="1">
        <v>40907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</row>
    <row r="2104" spans="1:8" x14ac:dyDescent="0.3">
      <c r="A2104" t="s">
        <v>22</v>
      </c>
      <c r="B2104" s="1">
        <v>40914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</row>
    <row r="2105" spans="1:8" x14ac:dyDescent="0.3">
      <c r="A2105" t="s">
        <v>22</v>
      </c>
      <c r="B2105" s="1">
        <v>40921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</row>
    <row r="2106" spans="1:8" x14ac:dyDescent="0.3">
      <c r="A2106" t="s">
        <v>22</v>
      </c>
      <c r="B2106" s="1">
        <v>40928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</row>
    <row r="2107" spans="1:8" x14ac:dyDescent="0.3">
      <c r="A2107" t="s">
        <v>22</v>
      </c>
      <c r="B2107" s="1">
        <v>40935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</row>
    <row r="2108" spans="1:8" x14ac:dyDescent="0.3">
      <c r="A2108" t="s">
        <v>22</v>
      </c>
      <c r="B2108" s="1">
        <v>40942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</row>
    <row r="2109" spans="1:8" x14ac:dyDescent="0.3">
      <c r="A2109" t="s">
        <v>22</v>
      </c>
      <c r="B2109" s="1">
        <v>40949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</row>
    <row r="2110" spans="1:8" x14ac:dyDescent="0.3">
      <c r="A2110" t="s">
        <v>22</v>
      </c>
      <c r="B2110" s="1">
        <v>40956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</row>
    <row r="2111" spans="1:8" x14ac:dyDescent="0.3">
      <c r="A2111" t="s">
        <v>22</v>
      </c>
      <c r="B2111" s="1">
        <v>40963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</row>
    <row r="2112" spans="1:8" x14ac:dyDescent="0.3">
      <c r="A2112" t="s">
        <v>22</v>
      </c>
      <c r="B2112" s="1">
        <v>40970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</row>
    <row r="2113" spans="1:8" x14ac:dyDescent="0.3">
      <c r="A2113" t="s">
        <v>22</v>
      </c>
      <c r="B2113" s="1">
        <v>40977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</row>
    <row r="2114" spans="1:8" x14ac:dyDescent="0.3">
      <c r="A2114" t="s">
        <v>22</v>
      </c>
      <c r="B2114" s="1">
        <v>40984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</row>
    <row r="2115" spans="1:8" x14ac:dyDescent="0.3">
      <c r="A2115" t="s">
        <v>22</v>
      </c>
      <c r="B2115" s="1">
        <v>40991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</row>
    <row r="2116" spans="1:8" x14ac:dyDescent="0.3">
      <c r="A2116" t="s">
        <v>22</v>
      </c>
      <c r="B2116" s="1">
        <v>40998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</row>
    <row r="2117" spans="1:8" x14ac:dyDescent="0.3">
      <c r="A2117" t="s">
        <v>22</v>
      </c>
      <c r="B2117" s="1">
        <v>41005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</row>
    <row r="2118" spans="1:8" x14ac:dyDescent="0.3">
      <c r="A2118" t="s">
        <v>22</v>
      </c>
      <c r="B2118" s="1">
        <v>41012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</row>
    <row r="2119" spans="1:8" x14ac:dyDescent="0.3">
      <c r="A2119" t="s">
        <v>22</v>
      </c>
      <c r="B2119" s="1">
        <v>41019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</row>
    <row r="2120" spans="1:8" x14ac:dyDescent="0.3">
      <c r="A2120" t="s">
        <v>22</v>
      </c>
      <c r="B2120" s="1">
        <v>41026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</row>
    <row r="2121" spans="1:8" x14ac:dyDescent="0.3">
      <c r="A2121" t="s">
        <v>22</v>
      </c>
      <c r="B2121" s="1">
        <v>41033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</row>
    <row r="2122" spans="1:8" x14ac:dyDescent="0.3">
      <c r="A2122" t="s">
        <v>22</v>
      </c>
      <c r="B2122" s="1">
        <v>41040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</row>
    <row r="2123" spans="1:8" x14ac:dyDescent="0.3">
      <c r="A2123" t="s">
        <v>22</v>
      </c>
      <c r="B2123" s="1">
        <v>41047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</row>
    <row r="2124" spans="1:8" x14ac:dyDescent="0.3">
      <c r="A2124" t="s">
        <v>22</v>
      </c>
      <c r="B2124" s="1">
        <v>41054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</row>
    <row r="2125" spans="1:8" x14ac:dyDescent="0.3">
      <c r="A2125" t="s">
        <v>22</v>
      </c>
      <c r="B2125" s="1">
        <v>41061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</row>
    <row r="2126" spans="1:8" x14ac:dyDescent="0.3">
      <c r="A2126" t="s">
        <v>22</v>
      </c>
      <c r="B2126" s="1">
        <v>41068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</row>
    <row r="2127" spans="1:8" x14ac:dyDescent="0.3">
      <c r="A2127" t="s">
        <v>22</v>
      </c>
      <c r="B2127" s="1">
        <v>41075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</row>
    <row r="2128" spans="1:8" x14ac:dyDescent="0.3">
      <c r="A2128" t="s">
        <v>22</v>
      </c>
      <c r="B2128" s="1">
        <v>41082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</row>
    <row r="2129" spans="1:8" x14ac:dyDescent="0.3">
      <c r="A2129" t="s">
        <v>22</v>
      </c>
      <c r="B2129" s="1">
        <v>41089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</row>
    <row r="2130" spans="1:8" x14ac:dyDescent="0.3">
      <c r="A2130" t="s">
        <v>22</v>
      </c>
      <c r="B2130" s="1">
        <v>41096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</row>
    <row r="2131" spans="1:8" x14ac:dyDescent="0.3">
      <c r="A2131" t="s">
        <v>22</v>
      </c>
      <c r="B2131" s="1">
        <v>41103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</row>
    <row r="2132" spans="1:8" x14ac:dyDescent="0.3">
      <c r="A2132" t="s">
        <v>22</v>
      </c>
      <c r="B2132" s="1">
        <v>41110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</row>
    <row r="2133" spans="1:8" x14ac:dyDescent="0.3">
      <c r="A2133" t="s">
        <v>22</v>
      </c>
      <c r="B2133" s="1">
        <v>41117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</row>
    <row r="2134" spans="1:8" x14ac:dyDescent="0.3">
      <c r="A2134" t="s">
        <v>22</v>
      </c>
      <c r="B2134" s="1">
        <v>41124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</row>
    <row r="2135" spans="1:8" x14ac:dyDescent="0.3">
      <c r="A2135" t="s">
        <v>22</v>
      </c>
      <c r="B2135" s="1">
        <v>41131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</row>
    <row r="2136" spans="1:8" x14ac:dyDescent="0.3">
      <c r="A2136" t="s">
        <v>22</v>
      </c>
      <c r="B2136" s="1">
        <v>41138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</row>
    <row r="2137" spans="1:8" x14ac:dyDescent="0.3">
      <c r="A2137" t="s">
        <v>22</v>
      </c>
      <c r="B2137" s="1">
        <v>41145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</row>
    <row r="2138" spans="1:8" x14ac:dyDescent="0.3">
      <c r="A2138" t="s">
        <v>22</v>
      </c>
      <c r="B2138" s="1">
        <v>41152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</row>
    <row r="2139" spans="1:8" x14ac:dyDescent="0.3">
      <c r="A2139" t="s">
        <v>22</v>
      </c>
      <c r="B2139" s="1">
        <v>41159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</row>
    <row r="2140" spans="1:8" x14ac:dyDescent="0.3">
      <c r="A2140" t="s">
        <v>22</v>
      </c>
      <c r="B2140" s="1">
        <v>41166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</row>
    <row r="2141" spans="1:8" x14ac:dyDescent="0.3">
      <c r="A2141" t="s">
        <v>22</v>
      </c>
      <c r="B2141" s="1">
        <v>41173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</row>
    <row r="2142" spans="1:8" x14ac:dyDescent="0.3">
      <c r="A2142" t="s">
        <v>22</v>
      </c>
      <c r="B2142" s="1">
        <v>41180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</row>
    <row r="2143" spans="1:8" x14ac:dyDescent="0.3">
      <c r="A2143" t="s">
        <v>22</v>
      </c>
      <c r="B2143" s="1">
        <v>41187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</row>
    <row r="2144" spans="1:8" x14ac:dyDescent="0.3">
      <c r="A2144" t="s">
        <v>22</v>
      </c>
      <c r="B2144" s="1">
        <v>41194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</row>
    <row r="2145" spans="1:8" x14ac:dyDescent="0.3">
      <c r="A2145" t="s">
        <v>22</v>
      </c>
      <c r="B2145" s="1">
        <v>41201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</row>
    <row r="2146" spans="1:8" x14ac:dyDescent="0.3">
      <c r="A2146" t="s">
        <v>22</v>
      </c>
      <c r="B2146" s="1">
        <v>41208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</row>
    <row r="2147" spans="1:8" x14ac:dyDescent="0.3">
      <c r="A2147" t="s">
        <v>23</v>
      </c>
      <c r="B2147" s="1">
        <v>40214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</row>
    <row r="2148" spans="1:8" x14ac:dyDescent="0.3">
      <c r="A2148" t="s">
        <v>23</v>
      </c>
      <c r="B2148" s="1">
        <v>40221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</row>
    <row r="2149" spans="1:8" x14ac:dyDescent="0.3">
      <c r="A2149" t="s">
        <v>23</v>
      </c>
      <c r="B2149" s="1">
        <v>40228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</row>
    <row r="2150" spans="1:8" x14ac:dyDescent="0.3">
      <c r="A2150" t="s">
        <v>23</v>
      </c>
      <c r="B2150" s="1">
        <v>40235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</row>
    <row r="2151" spans="1:8" x14ac:dyDescent="0.3">
      <c r="A2151" t="s">
        <v>23</v>
      </c>
      <c r="B2151" s="1">
        <v>40242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</row>
    <row r="2152" spans="1:8" x14ac:dyDescent="0.3">
      <c r="A2152" t="s">
        <v>23</v>
      </c>
      <c r="B2152" s="1">
        <v>40249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</row>
    <row r="2153" spans="1:8" x14ac:dyDescent="0.3">
      <c r="A2153" t="s">
        <v>23</v>
      </c>
      <c r="B2153" s="1">
        <v>40256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</row>
    <row r="2154" spans="1:8" x14ac:dyDescent="0.3">
      <c r="A2154" t="s">
        <v>23</v>
      </c>
      <c r="B2154" s="1">
        <v>40263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</row>
    <row r="2155" spans="1:8" x14ac:dyDescent="0.3">
      <c r="A2155" t="s">
        <v>23</v>
      </c>
      <c r="B2155" s="1">
        <v>40270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</row>
    <row r="2156" spans="1:8" x14ac:dyDescent="0.3">
      <c r="A2156" t="s">
        <v>23</v>
      </c>
      <c r="B2156" s="1">
        <v>40277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</row>
    <row r="2157" spans="1:8" x14ac:dyDescent="0.3">
      <c r="A2157" t="s">
        <v>23</v>
      </c>
      <c r="B2157" s="1">
        <v>40284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</row>
    <row r="2158" spans="1:8" x14ac:dyDescent="0.3">
      <c r="A2158" t="s">
        <v>23</v>
      </c>
      <c r="B2158" s="1">
        <v>40291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</row>
    <row r="2159" spans="1:8" x14ac:dyDescent="0.3">
      <c r="A2159" t="s">
        <v>23</v>
      </c>
      <c r="B2159" s="1">
        <v>40298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</row>
    <row r="2160" spans="1:8" x14ac:dyDescent="0.3">
      <c r="A2160" t="s">
        <v>23</v>
      </c>
      <c r="B2160" s="1">
        <v>40305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</row>
    <row r="2161" spans="1:8" x14ac:dyDescent="0.3">
      <c r="A2161" t="s">
        <v>23</v>
      </c>
      <c r="B2161" s="1">
        <v>40312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</row>
    <row r="2162" spans="1:8" x14ac:dyDescent="0.3">
      <c r="A2162" t="s">
        <v>23</v>
      </c>
      <c r="B2162" s="1">
        <v>40319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</row>
    <row r="2163" spans="1:8" x14ac:dyDescent="0.3">
      <c r="A2163" t="s">
        <v>23</v>
      </c>
      <c r="B2163" s="1">
        <v>40326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</row>
    <row r="2164" spans="1:8" x14ac:dyDescent="0.3">
      <c r="A2164" t="s">
        <v>23</v>
      </c>
      <c r="B2164" s="1">
        <v>40333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</row>
    <row r="2165" spans="1:8" x14ac:dyDescent="0.3">
      <c r="A2165" t="s">
        <v>23</v>
      </c>
      <c r="B2165" s="1">
        <v>40340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</row>
    <row r="2166" spans="1:8" x14ac:dyDescent="0.3">
      <c r="A2166" t="s">
        <v>23</v>
      </c>
      <c r="B2166" s="1">
        <v>40347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</row>
    <row r="2167" spans="1:8" x14ac:dyDescent="0.3">
      <c r="A2167" t="s">
        <v>23</v>
      </c>
      <c r="B2167" s="1">
        <v>40354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</row>
    <row r="2168" spans="1:8" x14ac:dyDescent="0.3">
      <c r="A2168" t="s">
        <v>23</v>
      </c>
      <c r="B2168" s="1">
        <v>40361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</row>
    <row r="2169" spans="1:8" x14ac:dyDescent="0.3">
      <c r="A2169" t="s">
        <v>23</v>
      </c>
      <c r="B2169" s="1">
        <v>40368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</row>
    <row r="2170" spans="1:8" x14ac:dyDescent="0.3">
      <c r="A2170" t="s">
        <v>23</v>
      </c>
      <c r="B2170" s="1">
        <v>40375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</row>
    <row r="2171" spans="1:8" x14ac:dyDescent="0.3">
      <c r="A2171" t="s">
        <v>23</v>
      </c>
      <c r="B2171" s="1">
        <v>40382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</row>
    <row r="2172" spans="1:8" x14ac:dyDescent="0.3">
      <c r="A2172" t="s">
        <v>23</v>
      </c>
      <c r="B2172" s="1">
        <v>40389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</row>
    <row r="2173" spans="1:8" x14ac:dyDescent="0.3">
      <c r="A2173" t="s">
        <v>23</v>
      </c>
      <c r="B2173" s="1">
        <v>40396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</row>
    <row r="2174" spans="1:8" x14ac:dyDescent="0.3">
      <c r="A2174" t="s">
        <v>23</v>
      </c>
      <c r="B2174" s="1">
        <v>40403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</row>
    <row r="2175" spans="1:8" x14ac:dyDescent="0.3">
      <c r="A2175" t="s">
        <v>23</v>
      </c>
      <c r="B2175" s="1">
        <v>40410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</row>
    <row r="2176" spans="1:8" x14ac:dyDescent="0.3">
      <c r="A2176" t="s">
        <v>23</v>
      </c>
      <c r="B2176" s="1">
        <v>40417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</row>
    <row r="2177" spans="1:8" x14ac:dyDescent="0.3">
      <c r="A2177" t="s">
        <v>23</v>
      </c>
      <c r="B2177" s="1">
        <v>40424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</row>
    <row r="2178" spans="1:8" x14ac:dyDescent="0.3">
      <c r="A2178" t="s">
        <v>23</v>
      </c>
      <c r="B2178" s="1">
        <v>40431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</row>
    <row r="2179" spans="1:8" x14ac:dyDescent="0.3">
      <c r="A2179" t="s">
        <v>23</v>
      </c>
      <c r="B2179" s="1">
        <v>40438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</row>
    <row r="2180" spans="1:8" x14ac:dyDescent="0.3">
      <c r="A2180" t="s">
        <v>23</v>
      </c>
      <c r="B2180" s="1">
        <v>40445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</row>
    <row r="2181" spans="1:8" x14ac:dyDescent="0.3">
      <c r="A2181" t="s">
        <v>23</v>
      </c>
      <c r="B2181" s="1">
        <v>40452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</row>
    <row r="2182" spans="1:8" x14ac:dyDescent="0.3">
      <c r="A2182" t="s">
        <v>23</v>
      </c>
      <c r="B2182" s="1">
        <v>40459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</row>
    <row r="2183" spans="1:8" x14ac:dyDescent="0.3">
      <c r="A2183" t="s">
        <v>23</v>
      </c>
      <c r="B2183" s="1">
        <v>40466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</row>
    <row r="2184" spans="1:8" x14ac:dyDescent="0.3">
      <c r="A2184" t="s">
        <v>23</v>
      </c>
      <c r="B2184" s="1">
        <v>40473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</row>
    <row r="2185" spans="1:8" x14ac:dyDescent="0.3">
      <c r="A2185" t="s">
        <v>23</v>
      </c>
      <c r="B2185" s="1">
        <v>40480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</row>
    <row r="2186" spans="1:8" x14ac:dyDescent="0.3">
      <c r="A2186" t="s">
        <v>23</v>
      </c>
      <c r="B2186" s="1">
        <v>40487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</row>
    <row r="2187" spans="1:8" x14ac:dyDescent="0.3">
      <c r="A2187" t="s">
        <v>23</v>
      </c>
      <c r="B2187" s="1">
        <v>40494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</row>
    <row r="2188" spans="1:8" x14ac:dyDescent="0.3">
      <c r="A2188" t="s">
        <v>23</v>
      </c>
      <c r="B2188" s="1">
        <v>40501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</row>
    <row r="2189" spans="1:8" x14ac:dyDescent="0.3">
      <c r="A2189" t="s">
        <v>23</v>
      </c>
      <c r="B2189" s="1">
        <v>40508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</row>
    <row r="2190" spans="1:8" x14ac:dyDescent="0.3">
      <c r="A2190" t="s">
        <v>23</v>
      </c>
      <c r="B2190" s="1">
        <v>40515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</row>
    <row r="2191" spans="1:8" x14ac:dyDescent="0.3">
      <c r="A2191" t="s">
        <v>23</v>
      </c>
      <c r="B2191" s="1">
        <v>40522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</row>
    <row r="2192" spans="1:8" x14ac:dyDescent="0.3">
      <c r="A2192" t="s">
        <v>23</v>
      </c>
      <c r="B2192" s="1">
        <v>40529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</row>
    <row r="2193" spans="1:8" x14ac:dyDescent="0.3">
      <c r="A2193" t="s">
        <v>23</v>
      </c>
      <c r="B2193" s="1">
        <v>40536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</row>
    <row r="2194" spans="1:8" x14ac:dyDescent="0.3">
      <c r="A2194" t="s">
        <v>23</v>
      </c>
      <c r="B2194" s="1">
        <v>40543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</row>
    <row r="2195" spans="1:8" x14ac:dyDescent="0.3">
      <c r="A2195" t="s">
        <v>23</v>
      </c>
      <c r="B2195" s="1">
        <v>40550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</row>
    <row r="2196" spans="1:8" x14ac:dyDescent="0.3">
      <c r="A2196" t="s">
        <v>23</v>
      </c>
      <c r="B2196" s="1">
        <v>40557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</row>
    <row r="2197" spans="1:8" x14ac:dyDescent="0.3">
      <c r="A2197" t="s">
        <v>23</v>
      </c>
      <c r="B2197" s="1">
        <v>40564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</row>
    <row r="2198" spans="1:8" x14ac:dyDescent="0.3">
      <c r="A2198" t="s">
        <v>23</v>
      </c>
      <c r="B2198" s="1">
        <v>40571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</row>
    <row r="2199" spans="1:8" x14ac:dyDescent="0.3">
      <c r="A2199" t="s">
        <v>23</v>
      </c>
      <c r="B2199" s="1">
        <v>40578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</row>
    <row r="2200" spans="1:8" x14ac:dyDescent="0.3">
      <c r="A2200" t="s">
        <v>23</v>
      </c>
      <c r="B2200" s="1">
        <v>40585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</row>
    <row r="2201" spans="1:8" x14ac:dyDescent="0.3">
      <c r="A2201" t="s">
        <v>23</v>
      </c>
      <c r="B2201" s="1">
        <v>40592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</row>
    <row r="2202" spans="1:8" x14ac:dyDescent="0.3">
      <c r="A2202" t="s">
        <v>23</v>
      </c>
      <c r="B2202" s="1">
        <v>40599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</row>
    <row r="2203" spans="1:8" x14ac:dyDescent="0.3">
      <c r="A2203" t="s">
        <v>23</v>
      </c>
      <c r="B2203" s="1">
        <v>40606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</row>
    <row r="2204" spans="1:8" x14ac:dyDescent="0.3">
      <c r="A2204" t="s">
        <v>23</v>
      </c>
      <c r="B2204" s="1">
        <v>40613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</row>
    <row r="2205" spans="1:8" x14ac:dyDescent="0.3">
      <c r="A2205" t="s">
        <v>23</v>
      </c>
      <c r="B2205" s="1">
        <v>40620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</row>
    <row r="2206" spans="1:8" x14ac:dyDescent="0.3">
      <c r="A2206" t="s">
        <v>23</v>
      </c>
      <c r="B2206" s="1">
        <v>40627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</row>
    <row r="2207" spans="1:8" x14ac:dyDescent="0.3">
      <c r="A2207" t="s">
        <v>23</v>
      </c>
      <c r="B2207" s="1">
        <v>40634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</row>
    <row r="2208" spans="1:8" x14ac:dyDescent="0.3">
      <c r="A2208" t="s">
        <v>23</v>
      </c>
      <c r="B2208" s="1">
        <v>40641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</row>
    <row r="2209" spans="1:8" x14ac:dyDescent="0.3">
      <c r="A2209" t="s">
        <v>23</v>
      </c>
      <c r="B2209" s="1">
        <v>40648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</row>
    <row r="2210" spans="1:8" x14ac:dyDescent="0.3">
      <c r="A2210" t="s">
        <v>23</v>
      </c>
      <c r="B2210" s="1">
        <v>40655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</row>
    <row r="2211" spans="1:8" x14ac:dyDescent="0.3">
      <c r="A2211" t="s">
        <v>23</v>
      </c>
      <c r="B2211" s="1">
        <v>40662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</row>
    <row r="2212" spans="1:8" x14ac:dyDescent="0.3">
      <c r="A2212" t="s">
        <v>23</v>
      </c>
      <c r="B2212" s="1">
        <v>40669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</row>
    <row r="2213" spans="1:8" x14ac:dyDescent="0.3">
      <c r="A2213" t="s">
        <v>23</v>
      </c>
      <c r="B2213" s="1">
        <v>40676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</row>
    <row r="2214" spans="1:8" x14ac:dyDescent="0.3">
      <c r="A2214" t="s">
        <v>23</v>
      </c>
      <c r="B2214" s="1">
        <v>40683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</row>
    <row r="2215" spans="1:8" x14ac:dyDescent="0.3">
      <c r="A2215" t="s">
        <v>23</v>
      </c>
      <c r="B2215" s="1">
        <v>40690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</row>
    <row r="2216" spans="1:8" x14ac:dyDescent="0.3">
      <c r="A2216" t="s">
        <v>23</v>
      </c>
      <c r="B2216" s="1">
        <v>40697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</row>
    <row r="2217" spans="1:8" x14ac:dyDescent="0.3">
      <c r="A2217" t="s">
        <v>23</v>
      </c>
      <c r="B2217" s="1">
        <v>40704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</row>
    <row r="2218" spans="1:8" x14ac:dyDescent="0.3">
      <c r="A2218" t="s">
        <v>23</v>
      </c>
      <c r="B2218" s="1">
        <v>40711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</row>
    <row r="2219" spans="1:8" x14ac:dyDescent="0.3">
      <c r="A2219" t="s">
        <v>23</v>
      </c>
      <c r="B2219" s="1">
        <v>40718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</row>
    <row r="2220" spans="1:8" x14ac:dyDescent="0.3">
      <c r="A2220" t="s">
        <v>23</v>
      </c>
      <c r="B2220" s="1">
        <v>40725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</row>
    <row r="2221" spans="1:8" x14ac:dyDescent="0.3">
      <c r="A2221" t="s">
        <v>23</v>
      </c>
      <c r="B2221" s="1">
        <v>40732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</row>
    <row r="2222" spans="1:8" x14ac:dyDescent="0.3">
      <c r="A2222" t="s">
        <v>23</v>
      </c>
      <c r="B2222" s="1">
        <v>40739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</row>
    <row r="2223" spans="1:8" x14ac:dyDescent="0.3">
      <c r="A2223" t="s">
        <v>23</v>
      </c>
      <c r="B2223" s="1">
        <v>40746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</row>
    <row r="2224" spans="1:8" x14ac:dyDescent="0.3">
      <c r="A2224" t="s">
        <v>23</v>
      </c>
      <c r="B2224" s="1">
        <v>40753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</row>
    <row r="2225" spans="1:8" x14ac:dyDescent="0.3">
      <c r="A2225" t="s">
        <v>23</v>
      </c>
      <c r="B2225" s="1">
        <v>40760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</row>
    <row r="2226" spans="1:8" x14ac:dyDescent="0.3">
      <c r="A2226" t="s">
        <v>23</v>
      </c>
      <c r="B2226" s="1">
        <v>40767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</row>
    <row r="2227" spans="1:8" x14ac:dyDescent="0.3">
      <c r="A2227" t="s">
        <v>23</v>
      </c>
      <c r="B2227" s="1">
        <v>40774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</row>
    <row r="2228" spans="1:8" x14ac:dyDescent="0.3">
      <c r="A2228" t="s">
        <v>23</v>
      </c>
      <c r="B2228" s="1">
        <v>40781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</row>
    <row r="2229" spans="1:8" x14ac:dyDescent="0.3">
      <c r="A2229" t="s">
        <v>23</v>
      </c>
      <c r="B2229" s="1">
        <v>40788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</row>
    <row r="2230" spans="1:8" x14ac:dyDescent="0.3">
      <c r="A2230" t="s">
        <v>23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</row>
    <row r="2231" spans="1:8" x14ac:dyDescent="0.3">
      <c r="A2231" t="s">
        <v>23</v>
      </c>
      <c r="B2231" s="1">
        <v>40802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</row>
    <row r="2232" spans="1:8" x14ac:dyDescent="0.3">
      <c r="A2232" t="s">
        <v>23</v>
      </c>
      <c r="B2232" s="1">
        <v>40809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</row>
    <row r="2233" spans="1:8" x14ac:dyDescent="0.3">
      <c r="A2233" t="s">
        <v>23</v>
      </c>
      <c r="B2233" s="1">
        <v>40816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</row>
    <row r="2234" spans="1:8" x14ac:dyDescent="0.3">
      <c r="A2234" t="s">
        <v>23</v>
      </c>
      <c r="B2234" s="1">
        <v>40823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</row>
    <row r="2235" spans="1:8" x14ac:dyDescent="0.3">
      <c r="A2235" t="s">
        <v>23</v>
      </c>
      <c r="B2235" s="1">
        <v>40830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</row>
    <row r="2236" spans="1:8" x14ac:dyDescent="0.3">
      <c r="A2236" t="s">
        <v>23</v>
      </c>
      <c r="B2236" s="1">
        <v>40837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</row>
    <row r="2237" spans="1:8" x14ac:dyDescent="0.3">
      <c r="A2237" t="s">
        <v>23</v>
      </c>
      <c r="B2237" s="1">
        <v>40844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</row>
    <row r="2238" spans="1:8" x14ac:dyDescent="0.3">
      <c r="A2238" t="s">
        <v>23</v>
      </c>
      <c r="B2238" s="1">
        <v>40851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</row>
    <row r="2239" spans="1:8" x14ac:dyDescent="0.3">
      <c r="A2239" t="s">
        <v>23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</row>
    <row r="2240" spans="1:8" x14ac:dyDescent="0.3">
      <c r="A2240" t="s">
        <v>23</v>
      </c>
      <c r="B2240" s="1">
        <v>40865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</row>
    <row r="2241" spans="1:8" x14ac:dyDescent="0.3">
      <c r="A2241" t="s">
        <v>23</v>
      </c>
      <c r="B2241" s="1">
        <v>40872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</row>
    <row r="2242" spans="1:8" x14ac:dyDescent="0.3">
      <c r="A2242" t="s">
        <v>23</v>
      </c>
      <c r="B2242" s="1">
        <v>40879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</row>
    <row r="2243" spans="1:8" x14ac:dyDescent="0.3">
      <c r="A2243" t="s">
        <v>23</v>
      </c>
      <c r="B2243" s="1">
        <v>40886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</row>
    <row r="2244" spans="1:8" x14ac:dyDescent="0.3">
      <c r="A2244" t="s">
        <v>23</v>
      </c>
      <c r="B2244" s="1">
        <v>40893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</row>
    <row r="2245" spans="1:8" x14ac:dyDescent="0.3">
      <c r="A2245" t="s">
        <v>23</v>
      </c>
      <c r="B2245" s="1">
        <v>40900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</row>
    <row r="2246" spans="1:8" x14ac:dyDescent="0.3">
      <c r="A2246" t="s">
        <v>23</v>
      </c>
      <c r="B2246" s="1">
        <v>40907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</row>
    <row r="2247" spans="1:8" x14ac:dyDescent="0.3">
      <c r="A2247" t="s">
        <v>23</v>
      </c>
      <c r="B2247" s="1">
        <v>40914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</row>
    <row r="2248" spans="1:8" x14ac:dyDescent="0.3">
      <c r="A2248" t="s">
        <v>23</v>
      </c>
      <c r="B2248" s="1">
        <v>40921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</row>
    <row r="2249" spans="1:8" x14ac:dyDescent="0.3">
      <c r="A2249" t="s">
        <v>23</v>
      </c>
      <c r="B2249" s="1">
        <v>40928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</row>
    <row r="2250" spans="1:8" x14ac:dyDescent="0.3">
      <c r="A2250" t="s">
        <v>23</v>
      </c>
      <c r="B2250" s="1">
        <v>40935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</row>
    <row r="2251" spans="1:8" x14ac:dyDescent="0.3">
      <c r="A2251" t="s">
        <v>23</v>
      </c>
      <c r="B2251" s="1">
        <v>40942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</row>
    <row r="2252" spans="1:8" x14ac:dyDescent="0.3">
      <c r="A2252" t="s">
        <v>23</v>
      </c>
      <c r="B2252" s="1">
        <v>40949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</row>
    <row r="2253" spans="1:8" x14ac:dyDescent="0.3">
      <c r="A2253" t="s">
        <v>23</v>
      </c>
      <c r="B2253" s="1">
        <v>40956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</row>
    <row r="2254" spans="1:8" x14ac:dyDescent="0.3">
      <c r="A2254" t="s">
        <v>23</v>
      </c>
      <c r="B2254" s="1">
        <v>40963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</row>
    <row r="2255" spans="1:8" x14ac:dyDescent="0.3">
      <c r="A2255" t="s">
        <v>23</v>
      </c>
      <c r="B2255" s="1">
        <v>40970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</row>
    <row r="2256" spans="1:8" x14ac:dyDescent="0.3">
      <c r="A2256" t="s">
        <v>23</v>
      </c>
      <c r="B2256" s="1">
        <v>40977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</row>
    <row r="2257" spans="1:8" x14ac:dyDescent="0.3">
      <c r="A2257" t="s">
        <v>23</v>
      </c>
      <c r="B2257" s="1">
        <v>40984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</row>
    <row r="2258" spans="1:8" x14ac:dyDescent="0.3">
      <c r="A2258" t="s">
        <v>23</v>
      </c>
      <c r="B2258" s="1">
        <v>40991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</row>
    <row r="2259" spans="1:8" x14ac:dyDescent="0.3">
      <c r="A2259" t="s">
        <v>23</v>
      </c>
      <c r="B2259" s="1">
        <v>40998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</row>
    <row r="2260" spans="1:8" x14ac:dyDescent="0.3">
      <c r="A2260" t="s">
        <v>23</v>
      </c>
      <c r="B2260" s="1">
        <v>41005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</row>
    <row r="2261" spans="1:8" x14ac:dyDescent="0.3">
      <c r="A2261" t="s">
        <v>23</v>
      </c>
      <c r="B2261" s="1">
        <v>41012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</row>
    <row r="2262" spans="1:8" x14ac:dyDescent="0.3">
      <c r="A2262" t="s">
        <v>23</v>
      </c>
      <c r="B2262" s="1">
        <v>41019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</row>
    <row r="2263" spans="1:8" x14ac:dyDescent="0.3">
      <c r="A2263" t="s">
        <v>23</v>
      </c>
      <c r="B2263" s="1">
        <v>41026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</row>
    <row r="2264" spans="1:8" x14ac:dyDescent="0.3">
      <c r="A2264" t="s">
        <v>23</v>
      </c>
      <c r="B2264" s="1">
        <v>41033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</row>
    <row r="2265" spans="1:8" x14ac:dyDescent="0.3">
      <c r="A2265" t="s">
        <v>23</v>
      </c>
      <c r="B2265" s="1">
        <v>41040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</row>
    <row r="2266" spans="1:8" x14ac:dyDescent="0.3">
      <c r="A2266" t="s">
        <v>23</v>
      </c>
      <c r="B2266" s="1">
        <v>41047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</row>
    <row r="2267" spans="1:8" x14ac:dyDescent="0.3">
      <c r="A2267" t="s">
        <v>23</v>
      </c>
      <c r="B2267" s="1">
        <v>41054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</row>
    <row r="2268" spans="1:8" x14ac:dyDescent="0.3">
      <c r="A2268" t="s">
        <v>23</v>
      </c>
      <c r="B2268" s="1">
        <v>41061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</row>
    <row r="2269" spans="1:8" x14ac:dyDescent="0.3">
      <c r="A2269" t="s">
        <v>23</v>
      </c>
      <c r="B2269" s="1">
        <v>41068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</row>
    <row r="2270" spans="1:8" x14ac:dyDescent="0.3">
      <c r="A2270" t="s">
        <v>23</v>
      </c>
      <c r="B2270" s="1">
        <v>41075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</row>
    <row r="2271" spans="1:8" x14ac:dyDescent="0.3">
      <c r="A2271" t="s">
        <v>23</v>
      </c>
      <c r="B2271" s="1">
        <v>41082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</row>
    <row r="2272" spans="1:8" x14ac:dyDescent="0.3">
      <c r="A2272" t="s">
        <v>23</v>
      </c>
      <c r="B2272" s="1">
        <v>41089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</row>
    <row r="2273" spans="1:8" x14ac:dyDescent="0.3">
      <c r="A2273" t="s">
        <v>23</v>
      </c>
      <c r="B2273" s="1">
        <v>41096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</row>
    <row r="2274" spans="1:8" x14ac:dyDescent="0.3">
      <c r="A2274" t="s">
        <v>23</v>
      </c>
      <c r="B2274" s="1">
        <v>41103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</row>
    <row r="2275" spans="1:8" x14ac:dyDescent="0.3">
      <c r="A2275" t="s">
        <v>23</v>
      </c>
      <c r="B2275" s="1">
        <v>41110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</row>
    <row r="2276" spans="1:8" x14ac:dyDescent="0.3">
      <c r="A2276" t="s">
        <v>23</v>
      </c>
      <c r="B2276" s="1">
        <v>41117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</row>
    <row r="2277" spans="1:8" x14ac:dyDescent="0.3">
      <c r="A2277" t="s">
        <v>23</v>
      </c>
      <c r="B2277" s="1">
        <v>41124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</row>
    <row r="2278" spans="1:8" x14ac:dyDescent="0.3">
      <c r="A2278" t="s">
        <v>23</v>
      </c>
      <c r="B2278" s="1">
        <v>41131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</row>
    <row r="2279" spans="1:8" x14ac:dyDescent="0.3">
      <c r="A2279" t="s">
        <v>23</v>
      </c>
      <c r="B2279" s="1">
        <v>41138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</row>
    <row r="2280" spans="1:8" x14ac:dyDescent="0.3">
      <c r="A2280" t="s">
        <v>23</v>
      </c>
      <c r="B2280" s="1">
        <v>41145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</row>
    <row r="2281" spans="1:8" x14ac:dyDescent="0.3">
      <c r="A2281" t="s">
        <v>23</v>
      </c>
      <c r="B2281" s="1">
        <v>41152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</row>
    <row r="2282" spans="1:8" x14ac:dyDescent="0.3">
      <c r="A2282" t="s">
        <v>23</v>
      </c>
      <c r="B2282" s="1">
        <v>41159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</row>
    <row r="2283" spans="1:8" x14ac:dyDescent="0.3">
      <c r="A2283" t="s">
        <v>23</v>
      </c>
      <c r="B2283" s="1">
        <v>41166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</row>
    <row r="2284" spans="1:8" x14ac:dyDescent="0.3">
      <c r="A2284" t="s">
        <v>23</v>
      </c>
      <c r="B2284" s="1">
        <v>41173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</row>
    <row r="2285" spans="1:8" x14ac:dyDescent="0.3">
      <c r="A2285" t="s">
        <v>23</v>
      </c>
      <c r="B2285" s="1">
        <v>41180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</row>
    <row r="2286" spans="1:8" x14ac:dyDescent="0.3">
      <c r="A2286" t="s">
        <v>23</v>
      </c>
      <c r="B2286" s="1">
        <v>41187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</row>
    <row r="2287" spans="1:8" x14ac:dyDescent="0.3">
      <c r="A2287" t="s">
        <v>23</v>
      </c>
      <c r="B2287" s="1">
        <v>41194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</row>
    <row r="2288" spans="1:8" x14ac:dyDescent="0.3">
      <c r="A2288" t="s">
        <v>23</v>
      </c>
      <c r="B2288" s="1">
        <v>41201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</row>
    <row r="2289" spans="1:8" x14ac:dyDescent="0.3">
      <c r="A2289" t="s">
        <v>23</v>
      </c>
      <c r="B2289" s="1">
        <v>41208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</row>
    <row r="2290" spans="1:8" x14ac:dyDescent="0.3">
      <c r="A2290" t="s">
        <v>24</v>
      </c>
      <c r="B2290" s="1">
        <v>40214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</row>
    <row r="2291" spans="1:8" x14ac:dyDescent="0.3">
      <c r="A2291" t="s">
        <v>24</v>
      </c>
      <c r="B2291" s="1">
        <v>40221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</row>
    <row r="2292" spans="1:8" x14ac:dyDescent="0.3">
      <c r="A2292" t="s">
        <v>24</v>
      </c>
      <c r="B2292" s="1">
        <v>40228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</row>
    <row r="2293" spans="1:8" x14ac:dyDescent="0.3">
      <c r="A2293" t="s">
        <v>24</v>
      </c>
      <c r="B2293" s="1">
        <v>40235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</row>
    <row r="2294" spans="1:8" x14ac:dyDescent="0.3">
      <c r="A2294" t="s">
        <v>24</v>
      </c>
      <c r="B2294" s="1">
        <v>40242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 x14ac:dyDescent="0.3">
      <c r="A2295" t="s">
        <v>24</v>
      </c>
      <c r="B2295" s="1">
        <v>40249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</row>
    <row r="2296" spans="1:8" x14ac:dyDescent="0.3">
      <c r="A2296" t="s">
        <v>24</v>
      </c>
      <c r="B2296" s="1">
        <v>40256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 x14ac:dyDescent="0.3">
      <c r="A2297" t="s">
        <v>24</v>
      </c>
      <c r="B2297" s="1">
        <v>40263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</row>
    <row r="2298" spans="1:8" x14ac:dyDescent="0.3">
      <c r="A2298" t="s">
        <v>24</v>
      </c>
      <c r="B2298" s="1">
        <v>40270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</row>
    <row r="2299" spans="1:8" x14ac:dyDescent="0.3">
      <c r="A2299" t="s">
        <v>24</v>
      </c>
      <c r="B2299" s="1">
        <v>40277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</row>
    <row r="2300" spans="1:8" x14ac:dyDescent="0.3">
      <c r="A2300" t="s">
        <v>24</v>
      </c>
      <c r="B2300" s="1">
        <v>40284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</row>
    <row r="2301" spans="1:8" x14ac:dyDescent="0.3">
      <c r="A2301" t="s">
        <v>24</v>
      </c>
      <c r="B2301" s="1">
        <v>40291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</row>
    <row r="2302" spans="1:8" x14ac:dyDescent="0.3">
      <c r="A2302" t="s">
        <v>24</v>
      </c>
      <c r="B2302" s="1">
        <v>40298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</row>
    <row r="2303" spans="1:8" x14ac:dyDescent="0.3">
      <c r="A2303" t="s">
        <v>24</v>
      </c>
      <c r="B2303" s="1">
        <v>40305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</row>
    <row r="2304" spans="1:8" x14ac:dyDescent="0.3">
      <c r="A2304" t="s">
        <v>24</v>
      </c>
      <c r="B2304" s="1">
        <v>40312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</row>
    <row r="2305" spans="1:8" x14ac:dyDescent="0.3">
      <c r="A2305" t="s">
        <v>24</v>
      </c>
      <c r="B2305" s="1">
        <v>40319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</row>
    <row r="2306" spans="1:8" x14ac:dyDescent="0.3">
      <c r="A2306" t="s">
        <v>24</v>
      </c>
      <c r="B2306" s="1">
        <v>40326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</row>
    <row r="2307" spans="1:8" x14ac:dyDescent="0.3">
      <c r="A2307" t="s">
        <v>24</v>
      </c>
      <c r="B2307" s="1">
        <v>40333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</row>
    <row r="2308" spans="1:8" x14ac:dyDescent="0.3">
      <c r="A2308" t="s">
        <v>24</v>
      </c>
      <c r="B2308" s="1">
        <v>40340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</row>
    <row r="2309" spans="1:8" x14ac:dyDescent="0.3">
      <c r="A2309" t="s">
        <v>24</v>
      </c>
      <c r="B2309" s="1">
        <v>40347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</row>
    <row r="2310" spans="1:8" x14ac:dyDescent="0.3">
      <c r="A2310" t="s">
        <v>24</v>
      </c>
      <c r="B2310" s="1">
        <v>40354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</row>
    <row r="2311" spans="1:8" x14ac:dyDescent="0.3">
      <c r="A2311" t="s">
        <v>24</v>
      </c>
      <c r="B2311" s="1">
        <v>40361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</row>
    <row r="2312" spans="1:8" x14ac:dyDescent="0.3">
      <c r="A2312" t="s">
        <v>24</v>
      </c>
      <c r="B2312" s="1">
        <v>40368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</row>
    <row r="2313" spans="1:8" x14ac:dyDescent="0.3">
      <c r="A2313" t="s">
        <v>24</v>
      </c>
      <c r="B2313" s="1">
        <v>40375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</row>
    <row r="2314" spans="1:8" x14ac:dyDescent="0.3">
      <c r="A2314" t="s">
        <v>24</v>
      </c>
      <c r="B2314" s="1">
        <v>40382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</row>
    <row r="2315" spans="1:8" x14ac:dyDescent="0.3">
      <c r="A2315" t="s">
        <v>24</v>
      </c>
      <c r="B2315" s="1">
        <v>40389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</row>
    <row r="2316" spans="1:8" x14ac:dyDescent="0.3">
      <c r="A2316" t="s">
        <v>24</v>
      </c>
      <c r="B2316" s="1">
        <v>40396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</row>
    <row r="2317" spans="1:8" x14ac:dyDescent="0.3">
      <c r="A2317" t="s">
        <v>24</v>
      </c>
      <c r="B2317" s="1">
        <v>40403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</row>
    <row r="2318" spans="1:8" x14ac:dyDescent="0.3">
      <c r="A2318" t="s">
        <v>24</v>
      </c>
      <c r="B2318" s="1">
        <v>40410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</row>
    <row r="2319" spans="1:8" x14ac:dyDescent="0.3">
      <c r="A2319" t="s">
        <v>24</v>
      </c>
      <c r="B2319" s="1">
        <v>40417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</row>
    <row r="2320" spans="1:8" x14ac:dyDescent="0.3">
      <c r="A2320" t="s">
        <v>24</v>
      </c>
      <c r="B2320" s="1">
        <v>40424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</row>
    <row r="2321" spans="1:8" x14ac:dyDescent="0.3">
      <c r="A2321" t="s">
        <v>24</v>
      </c>
      <c r="B2321" s="1">
        <v>40431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</row>
    <row r="2322" spans="1:8" x14ac:dyDescent="0.3">
      <c r="A2322" t="s">
        <v>24</v>
      </c>
      <c r="B2322" s="1">
        <v>40438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</row>
    <row r="2323" spans="1:8" x14ac:dyDescent="0.3">
      <c r="A2323" t="s">
        <v>24</v>
      </c>
      <c r="B2323" s="1">
        <v>40445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</row>
    <row r="2324" spans="1:8" x14ac:dyDescent="0.3">
      <c r="A2324" t="s">
        <v>24</v>
      </c>
      <c r="B2324" s="1">
        <v>40452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</row>
    <row r="2325" spans="1:8" x14ac:dyDescent="0.3">
      <c r="A2325" t="s">
        <v>24</v>
      </c>
      <c r="B2325" s="1">
        <v>40459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</row>
    <row r="2326" spans="1:8" x14ac:dyDescent="0.3">
      <c r="A2326" t="s">
        <v>24</v>
      </c>
      <c r="B2326" s="1">
        <v>40466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</row>
    <row r="2327" spans="1:8" x14ac:dyDescent="0.3">
      <c r="A2327" t="s">
        <v>24</v>
      </c>
      <c r="B2327" s="1">
        <v>40473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</row>
    <row r="2328" spans="1:8" x14ac:dyDescent="0.3">
      <c r="A2328" t="s">
        <v>24</v>
      </c>
      <c r="B2328" s="1">
        <v>40480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</row>
    <row r="2329" spans="1:8" x14ac:dyDescent="0.3">
      <c r="A2329" t="s">
        <v>24</v>
      </c>
      <c r="B2329" s="1">
        <v>40487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</row>
    <row r="2330" spans="1:8" x14ac:dyDescent="0.3">
      <c r="A2330" t="s">
        <v>24</v>
      </c>
      <c r="B2330" s="1">
        <v>40494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</row>
    <row r="2331" spans="1:8" x14ac:dyDescent="0.3">
      <c r="A2331" t="s">
        <v>24</v>
      </c>
      <c r="B2331" s="1">
        <v>40501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</row>
    <row r="2332" spans="1:8" x14ac:dyDescent="0.3">
      <c r="A2332" t="s">
        <v>24</v>
      </c>
      <c r="B2332" s="1">
        <v>40508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</row>
    <row r="2333" spans="1:8" x14ac:dyDescent="0.3">
      <c r="A2333" t="s">
        <v>24</v>
      </c>
      <c r="B2333" s="1">
        <v>40515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</row>
    <row r="2334" spans="1:8" x14ac:dyDescent="0.3">
      <c r="A2334" t="s">
        <v>24</v>
      </c>
      <c r="B2334" s="1">
        <v>40522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</row>
    <row r="2335" spans="1:8" x14ac:dyDescent="0.3">
      <c r="A2335" t="s">
        <v>24</v>
      </c>
      <c r="B2335" s="1">
        <v>40529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</row>
    <row r="2336" spans="1:8" x14ac:dyDescent="0.3">
      <c r="A2336" t="s">
        <v>24</v>
      </c>
      <c r="B2336" s="1">
        <v>40536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</row>
    <row r="2337" spans="1:8" x14ac:dyDescent="0.3">
      <c r="A2337" t="s">
        <v>24</v>
      </c>
      <c r="B2337" s="1">
        <v>40543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</row>
    <row r="2338" spans="1:8" x14ac:dyDescent="0.3">
      <c r="A2338" t="s">
        <v>24</v>
      </c>
      <c r="B2338" s="1">
        <v>40550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</row>
    <row r="2339" spans="1:8" x14ac:dyDescent="0.3">
      <c r="A2339" t="s">
        <v>24</v>
      </c>
      <c r="B2339" s="1">
        <v>40557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</row>
    <row r="2340" spans="1:8" x14ac:dyDescent="0.3">
      <c r="A2340" t="s">
        <v>24</v>
      </c>
      <c r="B2340" s="1">
        <v>40564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</row>
    <row r="2341" spans="1:8" x14ac:dyDescent="0.3">
      <c r="A2341" t="s">
        <v>24</v>
      </c>
      <c r="B2341" s="1">
        <v>40571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</row>
    <row r="2342" spans="1:8" x14ac:dyDescent="0.3">
      <c r="A2342" t="s">
        <v>24</v>
      </c>
      <c r="B2342" s="1">
        <v>40578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</row>
    <row r="2343" spans="1:8" x14ac:dyDescent="0.3">
      <c r="A2343" t="s">
        <v>24</v>
      </c>
      <c r="B2343" s="1">
        <v>40585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</row>
    <row r="2344" spans="1:8" x14ac:dyDescent="0.3">
      <c r="A2344" t="s">
        <v>24</v>
      </c>
      <c r="B2344" s="1">
        <v>40592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</row>
    <row r="2345" spans="1:8" x14ac:dyDescent="0.3">
      <c r="A2345" t="s">
        <v>24</v>
      </c>
      <c r="B2345" s="1">
        <v>40599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</row>
    <row r="2346" spans="1:8" x14ac:dyDescent="0.3">
      <c r="A2346" t="s">
        <v>24</v>
      </c>
      <c r="B2346" s="1">
        <v>40606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</row>
    <row r="2347" spans="1:8" x14ac:dyDescent="0.3">
      <c r="A2347" t="s">
        <v>24</v>
      </c>
      <c r="B2347" s="1">
        <v>40613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</row>
    <row r="2348" spans="1:8" x14ac:dyDescent="0.3">
      <c r="A2348" t="s">
        <v>24</v>
      </c>
      <c r="B2348" s="1">
        <v>40620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</row>
    <row r="2349" spans="1:8" x14ac:dyDescent="0.3">
      <c r="A2349" t="s">
        <v>24</v>
      </c>
      <c r="B2349" s="1">
        <v>40627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</row>
    <row r="2350" spans="1:8" x14ac:dyDescent="0.3">
      <c r="A2350" t="s">
        <v>24</v>
      </c>
      <c r="B2350" s="1">
        <v>40634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</row>
    <row r="2351" spans="1:8" x14ac:dyDescent="0.3">
      <c r="A2351" t="s">
        <v>24</v>
      </c>
      <c r="B2351" s="1">
        <v>40641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</row>
    <row r="2352" spans="1:8" x14ac:dyDescent="0.3">
      <c r="A2352" t="s">
        <v>24</v>
      </c>
      <c r="B2352" s="1">
        <v>40648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</row>
    <row r="2353" spans="1:8" x14ac:dyDescent="0.3">
      <c r="A2353" t="s">
        <v>24</v>
      </c>
      <c r="B2353" s="1">
        <v>40655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</row>
    <row r="2354" spans="1:8" x14ac:dyDescent="0.3">
      <c r="A2354" t="s">
        <v>24</v>
      </c>
      <c r="B2354" s="1">
        <v>40662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</row>
    <row r="2355" spans="1:8" x14ac:dyDescent="0.3">
      <c r="A2355" t="s">
        <v>24</v>
      </c>
      <c r="B2355" s="1">
        <v>40669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</row>
    <row r="2356" spans="1:8" x14ac:dyDescent="0.3">
      <c r="A2356" t="s">
        <v>24</v>
      </c>
      <c r="B2356" s="1">
        <v>40676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 x14ac:dyDescent="0.3">
      <c r="A2357" t="s">
        <v>24</v>
      </c>
      <c r="B2357" s="1">
        <v>40683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</row>
    <row r="2358" spans="1:8" x14ac:dyDescent="0.3">
      <c r="A2358" t="s">
        <v>24</v>
      </c>
      <c r="B2358" s="1">
        <v>40690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</row>
    <row r="2359" spans="1:8" x14ac:dyDescent="0.3">
      <c r="A2359" t="s">
        <v>24</v>
      </c>
      <c r="B2359" s="1">
        <v>40697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</row>
    <row r="2360" spans="1:8" x14ac:dyDescent="0.3">
      <c r="A2360" t="s">
        <v>24</v>
      </c>
      <c r="B2360" s="1">
        <v>40704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</row>
    <row r="2361" spans="1:8" x14ac:dyDescent="0.3">
      <c r="A2361" t="s">
        <v>24</v>
      </c>
      <c r="B2361" s="1">
        <v>40711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</row>
    <row r="2362" spans="1:8" x14ac:dyDescent="0.3">
      <c r="A2362" t="s">
        <v>24</v>
      </c>
      <c r="B2362" s="1">
        <v>40718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</row>
    <row r="2363" spans="1:8" x14ac:dyDescent="0.3">
      <c r="A2363" t="s">
        <v>24</v>
      </c>
      <c r="B2363" s="1">
        <v>40725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</row>
    <row r="2364" spans="1:8" x14ac:dyDescent="0.3">
      <c r="A2364" t="s">
        <v>24</v>
      </c>
      <c r="B2364" s="1">
        <v>40732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</row>
    <row r="2365" spans="1:8" x14ac:dyDescent="0.3">
      <c r="A2365" t="s">
        <v>24</v>
      </c>
      <c r="B2365" s="1">
        <v>40739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</row>
    <row r="2366" spans="1:8" x14ac:dyDescent="0.3">
      <c r="A2366" t="s">
        <v>24</v>
      </c>
      <c r="B2366" s="1">
        <v>40746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</row>
    <row r="2367" spans="1:8" x14ac:dyDescent="0.3">
      <c r="A2367" t="s">
        <v>24</v>
      </c>
      <c r="B2367" s="1">
        <v>40753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</row>
    <row r="2368" spans="1:8" x14ac:dyDescent="0.3">
      <c r="A2368" t="s">
        <v>24</v>
      </c>
      <c r="B2368" s="1">
        <v>40760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</row>
    <row r="2369" spans="1:8" x14ac:dyDescent="0.3">
      <c r="A2369" t="s">
        <v>24</v>
      </c>
      <c r="B2369" s="1">
        <v>40767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</row>
    <row r="2370" spans="1:8" x14ac:dyDescent="0.3">
      <c r="A2370" t="s">
        <v>24</v>
      </c>
      <c r="B2370" s="1">
        <v>40774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</row>
    <row r="2371" spans="1:8" x14ac:dyDescent="0.3">
      <c r="A2371" t="s">
        <v>24</v>
      </c>
      <c r="B2371" s="1">
        <v>40781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</row>
    <row r="2372" spans="1:8" x14ac:dyDescent="0.3">
      <c r="A2372" t="s">
        <v>24</v>
      </c>
      <c r="B2372" s="1">
        <v>40788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</row>
    <row r="2373" spans="1:8" x14ac:dyDescent="0.3">
      <c r="A2373" t="s">
        <v>24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</row>
    <row r="2374" spans="1:8" x14ac:dyDescent="0.3">
      <c r="A2374" t="s">
        <v>24</v>
      </c>
      <c r="B2374" s="1">
        <v>40802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</row>
    <row r="2375" spans="1:8" x14ac:dyDescent="0.3">
      <c r="A2375" t="s">
        <v>24</v>
      </c>
      <c r="B2375" s="1">
        <v>40809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</row>
    <row r="2376" spans="1:8" x14ac:dyDescent="0.3">
      <c r="A2376" t="s">
        <v>24</v>
      </c>
      <c r="B2376" s="1">
        <v>40816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</row>
    <row r="2377" spans="1:8" x14ac:dyDescent="0.3">
      <c r="A2377" t="s">
        <v>24</v>
      </c>
      <c r="B2377" s="1">
        <v>40823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</row>
    <row r="2378" spans="1:8" x14ac:dyDescent="0.3">
      <c r="A2378" t="s">
        <v>24</v>
      </c>
      <c r="B2378" s="1">
        <v>40830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</row>
    <row r="2379" spans="1:8" x14ac:dyDescent="0.3">
      <c r="A2379" t="s">
        <v>24</v>
      </c>
      <c r="B2379" s="1">
        <v>40837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</row>
    <row r="2380" spans="1:8" x14ac:dyDescent="0.3">
      <c r="A2380" t="s">
        <v>24</v>
      </c>
      <c r="B2380" s="1">
        <v>40844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</row>
    <row r="2381" spans="1:8" x14ac:dyDescent="0.3">
      <c r="A2381" t="s">
        <v>24</v>
      </c>
      <c r="B2381" s="1">
        <v>40851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</row>
    <row r="2382" spans="1:8" x14ac:dyDescent="0.3">
      <c r="A2382" t="s">
        <v>24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</row>
    <row r="2383" spans="1:8" x14ac:dyDescent="0.3">
      <c r="A2383" t="s">
        <v>24</v>
      </c>
      <c r="B2383" s="1">
        <v>40865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</row>
    <row r="2384" spans="1:8" x14ac:dyDescent="0.3">
      <c r="A2384" t="s">
        <v>24</v>
      </c>
      <c r="B2384" s="1">
        <v>40872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</row>
    <row r="2385" spans="1:8" x14ac:dyDescent="0.3">
      <c r="A2385" t="s">
        <v>24</v>
      </c>
      <c r="B2385" s="1">
        <v>40879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</row>
    <row r="2386" spans="1:8" x14ac:dyDescent="0.3">
      <c r="A2386" t="s">
        <v>24</v>
      </c>
      <c r="B2386" s="1">
        <v>40886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</row>
    <row r="2387" spans="1:8" x14ac:dyDescent="0.3">
      <c r="A2387" t="s">
        <v>24</v>
      </c>
      <c r="B2387" s="1">
        <v>40893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 x14ac:dyDescent="0.3">
      <c r="A2388" t="s">
        <v>24</v>
      </c>
      <c r="B2388" s="1">
        <v>40900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</row>
    <row r="2389" spans="1:8" x14ac:dyDescent="0.3">
      <c r="A2389" t="s">
        <v>24</v>
      </c>
      <c r="B2389" s="1">
        <v>40907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</row>
    <row r="2390" spans="1:8" x14ac:dyDescent="0.3">
      <c r="A2390" t="s">
        <v>24</v>
      </c>
      <c r="B2390" s="1">
        <v>40914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</row>
    <row r="2391" spans="1:8" x14ac:dyDescent="0.3">
      <c r="A2391" t="s">
        <v>24</v>
      </c>
      <c r="B2391" s="1">
        <v>40921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</row>
    <row r="2392" spans="1:8" x14ac:dyDescent="0.3">
      <c r="A2392" t="s">
        <v>24</v>
      </c>
      <c r="B2392" s="1">
        <v>40928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</row>
    <row r="2393" spans="1:8" x14ac:dyDescent="0.3">
      <c r="A2393" t="s">
        <v>24</v>
      </c>
      <c r="B2393" s="1">
        <v>40935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</row>
    <row r="2394" spans="1:8" x14ac:dyDescent="0.3">
      <c r="A2394" t="s">
        <v>24</v>
      </c>
      <c r="B2394" s="1">
        <v>40942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</row>
    <row r="2395" spans="1:8" x14ac:dyDescent="0.3">
      <c r="A2395" t="s">
        <v>24</v>
      </c>
      <c r="B2395" s="1">
        <v>40949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</row>
    <row r="2396" spans="1:8" x14ac:dyDescent="0.3">
      <c r="A2396" t="s">
        <v>24</v>
      </c>
      <c r="B2396" s="1">
        <v>40956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</row>
    <row r="2397" spans="1:8" x14ac:dyDescent="0.3">
      <c r="A2397" t="s">
        <v>24</v>
      </c>
      <c r="B2397" s="1">
        <v>40963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</row>
    <row r="2398" spans="1:8" x14ac:dyDescent="0.3">
      <c r="A2398" t="s">
        <v>24</v>
      </c>
      <c r="B2398" s="1">
        <v>40970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</row>
    <row r="2399" spans="1:8" x14ac:dyDescent="0.3">
      <c r="A2399" t="s">
        <v>24</v>
      </c>
      <c r="B2399" s="1">
        <v>40977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</row>
    <row r="2400" spans="1:8" x14ac:dyDescent="0.3">
      <c r="A2400" t="s">
        <v>24</v>
      </c>
      <c r="B2400" s="1">
        <v>40984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</row>
    <row r="2401" spans="1:8" x14ac:dyDescent="0.3">
      <c r="A2401" t="s">
        <v>24</v>
      </c>
      <c r="B2401" s="1">
        <v>40991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</row>
    <row r="2402" spans="1:8" x14ac:dyDescent="0.3">
      <c r="A2402" t="s">
        <v>24</v>
      </c>
      <c r="B2402" s="1">
        <v>40998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</row>
    <row r="2403" spans="1:8" x14ac:dyDescent="0.3">
      <c r="A2403" t="s">
        <v>24</v>
      </c>
      <c r="B2403" s="1">
        <v>41005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</row>
    <row r="2404" spans="1:8" x14ac:dyDescent="0.3">
      <c r="A2404" t="s">
        <v>24</v>
      </c>
      <c r="B2404" s="1">
        <v>41012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</row>
    <row r="2405" spans="1:8" x14ac:dyDescent="0.3">
      <c r="A2405" t="s">
        <v>24</v>
      </c>
      <c r="B2405" s="1">
        <v>41019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</row>
    <row r="2406" spans="1:8" x14ac:dyDescent="0.3">
      <c r="A2406" t="s">
        <v>24</v>
      </c>
      <c r="B2406" s="1">
        <v>41026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</row>
    <row r="2407" spans="1:8" x14ac:dyDescent="0.3">
      <c r="A2407" t="s">
        <v>24</v>
      </c>
      <c r="B2407" s="1">
        <v>41033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</row>
    <row r="2408" spans="1:8" x14ac:dyDescent="0.3">
      <c r="A2408" t="s">
        <v>24</v>
      </c>
      <c r="B2408" s="1">
        <v>41040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</row>
    <row r="2409" spans="1:8" x14ac:dyDescent="0.3">
      <c r="A2409" t="s">
        <v>24</v>
      </c>
      <c r="B2409" s="1">
        <v>41047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</row>
    <row r="2410" spans="1:8" x14ac:dyDescent="0.3">
      <c r="A2410" t="s">
        <v>24</v>
      </c>
      <c r="B2410" s="1">
        <v>41054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</row>
    <row r="2411" spans="1:8" x14ac:dyDescent="0.3">
      <c r="A2411" t="s">
        <v>24</v>
      </c>
      <c r="B2411" s="1">
        <v>41061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</row>
    <row r="2412" spans="1:8" x14ac:dyDescent="0.3">
      <c r="A2412" t="s">
        <v>24</v>
      </c>
      <c r="B2412" s="1">
        <v>41068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</row>
    <row r="2413" spans="1:8" x14ac:dyDescent="0.3">
      <c r="A2413" t="s">
        <v>24</v>
      </c>
      <c r="B2413" s="1">
        <v>41075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</row>
    <row r="2414" spans="1:8" x14ac:dyDescent="0.3">
      <c r="A2414" t="s">
        <v>24</v>
      </c>
      <c r="B2414" s="1">
        <v>41082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</row>
    <row r="2415" spans="1:8" x14ac:dyDescent="0.3">
      <c r="A2415" t="s">
        <v>24</v>
      </c>
      <c r="B2415" s="1">
        <v>41089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</row>
    <row r="2416" spans="1:8" x14ac:dyDescent="0.3">
      <c r="A2416" t="s">
        <v>24</v>
      </c>
      <c r="B2416" s="1">
        <v>41096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</row>
    <row r="2417" spans="1:8" x14ac:dyDescent="0.3">
      <c r="A2417" t="s">
        <v>24</v>
      </c>
      <c r="B2417" s="1">
        <v>41103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</row>
    <row r="2418" spans="1:8" x14ac:dyDescent="0.3">
      <c r="A2418" t="s">
        <v>24</v>
      </c>
      <c r="B2418" s="1">
        <v>41110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</row>
    <row r="2419" spans="1:8" x14ac:dyDescent="0.3">
      <c r="A2419" t="s">
        <v>24</v>
      </c>
      <c r="B2419" s="1">
        <v>41117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</row>
    <row r="2420" spans="1:8" x14ac:dyDescent="0.3">
      <c r="A2420" t="s">
        <v>24</v>
      </c>
      <c r="B2420" s="1">
        <v>41124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</row>
    <row r="2421" spans="1:8" x14ac:dyDescent="0.3">
      <c r="A2421" t="s">
        <v>24</v>
      </c>
      <c r="B2421" s="1">
        <v>41131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</row>
    <row r="2422" spans="1:8" x14ac:dyDescent="0.3">
      <c r="A2422" t="s">
        <v>24</v>
      </c>
      <c r="B2422" s="1">
        <v>41138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</row>
    <row r="2423" spans="1:8" x14ac:dyDescent="0.3">
      <c r="A2423" t="s">
        <v>24</v>
      </c>
      <c r="B2423" s="1">
        <v>41145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</row>
    <row r="2424" spans="1:8" x14ac:dyDescent="0.3">
      <c r="A2424" t="s">
        <v>24</v>
      </c>
      <c r="B2424" s="1">
        <v>41152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</row>
    <row r="2425" spans="1:8" x14ac:dyDescent="0.3">
      <c r="A2425" t="s">
        <v>24</v>
      </c>
      <c r="B2425" s="1">
        <v>41159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</row>
    <row r="2426" spans="1:8" x14ac:dyDescent="0.3">
      <c r="A2426" t="s">
        <v>24</v>
      </c>
      <c r="B2426" s="1">
        <v>41166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</row>
    <row r="2427" spans="1:8" x14ac:dyDescent="0.3">
      <c r="A2427" t="s">
        <v>24</v>
      </c>
      <c r="B2427" s="1">
        <v>41173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</row>
    <row r="2428" spans="1:8" x14ac:dyDescent="0.3">
      <c r="A2428" t="s">
        <v>24</v>
      </c>
      <c r="B2428" s="1">
        <v>41180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</row>
    <row r="2429" spans="1:8" x14ac:dyDescent="0.3">
      <c r="A2429" t="s">
        <v>24</v>
      </c>
      <c r="B2429" s="1">
        <v>41187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</row>
    <row r="2430" spans="1:8" x14ac:dyDescent="0.3">
      <c r="A2430" t="s">
        <v>24</v>
      </c>
      <c r="B2430" s="1">
        <v>41194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</row>
    <row r="2431" spans="1:8" x14ac:dyDescent="0.3">
      <c r="A2431" t="s">
        <v>24</v>
      </c>
      <c r="B2431" s="1">
        <v>41201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</row>
    <row r="2432" spans="1:8" x14ac:dyDescent="0.3">
      <c r="A2432" t="s">
        <v>24</v>
      </c>
      <c r="B2432" s="1">
        <v>41208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</row>
    <row r="2433" spans="1:8" x14ac:dyDescent="0.3">
      <c r="A2433" t="s">
        <v>25</v>
      </c>
      <c r="B2433" s="1">
        <v>40214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</row>
    <row r="2434" spans="1:8" x14ac:dyDescent="0.3">
      <c r="A2434" t="s">
        <v>25</v>
      </c>
      <c r="B2434" s="1">
        <v>40221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</row>
    <row r="2435" spans="1:8" x14ac:dyDescent="0.3">
      <c r="A2435" t="s">
        <v>25</v>
      </c>
      <c r="B2435" s="1">
        <v>40228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</row>
    <row r="2436" spans="1:8" x14ac:dyDescent="0.3">
      <c r="A2436" t="s">
        <v>25</v>
      </c>
      <c r="B2436" s="1">
        <v>40235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</row>
    <row r="2437" spans="1:8" x14ac:dyDescent="0.3">
      <c r="A2437" t="s">
        <v>25</v>
      </c>
      <c r="B2437" s="1">
        <v>40242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</row>
    <row r="2438" spans="1:8" x14ac:dyDescent="0.3">
      <c r="A2438" t="s">
        <v>25</v>
      </c>
      <c r="B2438" s="1">
        <v>40249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</row>
    <row r="2439" spans="1:8" x14ac:dyDescent="0.3">
      <c r="A2439" t="s">
        <v>25</v>
      </c>
      <c r="B2439" s="1">
        <v>40256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</row>
    <row r="2440" spans="1:8" x14ac:dyDescent="0.3">
      <c r="A2440" t="s">
        <v>25</v>
      </c>
      <c r="B2440" s="1">
        <v>40263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</row>
    <row r="2441" spans="1:8" x14ac:dyDescent="0.3">
      <c r="A2441" t="s">
        <v>25</v>
      </c>
      <c r="B2441" s="1">
        <v>40270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</row>
    <row r="2442" spans="1:8" x14ac:dyDescent="0.3">
      <c r="A2442" t="s">
        <v>25</v>
      </c>
      <c r="B2442" s="1">
        <v>40277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</row>
    <row r="2443" spans="1:8" x14ac:dyDescent="0.3">
      <c r="A2443" t="s">
        <v>25</v>
      </c>
      <c r="B2443" s="1">
        <v>40284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</row>
    <row r="2444" spans="1:8" x14ac:dyDescent="0.3">
      <c r="A2444" t="s">
        <v>25</v>
      </c>
      <c r="B2444" s="1">
        <v>40291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</row>
    <row r="2445" spans="1:8" x14ac:dyDescent="0.3">
      <c r="A2445" t="s">
        <v>25</v>
      </c>
      <c r="B2445" s="1">
        <v>40298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</row>
    <row r="2446" spans="1:8" x14ac:dyDescent="0.3">
      <c r="A2446" t="s">
        <v>25</v>
      </c>
      <c r="B2446" s="1">
        <v>40305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</row>
    <row r="2447" spans="1:8" x14ac:dyDescent="0.3">
      <c r="A2447" t="s">
        <v>25</v>
      </c>
      <c r="B2447" s="1">
        <v>40312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</row>
    <row r="2448" spans="1:8" x14ac:dyDescent="0.3">
      <c r="A2448" t="s">
        <v>25</v>
      </c>
      <c r="B2448" s="1">
        <v>40319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</row>
    <row r="2449" spans="1:8" x14ac:dyDescent="0.3">
      <c r="A2449" t="s">
        <v>25</v>
      </c>
      <c r="B2449" s="1">
        <v>40326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</row>
    <row r="2450" spans="1:8" x14ac:dyDescent="0.3">
      <c r="A2450" t="s">
        <v>25</v>
      </c>
      <c r="B2450" s="1">
        <v>40333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</row>
    <row r="2451" spans="1:8" x14ac:dyDescent="0.3">
      <c r="A2451" t="s">
        <v>25</v>
      </c>
      <c r="B2451" s="1">
        <v>40340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</row>
    <row r="2452" spans="1:8" x14ac:dyDescent="0.3">
      <c r="A2452" t="s">
        <v>25</v>
      </c>
      <c r="B2452" s="1">
        <v>40347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</row>
    <row r="2453" spans="1:8" x14ac:dyDescent="0.3">
      <c r="A2453" t="s">
        <v>25</v>
      </c>
      <c r="B2453" s="1">
        <v>40354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</row>
    <row r="2454" spans="1:8" x14ac:dyDescent="0.3">
      <c r="A2454" t="s">
        <v>25</v>
      </c>
      <c r="B2454" s="1">
        <v>40361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</row>
    <row r="2455" spans="1:8" x14ac:dyDescent="0.3">
      <c r="A2455" t="s">
        <v>25</v>
      </c>
      <c r="B2455" s="1">
        <v>40368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</row>
    <row r="2456" spans="1:8" x14ac:dyDescent="0.3">
      <c r="A2456" t="s">
        <v>25</v>
      </c>
      <c r="B2456" s="1">
        <v>40375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</row>
    <row r="2457" spans="1:8" x14ac:dyDescent="0.3">
      <c r="A2457" t="s">
        <v>25</v>
      </c>
      <c r="B2457" s="1">
        <v>40382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</row>
    <row r="2458" spans="1:8" x14ac:dyDescent="0.3">
      <c r="A2458" t="s">
        <v>25</v>
      </c>
      <c r="B2458" s="1">
        <v>40389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</row>
    <row r="2459" spans="1:8" x14ac:dyDescent="0.3">
      <c r="A2459" t="s">
        <v>25</v>
      </c>
      <c r="B2459" s="1">
        <v>40396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</row>
    <row r="2460" spans="1:8" x14ac:dyDescent="0.3">
      <c r="A2460" t="s">
        <v>25</v>
      </c>
      <c r="B2460" s="1">
        <v>40403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</row>
    <row r="2461" spans="1:8" x14ac:dyDescent="0.3">
      <c r="A2461" t="s">
        <v>25</v>
      </c>
      <c r="B2461" s="1">
        <v>40410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</row>
    <row r="2462" spans="1:8" x14ac:dyDescent="0.3">
      <c r="A2462" t="s">
        <v>25</v>
      </c>
      <c r="B2462" s="1">
        <v>40417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</row>
    <row r="2463" spans="1:8" x14ac:dyDescent="0.3">
      <c r="A2463" t="s">
        <v>25</v>
      </c>
      <c r="B2463" s="1">
        <v>40424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</row>
    <row r="2464" spans="1:8" x14ac:dyDescent="0.3">
      <c r="A2464" t="s">
        <v>25</v>
      </c>
      <c r="B2464" s="1">
        <v>40431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</row>
    <row r="2465" spans="1:8" x14ac:dyDescent="0.3">
      <c r="A2465" t="s">
        <v>25</v>
      </c>
      <c r="B2465" s="1">
        <v>40438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</row>
    <row r="2466" spans="1:8" x14ac:dyDescent="0.3">
      <c r="A2466" t="s">
        <v>25</v>
      </c>
      <c r="B2466" s="1">
        <v>40445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</row>
    <row r="2467" spans="1:8" x14ac:dyDescent="0.3">
      <c r="A2467" t="s">
        <v>25</v>
      </c>
      <c r="B2467" s="1">
        <v>40452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</row>
    <row r="2468" spans="1:8" x14ac:dyDescent="0.3">
      <c r="A2468" t="s">
        <v>25</v>
      </c>
      <c r="B2468" s="1">
        <v>40459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</row>
    <row r="2469" spans="1:8" x14ac:dyDescent="0.3">
      <c r="A2469" t="s">
        <v>25</v>
      </c>
      <c r="B2469" s="1">
        <v>40466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</row>
    <row r="2470" spans="1:8" x14ac:dyDescent="0.3">
      <c r="A2470" t="s">
        <v>25</v>
      </c>
      <c r="B2470" s="1">
        <v>40473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</row>
    <row r="2471" spans="1:8" x14ac:dyDescent="0.3">
      <c r="A2471" t="s">
        <v>25</v>
      </c>
      <c r="B2471" s="1">
        <v>40480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</row>
    <row r="2472" spans="1:8" x14ac:dyDescent="0.3">
      <c r="A2472" t="s">
        <v>25</v>
      </c>
      <c r="B2472" s="1">
        <v>40487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</row>
    <row r="2473" spans="1:8" x14ac:dyDescent="0.3">
      <c r="A2473" t="s">
        <v>25</v>
      </c>
      <c r="B2473" s="1">
        <v>40494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</row>
    <row r="2474" spans="1:8" x14ac:dyDescent="0.3">
      <c r="A2474" t="s">
        <v>25</v>
      </c>
      <c r="B2474" s="1">
        <v>40501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</row>
    <row r="2475" spans="1:8" x14ac:dyDescent="0.3">
      <c r="A2475" t="s">
        <v>25</v>
      </c>
      <c r="B2475" s="1">
        <v>40508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</row>
    <row r="2476" spans="1:8" x14ac:dyDescent="0.3">
      <c r="A2476" t="s">
        <v>25</v>
      </c>
      <c r="B2476" s="1">
        <v>40515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</row>
    <row r="2477" spans="1:8" x14ac:dyDescent="0.3">
      <c r="A2477" t="s">
        <v>25</v>
      </c>
      <c r="B2477" s="1">
        <v>40522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</row>
    <row r="2478" spans="1:8" x14ac:dyDescent="0.3">
      <c r="A2478" t="s">
        <v>25</v>
      </c>
      <c r="B2478" s="1">
        <v>40529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</row>
    <row r="2479" spans="1:8" x14ac:dyDescent="0.3">
      <c r="A2479" t="s">
        <v>25</v>
      </c>
      <c r="B2479" s="1">
        <v>40536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</row>
    <row r="2480" spans="1:8" x14ac:dyDescent="0.3">
      <c r="A2480" t="s">
        <v>25</v>
      </c>
      <c r="B2480" s="1">
        <v>40543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</row>
    <row r="2481" spans="1:8" x14ac:dyDescent="0.3">
      <c r="A2481" t="s">
        <v>25</v>
      </c>
      <c r="B2481" s="1">
        <v>40550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</row>
    <row r="2482" spans="1:8" x14ac:dyDescent="0.3">
      <c r="A2482" t="s">
        <v>25</v>
      </c>
      <c r="B2482" s="1">
        <v>40557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</row>
    <row r="2483" spans="1:8" x14ac:dyDescent="0.3">
      <c r="A2483" t="s">
        <v>25</v>
      </c>
      <c r="B2483" s="1">
        <v>40564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</row>
    <row r="2484" spans="1:8" x14ac:dyDescent="0.3">
      <c r="A2484" t="s">
        <v>25</v>
      </c>
      <c r="B2484" s="1">
        <v>40571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</row>
    <row r="2485" spans="1:8" x14ac:dyDescent="0.3">
      <c r="A2485" t="s">
        <v>25</v>
      </c>
      <c r="B2485" s="1">
        <v>40578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</row>
    <row r="2486" spans="1:8" x14ac:dyDescent="0.3">
      <c r="A2486" t="s">
        <v>25</v>
      </c>
      <c r="B2486" s="1">
        <v>40585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</row>
    <row r="2487" spans="1:8" x14ac:dyDescent="0.3">
      <c r="A2487" t="s">
        <v>25</v>
      </c>
      <c r="B2487" s="1">
        <v>40592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</row>
    <row r="2488" spans="1:8" x14ac:dyDescent="0.3">
      <c r="A2488" t="s">
        <v>25</v>
      </c>
      <c r="B2488" s="1">
        <v>40599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</row>
    <row r="2489" spans="1:8" x14ac:dyDescent="0.3">
      <c r="A2489" t="s">
        <v>25</v>
      </c>
      <c r="B2489" s="1">
        <v>40606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</row>
    <row r="2490" spans="1:8" x14ac:dyDescent="0.3">
      <c r="A2490" t="s">
        <v>25</v>
      </c>
      <c r="B2490" s="1">
        <v>40613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</row>
    <row r="2491" spans="1:8" x14ac:dyDescent="0.3">
      <c r="A2491" t="s">
        <v>25</v>
      </c>
      <c r="B2491" s="1">
        <v>40620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</row>
    <row r="2492" spans="1:8" x14ac:dyDescent="0.3">
      <c r="A2492" t="s">
        <v>25</v>
      </c>
      <c r="B2492" s="1">
        <v>40627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</row>
    <row r="2493" spans="1:8" x14ac:dyDescent="0.3">
      <c r="A2493" t="s">
        <v>25</v>
      </c>
      <c r="B2493" s="1">
        <v>40634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</row>
    <row r="2494" spans="1:8" x14ac:dyDescent="0.3">
      <c r="A2494" t="s">
        <v>25</v>
      </c>
      <c r="B2494" s="1">
        <v>40641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</row>
    <row r="2495" spans="1:8" x14ac:dyDescent="0.3">
      <c r="A2495" t="s">
        <v>25</v>
      </c>
      <c r="B2495" s="1">
        <v>40648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</row>
    <row r="2496" spans="1:8" x14ac:dyDescent="0.3">
      <c r="A2496" t="s">
        <v>25</v>
      </c>
      <c r="B2496" s="1">
        <v>40655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</row>
    <row r="2497" spans="1:8" x14ac:dyDescent="0.3">
      <c r="A2497" t="s">
        <v>25</v>
      </c>
      <c r="B2497" s="1">
        <v>40662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</row>
    <row r="2498" spans="1:8" x14ac:dyDescent="0.3">
      <c r="A2498" t="s">
        <v>25</v>
      </c>
      <c r="B2498" s="1">
        <v>40669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</row>
    <row r="2499" spans="1:8" x14ac:dyDescent="0.3">
      <c r="A2499" t="s">
        <v>25</v>
      </c>
      <c r="B2499" s="1">
        <v>40676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</row>
    <row r="2500" spans="1:8" x14ac:dyDescent="0.3">
      <c r="A2500" t="s">
        <v>25</v>
      </c>
      <c r="B2500" s="1">
        <v>40683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</row>
    <row r="2501" spans="1:8" x14ac:dyDescent="0.3">
      <c r="A2501" t="s">
        <v>25</v>
      </c>
      <c r="B2501" s="1">
        <v>40690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</row>
    <row r="2502" spans="1:8" x14ac:dyDescent="0.3">
      <c r="A2502" t="s">
        <v>25</v>
      </c>
      <c r="B2502" s="1">
        <v>40697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</row>
    <row r="2503" spans="1:8" x14ac:dyDescent="0.3">
      <c r="A2503" t="s">
        <v>25</v>
      </c>
      <c r="B2503" s="1">
        <v>40704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</row>
    <row r="2504" spans="1:8" x14ac:dyDescent="0.3">
      <c r="A2504" t="s">
        <v>25</v>
      </c>
      <c r="B2504" s="1">
        <v>40711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</row>
    <row r="2505" spans="1:8" x14ac:dyDescent="0.3">
      <c r="A2505" t="s">
        <v>25</v>
      </c>
      <c r="B2505" s="1">
        <v>40718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</row>
    <row r="2506" spans="1:8" x14ac:dyDescent="0.3">
      <c r="A2506" t="s">
        <v>25</v>
      </c>
      <c r="B2506" s="1">
        <v>40725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</row>
    <row r="2507" spans="1:8" x14ac:dyDescent="0.3">
      <c r="A2507" t="s">
        <v>25</v>
      </c>
      <c r="B2507" s="1">
        <v>40732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</row>
    <row r="2508" spans="1:8" x14ac:dyDescent="0.3">
      <c r="A2508" t="s">
        <v>25</v>
      </c>
      <c r="B2508" s="1">
        <v>40739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</row>
    <row r="2509" spans="1:8" x14ac:dyDescent="0.3">
      <c r="A2509" t="s">
        <v>25</v>
      </c>
      <c r="B2509" s="1">
        <v>40746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</row>
    <row r="2510" spans="1:8" x14ac:dyDescent="0.3">
      <c r="A2510" t="s">
        <v>25</v>
      </c>
      <c r="B2510" s="1">
        <v>40753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</row>
    <row r="2511" spans="1:8" x14ac:dyDescent="0.3">
      <c r="A2511" t="s">
        <v>25</v>
      </c>
      <c r="B2511" s="1">
        <v>40760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</row>
    <row r="2512" spans="1:8" x14ac:dyDescent="0.3">
      <c r="A2512" t="s">
        <v>25</v>
      </c>
      <c r="B2512" s="1">
        <v>40767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</row>
    <row r="2513" spans="1:8" x14ac:dyDescent="0.3">
      <c r="A2513" t="s">
        <v>25</v>
      </c>
      <c r="B2513" s="1">
        <v>40774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</row>
    <row r="2514" spans="1:8" x14ac:dyDescent="0.3">
      <c r="A2514" t="s">
        <v>25</v>
      </c>
      <c r="B2514" s="1">
        <v>40781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</row>
    <row r="2515" spans="1:8" x14ac:dyDescent="0.3">
      <c r="A2515" t="s">
        <v>25</v>
      </c>
      <c r="B2515" s="1">
        <v>40788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</row>
    <row r="2516" spans="1:8" x14ac:dyDescent="0.3">
      <c r="A2516" t="s">
        <v>25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</row>
    <row r="2517" spans="1:8" x14ac:dyDescent="0.3">
      <c r="A2517" t="s">
        <v>25</v>
      </c>
      <c r="B2517" s="1">
        <v>40802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</row>
    <row r="2518" spans="1:8" x14ac:dyDescent="0.3">
      <c r="A2518" t="s">
        <v>25</v>
      </c>
      <c r="B2518" s="1">
        <v>40809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</row>
    <row r="2519" spans="1:8" x14ac:dyDescent="0.3">
      <c r="A2519" t="s">
        <v>25</v>
      </c>
      <c r="B2519" s="1">
        <v>40816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</row>
    <row r="2520" spans="1:8" x14ac:dyDescent="0.3">
      <c r="A2520" t="s">
        <v>25</v>
      </c>
      <c r="B2520" s="1">
        <v>40823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</row>
    <row r="2521" spans="1:8" x14ac:dyDescent="0.3">
      <c r="A2521" t="s">
        <v>25</v>
      </c>
      <c r="B2521" s="1">
        <v>40830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</row>
    <row r="2522" spans="1:8" x14ac:dyDescent="0.3">
      <c r="A2522" t="s">
        <v>25</v>
      </c>
      <c r="B2522" s="1">
        <v>40837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</row>
    <row r="2523" spans="1:8" x14ac:dyDescent="0.3">
      <c r="A2523" t="s">
        <v>25</v>
      </c>
      <c r="B2523" s="1">
        <v>40844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</row>
    <row r="2524" spans="1:8" x14ac:dyDescent="0.3">
      <c r="A2524" t="s">
        <v>25</v>
      </c>
      <c r="B2524" s="1">
        <v>40851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</row>
    <row r="2525" spans="1:8" x14ac:dyDescent="0.3">
      <c r="A2525" t="s">
        <v>25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</row>
    <row r="2526" spans="1:8" x14ac:dyDescent="0.3">
      <c r="A2526" t="s">
        <v>25</v>
      </c>
      <c r="B2526" s="1">
        <v>40865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</row>
    <row r="2527" spans="1:8" x14ac:dyDescent="0.3">
      <c r="A2527" t="s">
        <v>25</v>
      </c>
      <c r="B2527" s="1">
        <v>40872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</row>
    <row r="2528" spans="1:8" x14ac:dyDescent="0.3">
      <c r="A2528" t="s">
        <v>25</v>
      </c>
      <c r="B2528" s="1">
        <v>40879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</row>
    <row r="2529" spans="1:8" x14ac:dyDescent="0.3">
      <c r="A2529" t="s">
        <v>25</v>
      </c>
      <c r="B2529" s="1">
        <v>40886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</row>
    <row r="2530" spans="1:8" x14ac:dyDescent="0.3">
      <c r="A2530" t="s">
        <v>25</v>
      </c>
      <c r="B2530" s="1">
        <v>40893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</row>
    <row r="2531" spans="1:8" x14ac:dyDescent="0.3">
      <c r="A2531" t="s">
        <v>25</v>
      </c>
      <c r="B2531" s="1">
        <v>40900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</row>
    <row r="2532" spans="1:8" x14ac:dyDescent="0.3">
      <c r="A2532" t="s">
        <v>25</v>
      </c>
      <c r="B2532" s="1">
        <v>40907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</row>
    <row r="2533" spans="1:8" x14ac:dyDescent="0.3">
      <c r="A2533" t="s">
        <v>25</v>
      </c>
      <c r="B2533" s="1">
        <v>40914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</row>
    <row r="2534" spans="1:8" x14ac:dyDescent="0.3">
      <c r="A2534" t="s">
        <v>25</v>
      </c>
      <c r="B2534" s="1">
        <v>40921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</row>
    <row r="2535" spans="1:8" x14ac:dyDescent="0.3">
      <c r="A2535" t="s">
        <v>25</v>
      </c>
      <c r="B2535" s="1">
        <v>40928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</row>
    <row r="2536" spans="1:8" x14ac:dyDescent="0.3">
      <c r="A2536" t="s">
        <v>25</v>
      </c>
      <c r="B2536" s="1">
        <v>40935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</row>
    <row r="2537" spans="1:8" x14ac:dyDescent="0.3">
      <c r="A2537" t="s">
        <v>25</v>
      </c>
      <c r="B2537" s="1">
        <v>40942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</row>
    <row r="2538" spans="1:8" x14ac:dyDescent="0.3">
      <c r="A2538" t="s">
        <v>25</v>
      </c>
      <c r="B2538" s="1">
        <v>40949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</row>
    <row r="2539" spans="1:8" x14ac:dyDescent="0.3">
      <c r="A2539" t="s">
        <v>25</v>
      </c>
      <c r="B2539" s="1">
        <v>40956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</row>
    <row r="2540" spans="1:8" x14ac:dyDescent="0.3">
      <c r="A2540" t="s">
        <v>25</v>
      </c>
      <c r="B2540" s="1">
        <v>40963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</row>
    <row r="2541" spans="1:8" x14ac:dyDescent="0.3">
      <c r="A2541" t="s">
        <v>25</v>
      </c>
      <c r="B2541" s="1">
        <v>40970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</row>
    <row r="2542" spans="1:8" x14ac:dyDescent="0.3">
      <c r="A2542" t="s">
        <v>25</v>
      </c>
      <c r="B2542" s="1">
        <v>40977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</row>
    <row r="2543" spans="1:8" x14ac:dyDescent="0.3">
      <c r="A2543" t="s">
        <v>25</v>
      </c>
      <c r="B2543" s="1">
        <v>40984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</row>
    <row r="2544" spans="1:8" x14ac:dyDescent="0.3">
      <c r="A2544" t="s">
        <v>25</v>
      </c>
      <c r="B2544" s="1">
        <v>40991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</row>
    <row r="2545" spans="1:8" x14ac:dyDescent="0.3">
      <c r="A2545" t="s">
        <v>25</v>
      </c>
      <c r="B2545" s="1">
        <v>40998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</row>
    <row r="2546" spans="1:8" x14ac:dyDescent="0.3">
      <c r="A2546" t="s">
        <v>25</v>
      </c>
      <c r="B2546" s="1">
        <v>41005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</row>
    <row r="2547" spans="1:8" x14ac:dyDescent="0.3">
      <c r="A2547" t="s">
        <v>25</v>
      </c>
      <c r="B2547" s="1">
        <v>41012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</row>
    <row r="2548" spans="1:8" x14ac:dyDescent="0.3">
      <c r="A2548" t="s">
        <v>25</v>
      </c>
      <c r="B2548" s="1">
        <v>41019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</row>
    <row r="2549" spans="1:8" x14ac:dyDescent="0.3">
      <c r="A2549" t="s">
        <v>25</v>
      </c>
      <c r="B2549" s="1">
        <v>41026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</row>
    <row r="2550" spans="1:8" x14ac:dyDescent="0.3">
      <c r="A2550" t="s">
        <v>25</v>
      </c>
      <c r="B2550" s="1">
        <v>41033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</row>
    <row r="2551" spans="1:8" x14ac:dyDescent="0.3">
      <c r="A2551" t="s">
        <v>25</v>
      </c>
      <c r="B2551" s="1">
        <v>41040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</row>
    <row r="2552" spans="1:8" x14ac:dyDescent="0.3">
      <c r="A2552" t="s">
        <v>25</v>
      </c>
      <c r="B2552" s="1">
        <v>41047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</row>
    <row r="2553" spans="1:8" x14ac:dyDescent="0.3">
      <c r="A2553" t="s">
        <v>25</v>
      </c>
      <c r="B2553" s="1">
        <v>41054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</row>
    <row r="2554" spans="1:8" x14ac:dyDescent="0.3">
      <c r="A2554" t="s">
        <v>25</v>
      </c>
      <c r="B2554" s="1">
        <v>41061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</row>
    <row r="2555" spans="1:8" x14ac:dyDescent="0.3">
      <c r="A2555" t="s">
        <v>25</v>
      </c>
      <c r="B2555" s="1">
        <v>41068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</row>
    <row r="2556" spans="1:8" x14ac:dyDescent="0.3">
      <c r="A2556" t="s">
        <v>25</v>
      </c>
      <c r="B2556" s="1">
        <v>41075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</row>
    <row r="2557" spans="1:8" x14ac:dyDescent="0.3">
      <c r="A2557" t="s">
        <v>25</v>
      </c>
      <c r="B2557" s="1">
        <v>41082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</row>
    <row r="2558" spans="1:8" x14ac:dyDescent="0.3">
      <c r="A2558" t="s">
        <v>25</v>
      </c>
      <c r="B2558" s="1">
        <v>41089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</row>
    <row r="2559" spans="1:8" x14ac:dyDescent="0.3">
      <c r="A2559" t="s">
        <v>25</v>
      </c>
      <c r="B2559" s="1">
        <v>41096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</row>
    <row r="2560" spans="1:8" x14ac:dyDescent="0.3">
      <c r="A2560" t="s">
        <v>25</v>
      </c>
      <c r="B2560" s="1">
        <v>41103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</row>
    <row r="2561" spans="1:8" x14ac:dyDescent="0.3">
      <c r="A2561" t="s">
        <v>25</v>
      </c>
      <c r="B2561" s="1">
        <v>41110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</row>
    <row r="2562" spans="1:8" x14ac:dyDescent="0.3">
      <c r="A2562" t="s">
        <v>25</v>
      </c>
      <c r="B2562" s="1">
        <v>41117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</row>
    <row r="2563" spans="1:8" x14ac:dyDescent="0.3">
      <c r="A2563" t="s">
        <v>25</v>
      </c>
      <c r="B2563" s="1">
        <v>41124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</row>
    <row r="2564" spans="1:8" x14ac:dyDescent="0.3">
      <c r="A2564" t="s">
        <v>25</v>
      </c>
      <c r="B2564" s="1">
        <v>41131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</row>
    <row r="2565" spans="1:8" x14ac:dyDescent="0.3">
      <c r="A2565" t="s">
        <v>25</v>
      </c>
      <c r="B2565" s="1">
        <v>41138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</row>
    <row r="2566" spans="1:8" x14ac:dyDescent="0.3">
      <c r="A2566" t="s">
        <v>25</v>
      </c>
      <c r="B2566" s="1">
        <v>41145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</row>
    <row r="2567" spans="1:8" x14ac:dyDescent="0.3">
      <c r="A2567" t="s">
        <v>25</v>
      </c>
      <c r="B2567" s="1">
        <v>41152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</row>
    <row r="2568" spans="1:8" x14ac:dyDescent="0.3">
      <c r="A2568" t="s">
        <v>25</v>
      </c>
      <c r="B2568" s="1">
        <v>41159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</row>
    <row r="2569" spans="1:8" x14ac:dyDescent="0.3">
      <c r="A2569" t="s">
        <v>25</v>
      </c>
      <c r="B2569" s="1">
        <v>41166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</row>
    <row r="2570" spans="1:8" x14ac:dyDescent="0.3">
      <c r="A2570" t="s">
        <v>25</v>
      </c>
      <c r="B2570" s="1">
        <v>41173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</row>
    <row r="2571" spans="1:8" x14ac:dyDescent="0.3">
      <c r="A2571" t="s">
        <v>25</v>
      </c>
      <c r="B2571" s="1">
        <v>41180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</row>
    <row r="2572" spans="1:8" x14ac:dyDescent="0.3">
      <c r="A2572" t="s">
        <v>25</v>
      </c>
      <c r="B2572" s="1">
        <v>41187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</row>
    <row r="2573" spans="1:8" x14ac:dyDescent="0.3">
      <c r="A2573" t="s">
        <v>25</v>
      </c>
      <c r="B2573" s="1">
        <v>41194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</row>
    <row r="2574" spans="1:8" x14ac:dyDescent="0.3">
      <c r="A2574" t="s">
        <v>25</v>
      </c>
      <c r="B2574" s="1">
        <v>41201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</row>
    <row r="2575" spans="1:8" x14ac:dyDescent="0.3">
      <c r="A2575" t="s">
        <v>25</v>
      </c>
      <c r="B2575" s="1">
        <v>41208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</row>
    <row r="2576" spans="1:8" x14ac:dyDescent="0.3">
      <c r="A2576" t="s">
        <v>26</v>
      </c>
      <c r="B2576" s="1">
        <v>40214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</row>
    <row r="2577" spans="1:8" x14ac:dyDescent="0.3">
      <c r="A2577" t="s">
        <v>26</v>
      </c>
      <c r="B2577" s="1">
        <v>40221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</row>
    <row r="2578" spans="1:8" x14ac:dyDescent="0.3">
      <c r="A2578" t="s">
        <v>26</v>
      </c>
      <c r="B2578" s="1">
        <v>40228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</row>
    <row r="2579" spans="1:8" x14ac:dyDescent="0.3">
      <c r="A2579" t="s">
        <v>26</v>
      </c>
      <c r="B2579" s="1">
        <v>40235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</row>
    <row r="2580" spans="1:8" x14ac:dyDescent="0.3">
      <c r="A2580" t="s">
        <v>26</v>
      </c>
      <c r="B2580" s="1">
        <v>40242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</row>
    <row r="2581" spans="1:8" x14ac:dyDescent="0.3">
      <c r="A2581" t="s">
        <v>26</v>
      </c>
      <c r="B2581" s="1">
        <v>40249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</row>
    <row r="2582" spans="1:8" x14ac:dyDescent="0.3">
      <c r="A2582" t="s">
        <v>26</v>
      </c>
      <c r="B2582" s="1">
        <v>40256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 x14ac:dyDescent="0.3">
      <c r="A2583" t="s">
        <v>26</v>
      </c>
      <c r="B2583" s="1">
        <v>40263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</row>
    <row r="2584" spans="1:8" x14ac:dyDescent="0.3">
      <c r="A2584" t="s">
        <v>26</v>
      </c>
      <c r="B2584" s="1">
        <v>40270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</row>
    <row r="2585" spans="1:8" x14ac:dyDescent="0.3">
      <c r="A2585" t="s">
        <v>26</v>
      </c>
      <c r="B2585" s="1">
        <v>40277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</row>
    <row r="2586" spans="1:8" x14ac:dyDescent="0.3">
      <c r="A2586" t="s">
        <v>26</v>
      </c>
      <c r="B2586" s="1">
        <v>40284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</row>
    <row r="2587" spans="1:8" x14ac:dyDescent="0.3">
      <c r="A2587" t="s">
        <v>26</v>
      </c>
      <c r="B2587" s="1">
        <v>40291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</row>
    <row r="2588" spans="1:8" x14ac:dyDescent="0.3">
      <c r="A2588" t="s">
        <v>26</v>
      </c>
      <c r="B2588" s="1">
        <v>40298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</row>
    <row r="2589" spans="1:8" x14ac:dyDescent="0.3">
      <c r="A2589" t="s">
        <v>26</v>
      </c>
      <c r="B2589" s="1">
        <v>40305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</row>
    <row r="2590" spans="1:8" x14ac:dyDescent="0.3">
      <c r="A2590" t="s">
        <v>26</v>
      </c>
      <c r="B2590" s="1">
        <v>40312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</row>
    <row r="2591" spans="1:8" x14ac:dyDescent="0.3">
      <c r="A2591" t="s">
        <v>26</v>
      </c>
      <c r="B2591" s="1">
        <v>40319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</row>
    <row r="2592" spans="1:8" x14ac:dyDescent="0.3">
      <c r="A2592" t="s">
        <v>26</v>
      </c>
      <c r="B2592" s="1">
        <v>40326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</row>
    <row r="2593" spans="1:8" x14ac:dyDescent="0.3">
      <c r="A2593" t="s">
        <v>26</v>
      </c>
      <c r="B2593" s="1">
        <v>40333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</row>
    <row r="2594" spans="1:8" x14ac:dyDescent="0.3">
      <c r="A2594" t="s">
        <v>26</v>
      </c>
      <c r="B2594" s="1">
        <v>40340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</row>
    <row r="2595" spans="1:8" x14ac:dyDescent="0.3">
      <c r="A2595" t="s">
        <v>26</v>
      </c>
      <c r="B2595" s="1">
        <v>40347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</row>
    <row r="2596" spans="1:8" x14ac:dyDescent="0.3">
      <c r="A2596" t="s">
        <v>26</v>
      </c>
      <c r="B2596" s="1">
        <v>40354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</row>
    <row r="2597" spans="1:8" x14ac:dyDescent="0.3">
      <c r="A2597" t="s">
        <v>26</v>
      </c>
      <c r="B2597" s="1">
        <v>40361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</row>
    <row r="2598" spans="1:8" x14ac:dyDescent="0.3">
      <c r="A2598" t="s">
        <v>26</v>
      </c>
      <c r="B2598" s="1">
        <v>40368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</row>
    <row r="2599" spans="1:8" x14ac:dyDescent="0.3">
      <c r="A2599" t="s">
        <v>26</v>
      </c>
      <c r="B2599" s="1">
        <v>40375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</row>
    <row r="2600" spans="1:8" x14ac:dyDescent="0.3">
      <c r="A2600" t="s">
        <v>26</v>
      </c>
      <c r="B2600" s="1">
        <v>40382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</row>
    <row r="2601" spans="1:8" x14ac:dyDescent="0.3">
      <c r="A2601" t="s">
        <v>26</v>
      </c>
      <c r="B2601" s="1">
        <v>40389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</row>
    <row r="2602" spans="1:8" x14ac:dyDescent="0.3">
      <c r="A2602" t="s">
        <v>26</v>
      </c>
      <c r="B2602" s="1">
        <v>40396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</row>
    <row r="2603" spans="1:8" x14ac:dyDescent="0.3">
      <c r="A2603" t="s">
        <v>26</v>
      </c>
      <c r="B2603" s="1">
        <v>40403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</row>
    <row r="2604" spans="1:8" x14ac:dyDescent="0.3">
      <c r="A2604" t="s">
        <v>26</v>
      </c>
      <c r="B2604" s="1">
        <v>40410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</row>
    <row r="2605" spans="1:8" x14ac:dyDescent="0.3">
      <c r="A2605" t="s">
        <v>26</v>
      </c>
      <c r="B2605" s="1">
        <v>40417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</row>
    <row r="2606" spans="1:8" x14ac:dyDescent="0.3">
      <c r="A2606" t="s">
        <v>26</v>
      </c>
      <c r="B2606" s="1">
        <v>40424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</row>
    <row r="2607" spans="1:8" x14ac:dyDescent="0.3">
      <c r="A2607" t="s">
        <v>26</v>
      </c>
      <c r="B2607" s="1">
        <v>40431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</row>
    <row r="2608" spans="1:8" x14ac:dyDescent="0.3">
      <c r="A2608" t="s">
        <v>26</v>
      </c>
      <c r="B2608" s="1">
        <v>40438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</row>
    <row r="2609" spans="1:8" x14ac:dyDescent="0.3">
      <c r="A2609" t="s">
        <v>26</v>
      </c>
      <c r="B2609" s="1">
        <v>40445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</row>
    <row r="2610" spans="1:8" x14ac:dyDescent="0.3">
      <c r="A2610" t="s">
        <v>26</v>
      </c>
      <c r="B2610" s="1">
        <v>40452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</row>
    <row r="2611" spans="1:8" x14ac:dyDescent="0.3">
      <c r="A2611" t="s">
        <v>26</v>
      </c>
      <c r="B2611" s="1">
        <v>40459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</row>
    <row r="2612" spans="1:8" x14ac:dyDescent="0.3">
      <c r="A2612" t="s">
        <v>26</v>
      </c>
      <c r="B2612" s="1">
        <v>40466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</row>
    <row r="2613" spans="1:8" x14ac:dyDescent="0.3">
      <c r="A2613" t="s">
        <v>26</v>
      </c>
      <c r="B2613" s="1">
        <v>40473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</row>
    <row r="2614" spans="1:8" x14ac:dyDescent="0.3">
      <c r="A2614" t="s">
        <v>26</v>
      </c>
      <c r="B2614" s="1">
        <v>40480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</row>
    <row r="2615" spans="1:8" x14ac:dyDescent="0.3">
      <c r="A2615" t="s">
        <v>26</v>
      </c>
      <c r="B2615" s="1">
        <v>40487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</row>
    <row r="2616" spans="1:8" x14ac:dyDescent="0.3">
      <c r="A2616" t="s">
        <v>26</v>
      </c>
      <c r="B2616" s="1">
        <v>40494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</row>
    <row r="2617" spans="1:8" x14ac:dyDescent="0.3">
      <c r="A2617" t="s">
        <v>26</v>
      </c>
      <c r="B2617" s="1">
        <v>40501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</row>
    <row r="2618" spans="1:8" x14ac:dyDescent="0.3">
      <c r="A2618" t="s">
        <v>26</v>
      </c>
      <c r="B2618" s="1">
        <v>40508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</row>
    <row r="2619" spans="1:8" x14ac:dyDescent="0.3">
      <c r="A2619" t="s">
        <v>26</v>
      </c>
      <c r="B2619" s="1">
        <v>40515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</row>
    <row r="2620" spans="1:8" x14ac:dyDescent="0.3">
      <c r="A2620" t="s">
        <v>26</v>
      </c>
      <c r="B2620" s="1">
        <v>40522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</row>
    <row r="2621" spans="1:8" x14ac:dyDescent="0.3">
      <c r="A2621" t="s">
        <v>26</v>
      </c>
      <c r="B2621" s="1">
        <v>40529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</row>
    <row r="2622" spans="1:8" x14ac:dyDescent="0.3">
      <c r="A2622" t="s">
        <v>26</v>
      </c>
      <c r="B2622" s="1">
        <v>40536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</row>
    <row r="2623" spans="1:8" x14ac:dyDescent="0.3">
      <c r="A2623" t="s">
        <v>26</v>
      </c>
      <c r="B2623" s="1">
        <v>40543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</row>
    <row r="2624" spans="1:8" x14ac:dyDescent="0.3">
      <c r="A2624" t="s">
        <v>26</v>
      </c>
      <c r="B2624" s="1">
        <v>40550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</row>
    <row r="2625" spans="1:8" x14ac:dyDescent="0.3">
      <c r="A2625" t="s">
        <v>26</v>
      </c>
      <c r="B2625" s="1">
        <v>40557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</row>
    <row r="2626" spans="1:8" x14ac:dyDescent="0.3">
      <c r="A2626" t="s">
        <v>26</v>
      </c>
      <c r="B2626" s="1">
        <v>40564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</row>
    <row r="2627" spans="1:8" x14ac:dyDescent="0.3">
      <c r="A2627" t="s">
        <v>26</v>
      </c>
      <c r="B2627" s="1">
        <v>40571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</row>
    <row r="2628" spans="1:8" x14ac:dyDescent="0.3">
      <c r="A2628" t="s">
        <v>26</v>
      </c>
      <c r="B2628" s="1">
        <v>40578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</row>
    <row r="2629" spans="1:8" x14ac:dyDescent="0.3">
      <c r="A2629" t="s">
        <v>26</v>
      </c>
      <c r="B2629" s="1">
        <v>40585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</row>
    <row r="2630" spans="1:8" x14ac:dyDescent="0.3">
      <c r="A2630" t="s">
        <v>26</v>
      </c>
      <c r="B2630" s="1">
        <v>40592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</row>
    <row r="2631" spans="1:8" x14ac:dyDescent="0.3">
      <c r="A2631" t="s">
        <v>26</v>
      </c>
      <c r="B2631" s="1">
        <v>40599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</row>
    <row r="2632" spans="1:8" x14ac:dyDescent="0.3">
      <c r="A2632" t="s">
        <v>26</v>
      </c>
      <c r="B2632" s="1">
        <v>40606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</row>
    <row r="2633" spans="1:8" x14ac:dyDescent="0.3">
      <c r="A2633" t="s">
        <v>26</v>
      </c>
      <c r="B2633" s="1">
        <v>40613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</row>
    <row r="2634" spans="1:8" x14ac:dyDescent="0.3">
      <c r="A2634" t="s">
        <v>26</v>
      </c>
      <c r="B2634" s="1">
        <v>40620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</row>
    <row r="2635" spans="1:8" x14ac:dyDescent="0.3">
      <c r="A2635" t="s">
        <v>26</v>
      </c>
      <c r="B2635" s="1">
        <v>40627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</row>
    <row r="2636" spans="1:8" x14ac:dyDescent="0.3">
      <c r="A2636" t="s">
        <v>26</v>
      </c>
      <c r="B2636" s="1">
        <v>40634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</row>
    <row r="2637" spans="1:8" x14ac:dyDescent="0.3">
      <c r="A2637" t="s">
        <v>26</v>
      </c>
      <c r="B2637" s="1">
        <v>40641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</row>
    <row r="2638" spans="1:8" x14ac:dyDescent="0.3">
      <c r="A2638" t="s">
        <v>26</v>
      </c>
      <c r="B2638" s="1">
        <v>40648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</row>
    <row r="2639" spans="1:8" x14ac:dyDescent="0.3">
      <c r="A2639" t="s">
        <v>26</v>
      </c>
      <c r="B2639" s="1">
        <v>40655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</row>
    <row r="2640" spans="1:8" x14ac:dyDescent="0.3">
      <c r="A2640" t="s">
        <v>26</v>
      </c>
      <c r="B2640" s="1">
        <v>40662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</row>
    <row r="2641" spans="1:8" x14ac:dyDescent="0.3">
      <c r="A2641" t="s">
        <v>26</v>
      </c>
      <c r="B2641" s="1">
        <v>40669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</row>
    <row r="2642" spans="1:8" x14ac:dyDescent="0.3">
      <c r="A2642" t="s">
        <v>26</v>
      </c>
      <c r="B2642" s="1">
        <v>40676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</row>
    <row r="2643" spans="1:8" x14ac:dyDescent="0.3">
      <c r="A2643" t="s">
        <v>26</v>
      </c>
      <c r="B2643" s="1">
        <v>40683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</row>
    <row r="2644" spans="1:8" x14ac:dyDescent="0.3">
      <c r="A2644" t="s">
        <v>26</v>
      </c>
      <c r="B2644" s="1">
        <v>40690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</row>
    <row r="2645" spans="1:8" x14ac:dyDescent="0.3">
      <c r="A2645" t="s">
        <v>26</v>
      </c>
      <c r="B2645" s="1">
        <v>40697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</row>
    <row r="2646" spans="1:8" x14ac:dyDescent="0.3">
      <c r="A2646" t="s">
        <v>26</v>
      </c>
      <c r="B2646" s="1">
        <v>40704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</row>
    <row r="2647" spans="1:8" x14ac:dyDescent="0.3">
      <c r="A2647" t="s">
        <v>26</v>
      </c>
      <c r="B2647" s="1">
        <v>40711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</row>
    <row r="2648" spans="1:8" x14ac:dyDescent="0.3">
      <c r="A2648" t="s">
        <v>26</v>
      </c>
      <c r="B2648" s="1">
        <v>40718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</row>
    <row r="2649" spans="1:8" x14ac:dyDescent="0.3">
      <c r="A2649" t="s">
        <v>26</v>
      </c>
      <c r="B2649" s="1">
        <v>40725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</row>
    <row r="2650" spans="1:8" x14ac:dyDescent="0.3">
      <c r="A2650" t="s">
        <v>26</v>
      </c>
      <c r="B2650" s="1">
        <v>40732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</row>
    <row r="2651" spans="1:8" x14ac:dyDescent="0.3">
      <c r="A2651" t="s">
        <v>26</v>
      </c>
      <c r="B2651" s="1">
        <v>40739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 x14ac:dyDescent="0.3">
      <c r="A2652" t="s">
        <v>26</v>
      </c>
      <c r="B2652" s="1">
        <v>40746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</row>
    <row r="2653" spans="1:8" x14ac:dyDescent="0.3">
      <c r="A2653" t="s">
        <v>26</v>
      </c>
      <c r="B2653" s="1">
        <v>40753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</row>
    <row r="2654" spans="1:8" x14ac:dyDescent="0.3">
      <c r="A2654" t="s">
        <v>26</v>
      </c>
      <c r="B2654" s="1">
        <v>40760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</row>
    <row r="2655" spans="1:8" x14ac:dyDescent="0.3">
      <c r="A2655" t="s">
        <v>26</v>
      </c>
      <c r="B2655" s="1">
        <v>40767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</row>
    <row r="2656" spans="1:8" x14ac:dyDescent="0.3">
      <c r="A2656" t="s">
        <v>26</v>
      </c>
      <c r="B2656" s="1">
        <v>40774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</row>
    <row r="2657" spans="1:8" x14ac:dyDescent="0.3">
      <c r="A2657" t="s">
        <v>26</v>
      </c>
      <c r="B2657" s="1">
        <v>40781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</row>
    <row r="2658" spans="1:8" x14ac:dyDescent="0.3">
      <c r="A2658" t="s">
        <v>26</v>
      </c>
      <c r="B2658" s="1">
        <v>40788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</row>
    <row r="2659" spans="1:8" x14ac:dyDescent="0.3">
      <c r="A2659" t="s">
        <v>26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</row>
    <row r="2660" spans="1:8" x14ac:dyDescent="0.3">
      <c r="A2660" t="s">
        <v>26</v>
      </c>
      <c r="B2660" s="1">
        <v>40802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</row>
    <row r="2661" spans="1:8" x14ac:dyDescent="0.3">
      <c r="A2661" t="s">
        <v>26</v>
      </c>
      <c r="B2661" s="1">
        <v>40809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</row>
    <row r="2662" spans="1:8" x14ac:dyDescent="0.3">
      <c r="A2662" t="s">
        <v>26</v>
      </c>
      <c r="B2662" s="1">
        <v>40816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</row>
    <row r="2663" spans="1:8" x14ac:dyDescent="0.3">
      <c r="A2663" t="s">
        <v>26</v>
      </c>
      <c r="B2663" s="1">
        <v>40823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</row>
    <row r="2664" spans="1:8" x14ac:dyDescent="0.3">
      <c r="A2664" t="s">
        <v>26</v>
      </c>
      <c r="B2664" s="1">
        <v>40830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</row>
    <row r="2665" spans="1:8" x14ac:dyDescent="0.3">
      <c r="A2665" t="s">
        <v>26</v>
      </c>
      <c r="B2665" s="1">
        <v>40837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</row>
    <row r="2666" spans="1:8" x14ac:dyDescent="0.3">
      <c r="A2666" t="s">
        <v>26</v>
      </c>
      <c r="B2666" s="1">
        <v>40844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</row>
    <row r="2667" spans="1:8" x14ac:dyDescent="0.3">
      <c r="A2667" t="s">
        <v>26</v>
      </c>
      <c r="B2667" s="1">
        <v>40851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</row>
    <row r="2668" spans="1:8" x14ac:dyDescent="0.3">
      <c r="A2668" t="s">
        <v>26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</row>
    <row r="2669" spans="1:8" x14ac:dyDescent="0.3">
      <c r="A2669" t="s">
        <v>26</v>
      </c>
      <c r="B2669" s="1">
        <v>40865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</row>
    <row r="2670" spans="1:8" x14ac:dyDescent="0.3">
      <c r="A2670" t="s">
        <v>26</v>
      </c>
      <c r="B2670" s="1">
        <v>40872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</row>
    <row r="2671" spans="1:8" x14ac:dyDescent="0.3">
      <c r="A2671" t="s">
        <v>26</v>
      </c>
      <c r="B2671" s="1">
        <v>40879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</row>
    <row r="2672" spans="1:8" x14ac:dyDescent="0.3">
      <c r="A2672" t="s">
        <v>26</v>
      </c>
      <c r="B2672" s="1">
        <v>40886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</row>
    <row r="2673" spans="1:8" x14ac:dyDescent="0.3">
      <c r="A2673" t="s">
        <v>26</v>
      </c>
      <c r="B2673" s="1">
        <v>40893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</row>
    <row r="2674" spans="1:8" x14ac:dyDescent="0.3">
      <c r="A2674" t="s">
        <v>26</v>
      </c>
      <c r="B2674" s="1">
        <v>40900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</row>
    <row r="2675" spans="1:8" x14ac:dyDescent="0.3">
      <c r="A2675" t="s">
        <v>26</v>
      </c>
      <c r="B2675" s="1">
        <v>40907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</row>
    <row r="2676" spans="1:8" x14ac:dyDescent="0.3">
      <c r="A2676" t="s">
        <v>26</v>
      </c>
      <c r="B2676" s="1">
        <v>40914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</row>
    <row r="2677" spans="1:8" x14ac:dyDescent="0.3">
      <c r="A2677" t="s">
        <v>26</v>
      </c>
      <c r="B2677" s="1">
        <v>40921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</row>
    <row r="2678" spans="1:8" x14ac:dyDescent="0.3">
      <c r="A2678" t="s">
        <v>26</v>
      </c>
      <c r="B2678" s="1">
        <v>40928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</row>
    <row r="2679" spans="1:8" x14ac:dyDescent="0.3">
      <c r="A2679" t="s">
        <v>26</v>
      </c>
      <c r="B2679" s="1">
        <v>40935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</row>
    <row r="2680" spans="1:8" x14ac:dyDescent="0.3">
      <c r="A2680" t="s">
        <v>26</v>
      </c>
      <c r="B2680" s="1">
        <v>40942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</row>
    <row r="2681" spans="1:8" x14ac:dyDescent="0.3">
      <c r="A2681" t="s">
        <v>26</v>
      </c>
      <c r="B2681" s="1">
        <v>40949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</row>
    <row r="2682" spans="1:8" x14ac:dyDescent="0.3">
      <c r="A2682" t="s">
        <v>26</v>
      </c>
      <c r="B2682" s="1">
        <v>40956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</row>
    <row r="2683" spans="1:8" x14ac:dyDescent="0.3">
      <c r="A2683" t="s">
        <v>26</v>
      </c>
      <c r="B2683" s="1">
        <v>40963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</row>
    <row r="2684" spans="1:8" x14ac:dyDescent="0.3">
      <c r="A2684" t="s">
        <v>26</v>
      </c>
      <c r="B2684" s="1">
        <v>40970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</row>
    <row r="2685" spans="1:8" x14ac:dyDescent="0.3">
      <c r="A2685" t="s">
        <v>26</v>
      </c>
      <c r="B2685" s="1">
        <v>40977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</row>
    <row r="2686" spans="1:8" x14ac:dyDescent="0.3">
      <c r="A2686" t="s">
        <v>26</v>
      </c>
      <c r="B2686" s="1">
        <v>40984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</row>
    <row r="2687" spans="1:8" x14ac:dyDescent="0.3">
      <c r="A2687" t="s">
        <v>26</v>
      </c>
      <c r="B2687" s="1">
        <v>40991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</row>
    <row r="2688" spans="1:8" x14ac:dyDescent="0.3">
      <c r="A2688" t="s">
        <v>26</v>
      </c>
      <c r="B2688" s="1">
        <v>40998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</row>
    <row r="2689" spans="1:8" x14ac:dyDescent="0.3">
      <c r="A2689" t="s">
        <v>26</v>
      </c>
      <c r="B2689" s="1">
        <v>41005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</row>
    <row r="2690" spans="1:8" x14ac:dyDescent="0.3">
      <c r="A2690" t="s">
        <v>26</v>
      </c>
      <c r="B2690" s="1">
        <v>41012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</row>
    <row r="2691" spans="1:8" x14ac:dyDescent="0.3">
      <c r="A2691" t="s">
        <v>26</v>
      </c>
      <c r="B2691" s="1">
        <v>41019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</row>
    <row r="2692" spans="1:8" x14ac:dyDescent="0.3">
      <c r="A2692" t="s">
        <v>26</v>
      </c>
      <c r="B2692" s="1">
        <v>41026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</row>
    <row r="2693" spans="1:8" x14ac:dyDescent="0.3">
      <c r="A2693" t="s">
        <v>26</v>
      </c>
      <c r="B2693" s="1">
        <v>41033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</row>
    <row r="2694" spans="1:8" x14ac:dyDescent="0.3">
      <c r="A2694" t="s">
        <v>26</v>
      </c>
      <c r="B2694" s="1">
        <v>41040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</row>
    <row r="2695" spans="1:8" x14ac:dyDescent="0.3">
      <c r="A2695" t="s">
        <v>26</v>
      </c>
      <c r="B2695" s="1">
        <v>41047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</row>
    <row r="2696" spans="1:8" x14ac:dyDescent="0.3">
      <c r="A2696" t="s">
        <v>26</v>
      </c>
      <c r="B2696" s="1">
        <v>41054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</row>
    <row r="2697" spans="1:8" x14ac:dyDescent="0.3">
      <c r="A2697" t="s">
        <v>26</v>
      </c>
      <c r="B2697" s="1">
        <v>41061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</row>
    <row r="2698" spans="1:8" x14ac:dyDescent="0.3">
      <c r="A2698" t="s">
        <v>26</v>
      </c>
      <c r="B2698" s="1">
        <v>41068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</row>
    <row r="2699" spans="1:8" x14ac:dyDescent="0.3">
      <c r="A2699" t="s">
        <v>26</v>
      </c>
      <c r="B2699" s="1">
        <v>41075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</row>
    <row r="2700" spans="1:8" x14ac:dyDescent="0.3">
      <c r="A2700" t="s">
        <v>26</v>
      </c>
      <c r="B2700" s="1">
        <v>41082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</row>
    <row r="2701" spans="1:8" x14ac:dyDescent="0.3">
      <c r="A2701" t="s">
        <v>26</v>
      </c>
      <c r="B2701" s="1">
        <v>41089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</row>
    <row r="2702" spans="1:8" x14ac:dyDescent="0.3">
      <c r="A2702" t="s">
        <v>26</v>
      </c>
      <c r="B2702" s="1">
        <v>41096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</row>
    <row r="2703" spans="1:8" x14ac:dyDescent="0.3">
      <c r="A2703" t="s">
        <v>26</v>
      </c>
      <c r="B2703" s="1">
        <v>41103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</row>
    <row r="2704" spans="1:8" x14ac:dyDescent="0.3">
      <c r="A2704" t="s">
        <v>26</v>
      </c>
      <c r="B2704" s="1">
        <v>41110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</row>
    <row r="2705" spans="1:8" x14ac:dyDescent="0.3">
      <c r="A2705" t="s">
        <v>26</v>
      </c>
      <c r="B2705" s="1">
        <v>41117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</row>
    <row r="2706" spans="1:8" x14ac:dyDescent="0.3">
      <c r="A2706" t="s">
        <v>26</v>
      </c>
      <c r="B2706" s="1">
        <v>41124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</row>
    <row r="2707" spans="1:8" x14ac:dyDescent="0.3">
      <c r="A2707" t="s">
        <v>26</v>
      </c>
      <c r="B2707" s="1">
        <v>41131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</row>
    <row r="2708" spans="1:8" x14ac:dyDescent="0.3">
      <c r="A2708" t="s">
        <v>26</v>
      </c>
      <c r="B2708" s="1">
        <v>41138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</row>
    <row r="2709" spans="1:8" x14ac:dyDescent="0.3">
      <c r="A2709" t="s">
        <v>26</v>
      </c>
      <c r="B2709" s="1">
        <v>41145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</row>
    <row r="2710" spans="1:8" x14ac:dyDescent="0.3">
      <c r="A2710" t="s">
        <v>26</v>
      </c>
      <c r="B2710" s="1">
        <v>41152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</row>
    <row r="2711" spans="1:8" x14ac:dyDescent="0.3">
      <c r="A2711" t="s">
        <v>26</v>
      </c>
      <c r="B2711" s="1">
        <v>41159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</row>
    <row r="2712" spans="1:8" x14ac:dyDescent="0.3">
      <c r="A2712" t="s">
        <v>26</v>
      </c>
      <c r="B2712" s="1">
        <v>41166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</row>
    <row r="2713" spans="1:8" x14ac:dyDescent="0.3">
      <c r="A2713" t="s">
        <v>26</v>
      </c>
      <c r="B2713" s="1">
        <v>41173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</row>
    <row r="2714" spans="1:8" x14ac:dyDescent="0.3">
      <c r="A2714" t="s">
        <v>26</v>
      </c>
      <c r="B2714" s="1">
        <v>41180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</row>
    <row r="2715" spans="1:8" x14ac:dyDescent="0.3">
      <c r="A2715" t="s">
        <v>26</v>
      </c>
      <c r="B2715" s="1">
        <v>41187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</row>
    <row r="2716" spans="1:8" x14ac:dyDescent="0.3">
      <c r="A2716" t="s">
        <v>26</v>
      </c>
      <c r="B2716" s="1">
        <v>41194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</row>
    <row r="2717" spans="1:8" x14ac:dyDescent="0.3">
      <c r="A2717" t="s">
        <v>26</v>
      </c>
      <c r="B2717" s="1">
        <v>41201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</row>
    <row r="2718" spans="1:8" x14ac:dyDescent="0.3">
      <c r="A2718" t="s">
        <v>26</v>
      </c>
      <c r="B2718" s="1">
        <v>41208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</row>
    <row r="2719" spans="1:8" x14ac:dyDescent="0.3">
      <c r="A2719" t="s">
        <v>27</v>
      </c>
      <c r="B2719" s="1">
        <v>40214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</row>
    <row r="2720" spans="1:8" x14ac:dyDescent="0.3">
      <c r="A2720" t="s">
        <v>27</v>
      </c>
      <c r="B2720" s="1">
        <v>40221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</row>
    <row r="2721" spans="1:8" x14ac:dyDescent="0.3">
      <c r="A2721" t="s">
        <v>27</v>
      </c>
      <c r="B2721" s="1">
        <v>40228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</row>
    <row r="2722" spans="1:8" x14ac:dyDescent="0.3">
      <c r="A2722" t="s">
        <v>27</v>
      </c>
      <c r="B2722" s="1">
        <v>40235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</row>
    <row r="2723" spans="1:8" x14ac:dyDescent="0.3">
      <c r="A2723" t="s">
        <v>27</v>
      </c>
      <c r="B2723" s="1">
        <v>40242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</row>
    <row r="2724" spans="1:8" x14ac:dyDescent="0.3">
      <c r="A2724" t="s">
        <v>27</v>
      </c>
      <c r="B2724" s="1">
        <v>40249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</row>
    <row r="2725" spans="1:8" x14ac:dyDescent="0.3">
      <c r="A2725" t="s">
        <v>27</v>
      </c>
      <c r="B2725" s="1">
        <v>40256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</row>
    <row r="2726" spans="1:8" x14ac:dyDescent="0.3">
      <c r="A2726" t="s">
        <v>27</v>
      </c>
      <c r="B2726" s="1">
        <v>40263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</row>
    <row r="2727" spans="1:8" x14ac:dyDescent="0.3">
      <c r="A2727" t="s">
        <v>27</v>
      </c>
      <c r="B2727" s="1">
        <v>40270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</row>
    <row r="2728" spans="1:8" x14ac:dyDescent="0.3">
      <c r="A2728" t="s">
        <v>27</v>
      </c>
      <c r="B2728" s="1">
        <v>40277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</row>
    <row r="2729" spans="1:8" x14ac:dyDescent="0.3">
      <c r="A2729" t="s">
        <v>27</v>
      </c>
      <c r="B2729" s="1">
        <v>40284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</row>
    <row r="2730" spans="1:8" x14ac:dyDescent="0.3">
      <c r="A2730" t="s">
        <v>27</v>
      </c>
      <c r="B2730" s="1">
        <v>40291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</row>
    <row r="2731" spans="1:8" x14ac:dyDescent="0.3">
      <c r="A2731" t="s">
        <v>27</v>
      </c>
      <c r="B2731" s="1">
        <v>40298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</row>
    <row r="2732" spans="1:8" x14ac:dyDescent="0.3">
      <c r="A2732" t="s">
        <v>27</v>
      </c>
      <c r="B2732" s="1">
        <v>40305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</row>
    <row r="2733" spans="1:8" x14ac:dyDescent="0.3">
      <c r="A2733" t="s">
        <v>27</v>
      </c>
      <c r="B2733" s="1">
        <v>40312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</row>
    <row r="2734" spans="1:8" x14ac:dyDescent="0.3">
      <c r="A2734" t="s">
        <v>27</v>
      </c>
      <c r="B2734" s="1">
        <v>40319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</row>
    <row r="2735" spans="1:8" x14ac:dyDescent="0.3">
      <c r="A2735" t="s">
        <v>27</v>
      </c>
      <c r="B2735" s="1">
        <v>40326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</row>
    <row r="2736" spans="1:8" x14ac:dyDescent="0.3">
      <c r="A2736" t="s">
        <v>27</v>
      </c>
      <c r="B2736" s="1">
        <v>40333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</row>
    <row r="2737" spans="1:8" x14ac:dyDescent="0.3">
      <c r="A2737" t="s">
        <v>27</v>
      </c>
      <c r="B2737" s="1">
        <v>40340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</row>
    <row r="2738" spans="1:8" x14ac:dyDescent="0.3">
      <c r="A2738" t="s">
        <v>27</v>
      </c>
      <c r="B2738" s="1">
        <v>40347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</row>
    <row r="2739" spans="1:8" x14ac:dyDescent="0.3">
      <c r="A2739" t="s">
        <v>27</v>
      </c>
      <c r="B2739" s="1">
        <v>40354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</row>
    <row r="2740" spans="1:8" x14ac:dyDescent="0.3">
      <c r="A2740" t="s">
        <v>27</v>
      </c>
      <c r="B2740" s="1">
        <v>40361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</row>
    <row r="2741" spans="1:8" x14ac:dyDescent="0.3">
      <c r="A2741" t="s">
        <v>27</v>
      </c>
      <c r="B2741" s="1">
        <v>40368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</row>
    <row r="2742" spans="1:8" x14ac:dyDescent="0.3">
      <c r="A2742" t="s">
        <v>27</v>
      </c>
      <c r="B2742" s="1">
        <v>40375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</row>
    <row r="2743" spans="1:8" x14ac:dyDescent="0.3">
      <c r="A2743" t="s">
        <v>27</v>
      </c>
      <c r="B2743" s="1">
        <v>40382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</row>
    <row r="2744" spans="1:8" x14ac:dyDescent="0.3">
      <c r="A2744" t="s">
        <v>27</v>
      </c>
      <c r="B2744" s="1">
        <v>40389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</row>
    <row r="2745" spans="1:8" x14ac:dyDescent="0.3">
      <c r="A2745" t="s">
        <v>27</v>
      </c>
      <c r="B2745" s="1">
        <v>40396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</row>
    <row r="2746" spans="1:8" x14ac:dyDescent="0.3">
      <c r="A2746" t="s">
        <v>27</v>
      </c>
      <c r="B2746" s="1">
        <v>40403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</row>
    <row r="2747" spans="1:8" x14ac:dyDescent="0.3">
      <c r="A2747" t="s">
        <v>27</v>
      </c>
      <c r="B2747" s="1">
        <v>40410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</row>
    <row r="2748" spans="1:8" x14ac:dyDescent="0.3">
      <c r="A2748" t="s">
        <v>27</v>
      </c>
      <c r="B2748" s="1">
        <v>40417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</row>
    <row r="2749" spans="1:8" x14ac:dyDescent="0.3">
      <c r="A2749" t="s">
        <v>27</v>
      </c>
      <c r="B2749" s="1">
        <v>40424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</row>
    <row r="2750" spans="1:8" x14ac:dyDescent="0.3">
      <c r="A2750" t="s">
        <v>27</v>
      </c>
      <c r="B2750" s="1">
        <v>40431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</row>
    <row r="2751" spans="1:8" x14ac:dyDescent="0.3">
      <c r="A2751" t="s">
        <v>27</v>
      </c>
      <c r="B2751" s="1">
        <v>40438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</row>
    <row r="2752" spans="1:8" x14ac:dyDescent="0.3">
      <c r="A2752" t="s">
        <v>27</v>
      </c>
      <c r="B2752" s="1">
        <v>40445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</row>
    <row r="2753" spans="1:8" x14ac:dyDescent="0.3">
      <c r="A2753" t="s">
        <v>27</v>
      </c>
      <c r="B2753" s="1">
        <v>40452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</row>
    <row r="2754" spans="1:8" x14ac:dyDescent="0.3">
      <c r="A2754" t="s">
        <v>27</v>
      </c>
      <c r="B2754" s="1">
        <v>40459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</row>
    <row r="2755" spans="1:8" x14ac:dyDescent="0.3">
      <c r="A2755" t="s">
        <v>27</v>
      </c>
      <c r="B2755" s="1">
        <v>40466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</row>
    <row r="2756" spans="1:8" x14ac:dyDescent="0.3">
      <c r="A2756" t="s">
        <v>27</v>
      </c>
      <c r="B2756" s="1">
        <v>40473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</row>
    <row r="2757" spans="1:8" x14ac:dyDescent="0.3">
      <c r="A2757" t="s">
        <v>27</v>
      </c>
      <c r="B2757" s="1">
        <v>40480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</row>
    <row r="2758" spans="1:8" x14ac:dyDescent="0.3">
      <c r="A2758" t="s">
        <v>27</v>
      </c>
      <c r="B2758" s="1">
        <v>40487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</row>
    <row r="2759" spans="1:8" x14ac:dyDescent="0.3">
      <c r="A2759" t="s">
        <v>27</v>
      </c>
      <c r="B2759" s="1">
        <v>40494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</row>
    <row r="2760" spans="1:8" x14ac:dyDescent="0.3">
      <c r="A2760" t="s">
        <v>27</v>
      </c>
      <c r="B2760" s="1">
        <v>40501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</row>
    <row r="2761" spans="1:8" x14ac:dyDescent="0.3">
      <c r="A2761" t="s">
        <v>27</v>
      </c>
      <c r="B2761" s="1">
        <v>40508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</row>
    <row r="2762" spans="1:8" x14ac:dyDescent="0.3">
      <c r="A2762" t="s">
        <v>27</v>
      </c>
      <c r="B2762" s="1">
        <v>40515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</row>
    <row r="2763" spans="1:8" x14ac:dyDescent="0.3">
      <c r="A2763" t="s">
        <v>27</v>
      </c>
      <c r="B2763" s="1">
        <v>40522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</row>
    <row r="2764" spans="1:8" x14ac:dyDescent="0.3">
      <c r="A2764" t="s">
        <v>27</v>
      </c>
      <c r="B2764" s="1">
        <v>40529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</row>
    <row r="2765" spans="1:8" x14ac:dyDescent="0.3">
      <c r="A2765" t="s">
        <v>27</v>
      </c>
      <c r="B2765" s="1">
        <v>40536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 x14ac:dyDescent="0.3">
      <c r="A2766" t="s">
        <v>27</v>
      </c>
      <c r="B2766" s="1">
        <v>40543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</row>
    <row r="2767" spans="1:8" x14ac:dyDescent="0.3">
      <c r="A2767" t="s">
        <v>27</v>
      </c>
      <c r="B2767" s="1">
        <v>40550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</row>
    <row r="2768" spans="1:8" x14ac:dyDescent="0.3">
      <c r="A2768" t="s">
        <v>27</v>
      </c>
      <c r="B2768" s="1">
        <v>40557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</row>
    <row r="2769" spans="1:8" x14ac:dyDescent="0.3">
      <c r="A2769" t="s">
        <v>27</v>
      </c>
      <c r="B2769" s="1">
        <v>40564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</row>
    <row r="2770" spans="1:8" x14ac:dyDescent="0.3">
      <c r="A2770" t="s">
        <v>27</v>
      </c>
      <c r="B2770" s="1">
        <v>40571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</row>
    <row r="2771" spans="1:8" x14ac:dyDescent="0.3">
      <c r="A2771" t="s">
        <v>27</v>
      </c>
      <c r="B2771" s="1">
        <v>40578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</row>
    <row r="2772" spans="1:8" x14ac:dyDescent="0.3">
      <c r="A2772" t="s">
        <v>27</v>
      </c>
      <c r="B2772" s="1">
        <v>40585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</row>
    <row r="2773" spans="1:8" x14ac:dyDescent="0.3">
      <c r="A2773" t="s">
        <v>27</v>
      </c>
      <c r="B2773" s="1">
        <v>40592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</row>
    <row r="2774" spans="1:8" x14ac:dyDescent="0.3">
      <c r="A2774" t="s">
        <v>27</v>
      </c>
      <c r="B2774" s="1">
        <v>40599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</row>
    <row r="2775" spans="1:8" x14ac:dyDescent="0.3">
      <c r="A2775" t="s">
        <v>27</v>
      </c>
      <c r="B2775" s="1">
        <v>40606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</row>
    <row r="2776" spans="1:8" x14ac:dyDescent="0.3">
      <c r="A2776" t="s">
        <v>27</v>
      </c>
      <c r="B2776" s="1">
        <v>40613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</row>
    <row r="2777" spans="1:8" x14ac:dyDescent="0.3">
      <c r="A2777" t="s">
        <v>27</v>
      </c>
      <c r="B2777" s="1">
        <v>40620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</row>
    <row r="2778" spans="1:8" x14ac:dyDescent="0.3">
      <c r="A2778" t="s">
        <v>27</v>
      </c>
      <c r="B2778" s="1">
        <v>40627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</row>
    <row r="2779" spans="1:8" x14ac:dyDescent="0.3">
      <c r="A2779" t="s">
        <v>27</v>
      </c>
      <c r="B2779" s="1">
        <v>40634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</row>
    <row r="2780" spans="1:8" x14ac:dyDescent="0.3">
      <c r="A2780" t="s">
        <v>27</v>
      </c>
      <c r="B2780" s="1">
        <v>40641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</row>
    <row r="2781" spans="1:8" x14ac:dyDescent="0.3">
      <c r="A2781" t="s">
        <v>27</v>
      </c>
      <c r="B2781" s="1">
        <v>40648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</row>
    <row r="2782" spans="1:8" x14ac:dyDescent="0.3">
      <c r="A2782" t="s">
        <v>27</v>
      </c>
      <c r="B2782" s="1">
        <v>40655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</row>
    <row r="2783" spans="1:8" x14ac:dyDescent="0.3">
      <c r="A2783" t="s">
        <v>27</v>
      </c>
      <c r="B2783" s="1">
        <v>40662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</row>
    <row r="2784" spans="1:8" x14ac:dyDescent="0.3">
      <c r="A2784" t="s">
        <v>27</v>
      </c>
      <c r="B2784" s="1">
        <v>40669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</row>
    <row r="2785" spans="1:8" x14ac:dyDescent="0.3">
      <c r="A2785" t="s">
        <v>27</v>
      </c>
      <c r="B2785" s="1">
        <v>40676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</row>
    <row r="2786" spans="1:8" x14ac:dyDescent="0.3">
      <c r="A2786" t="s">
        <v>27</v>
      </c>
      <c r="B2786" s="1">
        <v>40683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</row>
    <row r="2787" spans="1:8" x14ac:dyDescent="0.3">
      <c r="A2787" t="s">
        <v>27</v>
      </c>
      <c r="B2787" s="1">
        <v>40690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</row>
    <row r="2788" spans="1:8" x14ac:dyDescent="0.3">
      <c r="A2788" t="s">
        <v>27</v>
      </c>
      <c r="B2788" s="1">
        <v>40697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</row>
    <row r="2789" spans="1:8" x14ac:dyDescent="0.3">
      <c r="A2789" t="s">
        <v>27</v>
      </c>
      <c r="B2789" s="1">
        <v>40704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</row>
    <row r="2790" spans="1:8" x14ac:dyDescent="0.3">
      <c r="A2790" t="s">
        <v>27</v>
      </c>
      <c r="B2790" s="1">
        <v>40711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</row>
    <row r="2791" spans="1:8" x14ac:dyDescent="0.3">
      <c r="A2791" t="s">
        <v>27</v>
      </c>
      <c r="B2791" s="1">
        <v>40718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</row>
    <row r="2792" spans="1:8" x14ac:dyDescent="0.3">
      <c r="A2792" t="s">
        <v>27</v>
      </c>
      <c r="B2792" s="1">
        <v>40725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</row>
    <row r="2793" spans="1:8" x14ac:dyDescent="0.3">
      <c r="A2793" t="s">
        <v>27</v>
      </c>
      <c r="B2793" s="1">
        <v>40732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</row>
    <row r="2794" spans="1:8" x14ac:dyDescent="0.3">
      <c r="A2794" t="s">
        <v>27</v>
      </c>
      <c r="B2794" s="1">
        <v>40739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</row>
    <row r="2795" spans="1:8" x14ac:dyDescent="0.3">
      <c r="A2795" t="s">
        <v>27</v>
      </c>
      <c r="B2795" s="1">
        <v>40746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</row>
    <row r="2796" spans="1:8" x14ac:dyDescent="0.3">
      <c r="A2796" t="s">
        <v>27</v>
      </c>
      <c r="B2796" s="1">
        <v>40753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</row>
    <row r="2797" spans="1:8" x14ac:dyDescent="0.3">
      <c r="A2797" t="s">
        <v>27</v>
      </c>
      <c r="B2797" s="1">
        <v>40760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</row>
    <row r="2798" spans="1:8" x14ac:dyDescent="0.3">
      <c r="A2798" t="s">
        <v>27</v>
      </c>
      <c r="B2798" s="1">
        <v>40767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</row>
    <row r="2799" spans="1:8" x14ac:dyDescent="0.3">
      <c r="A2799" t="s">
        <v>27</v>
      </c>
      <c r="B2799" s="1">
        <v>40774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</row>
    <row r="2800" spans="1:8" x14ac:dyDescent="0.3">
      <c r="A2800" t="s">
        <v>27</v>
      </c>
      <c r="B2800" s="1">
        <v>40781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</row>
    <row r="2801" spans="1:8" x14ac:dyDescent="0.3">
      <c r="A2801" t="s">
        <v>27</v>
      </c>
      <c r="B2801" s="1">
        <v>40788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</row>
    <row r="2802" spans="1:8" x14ac:dyDescent="0.3">
      <c r="A2802" t="s">
        <v>27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</row>
    <row r="2803" spans="1:8" x14ac:dyDescent="0.3">
      <c r="A2803" t="s">
        <v>27</v>
      </c>
      <c r="B2803" s="1">
        <v>40802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</row>
    <row r="2804" spans="1:8" x14ac:dyDescent="0.3">
      <c r="A2804" t="s">
        <v>27</v>
      </c>
      <c r="B2804" s="1">
        <v>40809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</row>
    <row r="2805" spans="1:8" x14ac:dyDescent="0.3">
      <c r="A2805" t="s">
        <v>27</v>
      </c>
      <c r="B2805" s="1">
        <v>40816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</row>
    <row r="2806" spans="1:8" x14ac:dyDescent="0.3">
      <c r="A2806" t="s">
        <v>27</v>
      </c>
      <c r="B2806" s="1">
        <v>40823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</row>
    <row r="2807" spans="1:8" x14ac:dyDescent="0.3">
      <c r="A2807" t="s">
        <v>27</v>
      </c>
      <c r="B2807" s="1">
        <v>40830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</row>
    <row r="2808" spans="1:8" x14ac:dyDescent="0.3">
      <c r="A2808" t="s">
        <v>27</v>
      </c>
      <c r="B2808" s="1">
        <v>40837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</row>
    <row r="2809" spans="1:8" x14ac:dyDescent="0.3">
      <c r="A2809" t="s">
        <v>27</v>
      </c>
      <c r="B2809" s="1">
        <v>40844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</row>
    <row r="2810" spans="1:8" x14ac:dyDescent="0.3">
      <c r="A2810" t="s">
        <v>27</v>
      </c>
      <c r="B2810" s="1">
        <v>40851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</row>
    <row r="2811" spans="1:8" x14ac:dyDescent="0.3">
      <c r="A2811" t="s">
        <v>27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</row>
    <row r="2812" spans="1:8" x14ac:dyDescent="0.3">
      <c r="A2812" t="s">
        <v>27</v>
      </c>
      <c r="B2812" s="1">
        <v>40865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</row>
    <row r="2813" spans="1:8" x14ac:dyDescent="0.3">
      <c r="A2813" t="s">
        <v>27</v>
      </c>
      <c r="B2813" s="1">
        <v>40872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</row>
    <row r="2814" spans="1:8" x14ac:dyDescent="0.3">
      <c r="A2814" t="s">
        <v>27</v>
      </c>
      <c r="B2814" s="1">
        <v>40879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</row>
    <row r="2815" spans="1:8" x14ac:dyDescent="0.3">
      <c r="A2815" t="s">
        <v>27</v>
      </c>
      <c r="B2815" s="1">
        <v>40886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</row>
    <row r="2816" spans="1:8" x14ac:dyDescent="0.3">
      <c r="A2816" t="s">
        <v>27</v>
      </c>
      <c r="B2816" s="1">
        <v>40893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</row>
    <row r="2817" spans="1:8" x14ac:dyDescent="0.3">
      <c r="A2817" t="s">
        <v>27</v>
      </c>
      <c r="B2817" s="1">
        <v>40900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</row>
    <row r="2818" spans="1:8" x14ac:dyDescent="0.3">
      <c r="A2818" t="s">
        <v>27</v>
      </c>
      <c r="B2818" s="1">
        <v>40907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</row>
    <row r="2819" spans="1:8" x14ac:dyDescent="0.3">
      <c r="A2819" t="s">
        <v>27</v>
      </c>
      <c r="B2819" s="1">
        <v>40914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</row>
    <row r="2820" spans="1:8" x14ac:dyDescent="0.3">
      <c r="A2820" t="s">
        <v>27</v>
      </c>
      <c r="B2820" s="1">
        <v>40921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</row>
    <row r="2821" spans="1:8" x14ac:dyDescent="0.3">
      <c r="A2821" t="s">
        <v>27</v>
      </c>
      <c r="B2821" s="1">
        <v>40928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</row>
    <row r="2822" spans="1:8" x14ac:dyDescent="0.3">
      <c r="A2822" t="s">
        <v>27</v>
      </c>
      <c r="B2822" s="1">
        <v>40935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</row>
    <row r="2823" spans="1:8" x14ac:dyDescent="0.3">
      <c r="A2823" t="s">
        <v>27</v>
      </c>
      <c r="B2823" s="1">
        <v>40942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</row>
    <row r="2824" spans="1:8" x14ac:dyDescent="0.3">
      <c r="A2824" t="s">
        <v>27</v>
      </c>
      <c r="B2824" s="1">
        <v>40949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</row>
    <row r="2825" spans="1:8" x14ac:dyDescent="0.3">
      <c r="A2825" t="s">
        <v>27</v>
      </c>
      <c r="B2825" s="1">
        <v>40956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</row>
    <row r="2826" spans="1:8" x14ac:dyDescent="0.3">
      <c r="A2826" t="s">
        <v>27</v>
      </c>
      <c r="B2826" s="1">
        <v>40963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</row>
    <row r="2827" spans="1:8" x14ac:dyDescent="0.3">
      <c r="A2827" t="s">
        <v>27</v>
      </c>
      <c r="B2827" s="1">
        <v>40970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</row>
    <row r="2828" spans="1:8" x14ac:dyDescent="0.3">
      <c r="A2828" t="s">
        <v>27</v>
      </c>
      <c r="B2828" s="1">
        <v>40977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</row>
    <row r="2829" spans="1:8" x14ac:dyDescent="0.3">
      <c r="A2829" t="s">
        <v>27</v>
      </c>
      <c r="B2829" s="1">
        <v>40984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</row>
    <row r="2830" spans="1:8" x14ac:dyDescent="0.3">
      <c r="A2830" t="s">
        <v>27</v>
      </c>
      <c r="B2830" s="1">
        <v>40991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</row>
    <row r="2831" spans="1:8" x14ac:dyDescent="0.3">
      <c r="A2831" t="s">
        <v>27</v>
      </c>
      <c r="B2831" s="1">
        <v>40998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</row>
    <row r="2832" spans="1:8" x14ac:dyDescent="0.3">
      <c r="A2832" t="s">
        <v>27</v>
      </c>
      <c r="B2832" s="1">
        <v>41005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</row>
    <row r="2833" spans="1:8" x14ac:dyDescent="0.3">
      <c r="A2833" t="s">
        <v>27</v>
      </c>
      <c r="B2833" s="1">
        <v>41012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</row>
    <row r="2834" spans="1:8" x14ac:dyDescent="0.3">
      <c r="A2834" t="s">
        <v>27</v>
      </c>
      <c r="B2834" s="1">
        <v>41019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</row>
    <row r="2835" spans="1:8" x14ac:dyDescent="0.3">
      <c r="A2835" t="s">
        <v>27</v>
      </c>
      <c r="B2835" s="1">
        <v>41026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</row>
    <row r="2836" spans="1:8" x14ac:dyDescent="0.3">
      <c r="A2836" t="s">
        <v>27</v>
      </c>
      <c r="B2836" s="1">
        <v>41033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</row>
    <row r="2837" spans="1:8" x14ac:dyDescent="0.3">
      <c r="A2837" t="s">
        <v>27</v>
      </c>
      <c r="B2837" s="1">
        <v>41040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</row>
    <row r="2838" spans="1:8" x14ac:dyDescent="0.3">
      <c r="A2838" t="s">
        <v>27</v>
      </c>
      <c r="B2838" s="1">
        <v>41047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</row>
    <row r="2839" spans="1:8" x14ac:dyDescent="0.3">
      <c r="A2839" t="s">
        <v>27</v>
      </c>
      <c r="B2839" s="1">
        <v>41054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</row>
    <row r="2840" spans="1:8" x14ac:dyDescent="0.3">
      <c r="A2840" t="s">
        <v>27</v>
      </c>
      <c r="B2840" s="1">
        <v>41061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</row>
    <row r="2841" spans="1:8" x14ac:dyDescent="0.3">
      <c r="A2841" t="s">
        <v>27</v>
      </c>
      <c r="B2841" s="1">
        <v>41068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</row>
    <row r="2842" spans="1:8" x14ac:dyDescent="0.3">
      <c r="A2842" t="s">
        <v>27</v>
      </c>
      <c r="B2842" s="1">
        <v>41075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</row>
    <row r="2843" spans="1:8" x14ac:dyDescent="0.3">
      <c r="A2843" t="s">
        <v>27</v>
      </c>
      <c r="B2843" s="1">
        <v>41082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</row>
    <row r="2844" spans="1:8" x14ac:dyDescent="0.3">
      <c r="A2844" t="s">
        <v>27</v>
      </c>
      <c r="B2844" s="1">
        <v>41089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</row>
    <row r="2845" spans="1:8" x14ac:dyDescent="0.3">
      <c r="A2845" t="s">
        <v>27</v>
      </c>
      <c r="B2845" s="1">
        <v>41096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</row>
    <row r="2846" spans="1:8" x14ac:dyDescent="0.3">
      <c r="A2846" t="s">
        <v>27</v>
      </c>
      <c r="B2846" s="1">
        <v>41103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</row>
    <row r="2847" spans="1:8" x14ac:dyDescent="0.3">
      <c r="A2847" t="s">
        <v>27</v>
      </c>
      <c r="B2847" s="1">
        <v>41110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</row>
    <row r="2848" spans="1:8" x14ac:dyDescent="0.3">
      <c r="A2848" t="s">
        <v>27</v>
      </c>
      <c r="B2848" s="1">
        <v>41117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</row>
    <row r="2849" spans="1:8" x14ac:dyDescent="0.3">
      <c r="A2849" t="s">
        <v>27</v>
      </c>
      <c r="B2849" s="1">
        <v>41124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</row>
    <row r="2850" spans="1:8" x14ac:dyDescent="0.3">
      <c r="A2850" t="s">
        <v>27</v>
      </c>
      <c r="B2850" s="1">
        <v>41131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</row>
    <row r="2851" spans="1:8" x14ac:dyDescent="0.3">
      <c r="A2851" t="s">
        <v>27</v>
      </c>
      <c r="B2851" s="1">
        <v>41138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</row>
    <row r="2852" spans="1:8" x14ac:dyDescent="0.3">
      <c r="A2852" t="s">
        <v>27</v>
      </c>
      <c r="B2852" s="1">
        <v>41145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</row>
    <row r="2853" spans="1:8" x14ac:dyDescent="0.3">
      <c r="A2853" t="s">
        <v>27</v>
      </c>
      <c r="B2853" s="1">
        <v>41152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 x14ac:dyDescent="0.3">
      <c r="A2854" t="s">
        <v>27</v>
      </c>
      <c r="B2854" s="1">
        <v>41159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 x14ac:dyDescent="0.3">
      <c r="A2855" t="s">
        <v>27</v>
      </c>
      <c r="B2855" s="1">
        <v>41166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</row>
    <row r="2856" spans="1:8" x14ac:dyDescent="0.3">
      <c r="A2856" t="s">
        <v>27</v>
      </c>
      <c r="B2856" s="1">
        <v>41173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</row>
    <row r="2857" spans="1:8" x14ac:dyDescent="0.3">
      <c r="A2857" t="s">
        <v>27</v>
      </c>
      <c r="B2857" s="1">
        <v>41180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</row>
    <row r="2858" spans="1:8" x14ac:dyDescent="0.3">
      <c r="A2858" t="s">
        <v>27</v>
      </c>
      <c r="B2858" s="1">
        <v>41187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</row>
    <row r="2859" spans="1:8" x14ac:dyDescent="0.3">
      <c r="A2859" t="s">
        <v>27</v>
      </c>
      <c r="B2859" s="1">
        <v>41194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</row>
    <row r="2860" spans="1:8" x14ac:dyDescent="0.3">
      <c r="A2860" t="s">
        <v>27</v>
      </c>
      <c r="B2860" s="1">
        <v>41201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</row>
    <row r="2861" spans="1:8" x14ac:dyDescent="0.3">
      <c r="A2861" t="s">
        <v>27</v>
      </c>
      <c r="B2861" s="1">
        <v>41208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</row>
    <row r="2862" spans="1:8" x14ac:dyDescent="0.3">
      <c r="A2862" t="s">
        <v>28</v>
      </c>
      <c r="B2862" s="1">
        <v>40214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</row>
    <row r="2863" spans="1:8" x14ac:dyDescent="0.3">
      <c r="A2863" t="s">
        <v>28</v>
      </c>
      <c r="B2863" s="1">
        <v>40221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</row>
    <row r="2864" spans="1:8" x14ac:dyDescent="0.3">
      <c r="A2864" t="s">
        <v>28</v>
      </c>
      <c r="B2864" s="1">
        <v>40228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</row>
    <row r="2865" spans="1:8" x14ac:dyDescent="0.3">
      <c r="A2865" t="s">
        <v>28</v>
      </c>
      <c r="B2865" s="1">
        <v>40235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</row>
    <row r="2866" spans="1:8" x14ac:dyDescent="0.3">
      <c r="A2866" t="s">
        <v>28</v>
      </c>
      <c r="B2866" s="1">
        <v>40242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</row>
    <row r="2867" spans="1:8" x14ac:dyDescent="0.3">
      <c r="A2867" t="s">
        <v>28</v>
      </c>
      <c r="B2867" s="1">
        <v>40249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</row>
    <row r="2868" spans="1:8" x14ac:dyDescent="0.3">
      <c r="A2868" t="s">
        <v>28</v>
      </c>
      <c r="B2868" s="1">
        <v>40256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</row>
    <row r="2869" spans="1:8" x14ac:dyDescent="0.3">
      <c r="A2869" t="s">
        <v>28</v>
      </c>
      <c r="B2869" s="1">
        <v>40263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</row>
    <row r="2870" spans="1:8" x14ac:dyDescent="0.3">
      <c r="A2870" t="s">
        <v>28</v>
      </c>
      <c r="B2870" s="1">
        <v>40270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</row>
    <row r="2871" spans="1:8" x14ac:dyDescent="0.3">
      <c r="A2871" t="s">
        <v>28</v>
      </c>
      <c r="B2871" s="1">
        <v>40277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</row>
    <row r="2872" spans="1:8" x14ac:dyDescent="0.3">
      <c r="A2872" t="s">
        <v>28</v>
      </c>
      <c r="B2872" s="1">
        <v>40284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</row>
    <row r="2873" spans="1:8" x14ac:dyDescent="0.3">
      <c r="A2873" t="s">
        <v>28</v>
      </c>
      <c r="B2873" s="1">
        <v>40291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</row>
    <row r="2874" spans="1:8" x14ac:dyDescent="0.3">
      <c r="A2874" t="s">
        <v>28</v>
      </c>
      <c r="B2874" s="1">
        <v>40298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</row>
    <row r="2875" spans="1:8" x14ac:dyDescent="0.3">
      <c r="A2875" t="s">
        <v>28</v>
      </c>
      <c r="B2875" s="1">
        <v>40305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</row>
    <row r="2876" spans="1:8" x14ac:dyDescent="0.3">
      <c r="A2876" t="s">
        <v>28</v>
      </c>
      <c r="B2876" s="1">
        <v>40312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</row>
    <row r="2877" spans="1:8" x14ac:dyDescent="0.3">
      <c r="A2877" t="s">
        <v>28</v>
      </c>
      <c r="B2877" s="1">
        <v>40319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</row>
    <row r="2878" spans="1:8" x14ac:dyDescent="0.3">
      <c r="A2878" t="s">
        <v>28</v>
      </c>
      <c r="B2878" s="1">
        <v>40326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</row>
    <row r="2879" spans="1:8" x14ac:dyDescent="0.3">
      <c r="A2879" t="s">
        <v>28</v>
      </c>
      <c r="B2879" s="1">
        <v>40333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</row>
    <row r="2880" spans="1:8" x14ac:dyDescent="0.3">
      <c r="A2880" t="s">
        <v>28</v>
      </c>
      <c r="B2880" s="1">
        <v>40340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</row>
    <row r="2881" spans="1:8" x14ac:dyDescent="0.3">
      <c r="A2881" t="s">
        <v>28</v>
      </c>
      <c r="B2881" s="1">
        <v>40347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</row>
    <row r="2882" spans="1:8" x14ac:dyDescent="0.3">
      <c r="A2882" t="s">
        <v>28</v>
      </c>
      <c r="B2882" s="1">
        <v>40354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</row>
    <row r="2883" spans="1:8" x14ac:dyDescent="0.3">
      <c r="A2883" t="s">
        <v>28</v>
      </c>
      <c r="B2883" s="1">
        <v>40361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</row>
    <row r="2884" spans="1:8" x14ac:dyDescent="0.3">
      <c r="A2884" t="s">
        <v>28</v>
      </c>
      <c r="B2884" s="1">
        <v>40368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</row>
    <row r="2885" spans="1:8" x14ac:dyDescent="0.3">
      <c r="A2885" t="s">
        <v>28</v>
      </c>
      <c r="B2885" s="1">
        <v>40375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</row>
    <row r="2886" spans="1:8" x14ac:dyDescent="0.3">
      <c r="A2886" t="s">
        <v>28</v>
      </c>
      <c r="B2886" s="1">
        <v>40382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</row>
    <row r="2887" spans="1:8" x14ac:dyDescent="0.3">
      <c r="A2887" t="s">
        <v>28</v>
      </c>
      <c r="B2887" s="1">
        <v>40389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</row>
    <row r="2888" spans="1:8" x14ac:dyDescent="0.3">
      <c r="A2888" t="s">
        <v>28</v>
      </c>
      <c r="B2888" s="1">
        <v>40396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</row>
    <row r="2889" spans="1:8" x14ac:dyDescent="0.3">
      <c r="A2889" t="s">
        <v>28</v>
      </c>
      <c r="B2889" s="1">
        <v>40403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</row>
    <row r="2890" spans="1:8" x14ac:dyDescent="0.3">
      <c r="A2890" t="s">
        <v>28</v>
      </c>
      <c r="B2890" s="1">
        <v>40410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</row>
    <row r="2891" spans="1:8" x14ac:dyDescent="0.3">
      <c r="A2891" t="s">
        <v>28</v>
      </c>
      <c r="B2891" s="1">
        <v>40417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</row>
    <row r="2892" spans="1:8" x14ac:dyDescent="0.3">
      <c r="A2892" t="s">
        <v>28</v>
      </c>
      <c r="B2892" s="1">
        <v>40424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</row>
    <row r="2893" spans="1:8" x14ac:dyDescent="0.3">
      <c r="A2893" t="s">
        <v>28</v>
      </c>
      <c r="B2893" s="1">
        <v>40431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</row>
    <row r="2894" spans="1:8" x14ac:dyDescent="0.3">
      <c r="A2894" t="s">
        <v>28</v>
      </c>
      <c r="B2894" s="1">
        <v>40438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</row>
    <row r="2895" spans="1:8" x14ac:dyDescent="0.3">
      <c r="A2895" t="s">
        <v>28</v>
      </c>
      <c r="B2895" s="1">
        <v>40445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</row>
    <row r="2896" spans="1:8" x14ac:dyDescent="0.3">
      <c r="A2896" t="s">
        <v>28</v>
      </c>
      <c r="B2896" s="1">
        <v>40452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</row>
    <row r="2897" spans="1:8" x14ac:dyDescent="0.3">
      <c r="A2897" t="s">
        <v>28</v>
      </c>
      <c r="B2897" s="1">
        <v>40459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</row>
    <row r="2898" spans="1:8" x14ac:dyDescent="0.3">
      <c r="A2898" t="s">
        <v>28</v>
      </c>
      <c r="B2898" s="1">
        <v>40466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</row>
    <row r="2899" spans="1:8" x14ac:dyDescent="0.3">
      <c r="A2899" t="s">
        <v>28</v>
      </c>
      <c r="B2899" s="1">
        <v>40473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</row>
    <row r="2900" spans="1:8" x14ac:dyDescent="0.3">
      <c r="A2900" t="s">
        <v>28</v>
      </c>
      <c r="B2900" s="1">
        <v>40480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</row>
    <row r="2901" spans="1:8" x14ac:dyDescent="0.3">
      <c r="A2901" t="s">
        <v>28</v>
      </c>
      <c r="B2901" s="1">
        <v>40487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</row>
    <row r="2902" spans="1:8" x14ac:dyDescent="0.3">
      <c r="A2902" t="s">
        <v>28</v>
      </c>
      <c r="B2902" s="1">
        <v>40494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</row>
    <row r="2903" spans="1:8" x14ac:dyDescent="0.3">
      <c r="A2903" t="s">
        <v>28</v>
      </c>
      <c r="B2903" s="1">
        <v>40501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</row>
    <row r="2904" spans="1:8" x14ac:dyDescent="0.3">
      <c r="A2904" t="s">
        <v>28</v>
      </c>
      <c r="B2904" s="1">
        <v>40508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</row>
    <row r="2905" spans="1:8" x14ac:dyDescent="0.3">
      <c r="A2905" t="s">
        <v>28</v>
      </c>
      <c r="B2905" s="1">
        <v>40515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</row>
    <row r="2906" spans="1:8" x14ac:dyDescent="0.3">
      <c r="A2906" t="s">
        <v>28</v>
      </c>
      <c r="B2906" s="1">
        <v>40522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</row>
    <row r="2907" spans="1:8" x14ac:dyDescent="0.3">
      <c r="A2907" t="s">
        <v>28</v>
      </c>
      <c r="B2907" s="1">
        <v>40529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</row>
    <row r="2908" spans="1:8" x14ac:dyDescent="0.3">
      <c r="A2908" t="s">
        <v>28</v>
      </c>
      <c r="B2908" s="1">
        <v>40536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</row>
    <row r="2909" spans="1:8" x14ac:dyDescent="0.3">
      <c r="A2909" t="s">
        <v>28</v>
      </c>
      <c r="B2909" s="1">
        <v>40543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</row>
    <row r="2910" spans="1:8" x14ac:dyDescent="0.3">
      <c r="A2910" t="s">
        <v>28</v>
      </c>
      <c r="B2910" s="1">
        <v>40550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</row>
    <row r="2911" spans="1:8" x14ac:dyDescent="0.3">
      <c r="A2911" t="s">
        <v>28</v>
      </c>
      <c r="B2911" s="1">
        <v>40557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</row>
    <row r="2912" spans="1:8" x14ac:dyDescent="0.3">
      <c r="A2912" t="s">
        <v>28</v>
      </c>
      <c r="B2912" s="1">
        <v>40564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</row>
    <row r="2913" spans="1:8" x14ac:dyDescent="0.3">
      <c r="A2913" t="s">
        <v>28</v>
      </c>
      <c r="B2913" s="1">
        <v>40571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</row>
    <row r="2914" spans="1:8" x14ac:dyDescent="0.3">
      <c r="A2914" t="s">
        <v>28</v>
      </c>
      <c r="B2914" s="1">
        <v>40578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</row>
    <row r="2915" spans="1:8" x14ac:dyDescent="0.3">
      <c r="A2915" t="s">
        <v>28</v>
      </c>
      <c r="B2915" s="1">
        <v>40585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</row>
    <row r="2916" spans="1:8" x14ac:dyDescent="0.3">
      <c r="A2916" t="s">
        <v>28</v>
      </c>
      <c r="B2916" s="1">
        <v>40592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</row>
    <row r="2917" spans="1:8" x14ac:dyDescent="0.3">
      <c r="A2917" t="s">
        <v>28</v>
      </c>
      <c r="B2917" s="1">
        <v>40599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</row>
    <row r="2918" spans="1:8" x14ac:dyDescent="0.3">
      <c r="A2918" t="s">
        <v>28</v>
      </c>
      <c r="B2918" s="1">
        <v>40606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</row>
    <row r="2919" spans="1:8" x14ac:dyDescent="0.3">
      <c r="A2919" t="s">
        <v>28</v>
      </c>
      <c r="B2919" s="1">
        <v>40613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</row>
    <row r="2920" spans="1:8" x14ac:dyDescent="0.3">
      <c r="A2920" t="s">
        <v>28</v>
      </c>
      <c r="B2920" s="1">
        <v>40620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</row>
    <row r="2921" spans="1:8" x14ac:dyDescent="0.3">
      <c r="A2921" t="s">
        <v>28</v>
      </c>
      <c r="B2921" s="1">
        <v>40627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</row>
    <row r="2922" spans="1:8" x14ac:dyDescent="0.3">
      <c r="A2922" t="s">
        <v>28</v>
      </c>
      <c r="B2922" s="1">
        <v>40634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 x14ac:dyDescent="0.3">
      <c r="A2923" t="s">
        <v>28</v>
      </c>
      <c r="B2923" s="1">
        <v>40641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</row>
    <row r="2924" spans="1:8" x14ac:dyDescent="0.3">
      <c r="A2924" t="s">
        <v>28</v>
      </c>
      <c r="B2924" s="1">
        <v>40648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</row>
    <row r="2925" spans="1:8" x14ac:dyDescent="0.3">
      <c r="A2925" t="s">
        <v>28</v>
      </c>
      <c r="B2925" s="1">
        <v>40655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</row>
    <row r="2926" spans="1:8" x14ac:dyDescent="0.3">
      <c r="A2926" t="s">
        <v>28</v>
      </c>
      <c r="B2926" s="1">
        <v>40662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 x14ac:dyDescent="0.3">
      <c r="A2927" t="s">
        <v>28</v>
      </c>
      <c r="B2927" s="1">
        <v>40669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</row>
    <row r="2928" spans="1:8" x14ac:dyDescent="0.3">
      <c r="A2928" t="s">
        <v>28</v>
      </c>
      <c r="B2928" s="1">
        <v>40676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</row>
    <row r="2929" spans="1:8" x14ac:dyDescent="0.3">
      <c r="A2929" t="s">
        <v>28</v>
      </c>
      <c r="B2929" s="1">
        <v>40683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</row>
    <row r="2930" spans="1:8" x14ac:dyDescent="0.3">
      <c r="A2930" t="s">
        <v>28</v>
      </c>
      <c r="B2930" s="1">
        <v>40690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</row>
    <row r="2931" spans="1:8" x14ac:dyDescent="0.3">
      <c r="A2931" t="s">
        <v>28</v>
      </c>
      <c r="B2931" s="1">
        <v>40697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</row>
    <row r="2932" spans="1:8" x14ac:dyDescent="0.3">
      <c r="A2932" t="s">
        <v>28</v>
      </c>
      <c r="B2932" s="1">
        <v>40704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</row>
    <row r="2933" spans="1:8" x14ac:dyDescent="0.3">
      <c r="A2933" t="s">
        <v>28</v>
      </c>
      <c r="B2933" s="1">
        <v>40711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</row>
    <row r="2934" spans="1:8" x14ac:dyDescent="0.3">
      <c r="A2934" t="s">
        <v>28</v>
      </c>
      <c r="B2934" s="1">
        <v>40718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</row>
    <row r="2935" spans="1:8" x14ac:dyDescent="0.3">
      <c r="A2935" t="s">
        <v>28</v>
      </c>
      <c r="B2935" s="1">
        <v>40725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</row>
    <row r="2936" spans="1:8" x14ac:dyDescent="0.3">
      <c r="A2936" t="s">
        <v>28</v>
      </c>
      <c r="B2936" s="1">
        <v>40732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</row>
    <row r="2937" spans="1:8" x14ac:dyDescent="0.3">
      <c r="A2937" t="s">
        <v>28</v>
      </c>
      <c r="B2937" s="1">
        <v>40739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</row>
    <row r="2938" spans="1:8" x14ac:dyDescent="0.3">
      <c r="A2938" t="s">
        <v>28</v>
      </c>
      <c r="B2938" s="1">
        <v>40746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</row>
    <row r="2939" spans="1:8" x14ac:dyDescent="0.3">
      <c r="A2939" t="s">
        <v>28</v>
      </c>
      <c r="B2939" s="1">
        <v>40753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</row>
    <row r="2940" spans="1:8" x14ac:dyDescent="0.3">
      <c r="A2940" t="s">
        <v>28</v>
      </c>
      <c r="B2940" s="1">
        <v>40760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</row>
    <row r="2941" spans="1:8" x14ac:dyDescent="0.3">
      <c r="A2941" t="s">
        <v>28</v>
      </c>
      <c r="B2941" s="1">
        <v>40767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</row>
    <row r="2942" spans="1:8" x14ac:dyDescent="0.3">
      <c r="A2942" t="s">
        <v>28</v>
      </c>
      <c r="B2942" s="1">
        <v>40774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</row>
    <row r="2943" spans="1:8" x14ac:dyDescent="0.3">
      <c r="A2943" t="s">
        <v>28</v>
      </c>
      <c r="B2943" s="1">
        <v>40781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</row>
    <row r="2944" spans="1:8" x14ac:dyDescent="0.3">
      <c r="A2944" t="s">
        <v>28</v>
      </c>
      <c r="B2944" s="1">
        <v>40788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</row>
    <row r="2945" spans="1:8" x14ac:dyDescent="0.3">
      <c r="A2945" t="s">
        <v>28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</row>
    <row r="2946" spans="1:8" x14ac:dyDescent="0.3">
      <c r="A2946" t="s">
        <v>28</v>
      </c>
      <c r="B2946" s="1">
        <v>40802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</row>
    <row r="2947" spans="1:8" x14ac:dyDescent="0.3">
      <c r="A2947" t="s">
        <v>28</v>
      </c>
      <c r="B2947" s="1">
        <v>40809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</row>
    <row r="2948" spans="1:8" x14ac:dyDescent="0.3">
      <c r="A2948" t="s">
        <v>28</v>
      </c>
      <c r="B2948" s="1">
        <v>40816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</row>
    <row r="2949" spans="1:8" x14ac:dyDescent="0.3">
      <c r="A2949" t="s">
        <v>28</v>
      </c>
      <c r="B2949" s="1">
        <v>40823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</row>
    <row r="2950" spans="1:8" x14ac:dyDescent="0.3">
      <c r="A2950" t="s">
        <v>28</v>
      </c>
      <c r="B2950" s="1">
        <v>40830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</row>
    <row r="2951" spans="1:8" x14ac:dyDescent="0.3">
      <c r="A2951" t="s">
        <v>28</v>
      </c>
      <c r="B2951" s="1">
        <v>40837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</row>
    <row r="2952" spans="1:8" x14ac:dyDescent="0.3">
      <c r="A2952" t="s">
        <v>28</v>
      </c>
      <c r="B2952" s="1">
        <v>40844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</row>
    <row r="2953" spans="1:8" x14ac:dyDescent="0.3">
      <c r="A2953" t="s">
        <v>28</v>
      </c>
      <c r="B2953" s="1">
        <v>40851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</row>
    <row r="2954" spans="1:8" x14ac:dyDescent="0.3">
      <c r="A2954" t="s">
        <v>28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</row>
    <row r="2955" spans="1:8" x14ac:dyDescent="0.3">
      <c r="A2955" t="s">
        <v>28</v>
      </c>
      <c r="B2955" s="1">
        <v>40865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</row>
    <row r="2956" spans="1:8" x14ac:dyDescent="0.3">
      <c r="A2956" t="s">
        <v>28</v>
      </c>
      <c r="B2956" s="1">
        <v>40872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</row>
    <row r="2957" spans="1:8" x14ac:dyDescent="0.3">
      <c r="A2957" t="s">
        <v>28</v>
      </c>
      <c r="B2957" s="1">
        <v>40879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</row>
    <row r="2958" spans="1:8" x14ac:dyDescent="0.3">
      <c r="A2958" t="s">
        <v>28</v>
      </c>
      <c r="B2958" s="1">
        <v>40886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</row>
    <row r="2959" spans="1:8" x14ac:dyDescent="0.3">
      <c r="A2959" t="s">
        <v>28</v>
      </c>
      <c r="B2959" s="1">
        <v>40893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</row>
    <row r="2960" spans="1:8" x14ac:dyDescent="0.3">
      <c r="A2960" t="s">
        <v>28</v>
      </c>
      <c r="B2960" s="1">
        <v>40900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</row>
    <row r="2961" spans="1:8" x14ac:dyDescent="0.3">
      <c r="A2961" t="s">
        <v>28</v>
      </c>
      <c r="B2961" s="1">
        <v>40907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</row>
    <row r="2962" spans="1:8" x14ac:dyDescent="0.3">
      <c r="A2962" t="s">
        <v>28</v>
      </c>
      <c r="B2962" s="1">
        <v>40914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</row>
    <row r="2963" spans="1:8" x14ac:dyDescent="0.3">
      <c r="A2963" t="s">
        <v>28</v>
      </c>
      <c r="B2963" s="1">
        <v>40921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</row>
    <row r="2964" spans="1:8" x14ac:dyDescent="0.3">
      <c r="A2964" t="s">
        <v>28</v>
      </c>
      <c r="B2964" s="1">
        <v>40928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</row>
    <row r="2965" spans="1:8" x14ac:dyDescent="0.3">
      <c r="A2965" t="s">
        <v>28</v>
      </c>
      <c r="B2965" s="1">
        <v>40935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</row>
    <row r="2966" spans="1:8" x14ac:dyDescent="0.3">
      <c r="A2966" t="s">
        <v>28</v>
      </c>
      <c r="B2966" s="1">
        <v>40942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</row>
    <row r="2967" spans="1:8" x14ac:dyDescent="0.3">
      <c r="A2967" t="s">
        <v>28</v>
      </c>
      <c r="B2967" s="1">
        <v>40949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</row>
    <row r="2968" spans="1:8" x14ac:dyDescent="0.3">
      <c r="A2968" t="s">
        <v>28</v>
      </c>
      <c r="B2968" s="1">
        <v>40956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</row>
    <row r="2969" spans="1:8" x14ac:dyDescent="0.3">
      <c r="A2969" t="s">
        <v>28</v>
      </c>
      <c r="B2969" s="1">
        <v>40963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</row>
    <row r="2970" spans="1:8" x14ac:dyDescent="0.3">
      <c r="A2970" t="s">
        <v>28</v>
      </c>
      <c r="B2970" s="1">
        <v>40970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</row>
    <row r="2971" spans="1:8" x14ac:dyDescent="0.3">
      <c r="A2971" t="s">
        <v>28</v>
      </c>
      <c r="B2971" s="1">
        <v>40977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</row>
    <row r="2972" spans="1:8" x14ac:dyDescent="0.3">
      <c r="A2972" t="s">
        <v>28</v>
      </c>
      <c r="B2972" s="1">
        <v>40984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</row>
    <row r="2973" spans="1:8" x14ac:dyDescent="0.3">
      <c r="A2973" t="s">
        <v>28</v>
      </c>
      <c r="B2973" s="1">
        <v>40991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</row>
    <row r="2974" spans="1:8" x14ac:dyDescent="0.3">
      <c r="A2974" t="s">
        <v>28</v>
      </c>
      <c r="B2974" s="1">
        <v>40998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</row>
    <row r="2975" spans="1:8" x14ac:dyDescent="0.3">
      <c r="A2975" t="s">
        <v>28</v>
      </c>
      <c r="B2975" s="1">
        <v>41005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</row>
    <row r="2976" spans="1:8" x14ac:dyDescent="0.3">
      <c r="A2976" t="s">
        <v>28</v>
      </c>
      <c r="B2976" s="1">
        <v>41012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</row>
    <row r="2977" spans="1:8" x14ac:dyDescent="0.3">
      <c r="A2977" t="s">
        <v>28</v>
      </c>
      <c r="B2977" s="1">
        <v>41019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</row>
    <row r="2978" spans="1:8" x14ac:dyDescent="0.3">
      <c r="A2978" t="s">
        <v>28</v>
      </c>
      <c r="B2978" s="1">
        <v>41026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</row>
    <row r="2979" spans="1:8" x14ac:dyDescent="0.3">
      <c r="A2979" t="s">
        <v>28</v>
      </c>
      <c r="B2979" s="1">
        <v>41033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</row>
    <row r="2980" spans="1:8" x14ac:dyDescent="0.3">
      <c r="A2980" t="s">
        <v>28</v>
      </c>
      <c r="B2980" s="1">
        <v>41040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</row>
    <row r="2981" spans="1:8" x14ac:dyDescent="0.3">
      <c r="A2981" t="s">
        <v>28</v>
      </c>
      <c r="B2981" s="1">
        <v>41047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</row>
    <row r="2982" spans="1:8" x14ac:dyDescent="0.3">
      <c r="A2982" t="s">
        <v>28</v>
      </c>
      <c r="B2982" s="1">
        <v>41054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</row>
    <row r="2983" spans="1:8" x14ac:dyDescent="0.3">
      <c r="A2983" t="s">
        <v>28</v>
      </c>
      <c r="B2983" s="1">
        <v>41061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</row>
    <row r="2984" spans="1:8" x14ac:dyDescent="0.3">
      <c r="A2984" t="s">
        <v>28</v>
      </c>
      <c r="B2984" s="1">
        <v>41068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</row>
    <row r="2985" spans="1:8" x14ac:dyDescent="0.3">
      <c r="A2985" t="s">
        <v>28</v>
      </c>
      <c r="B2985" s="1">
        <v>41075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</row>
    <row r="2986" spans="1:8" x14ac:dyDescent="0.3">
      <c r="A2986" t="s">
        <v>28</v>
      </c>
      <c r="B2986" s="1">
        <v>41082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</row>
    <row r="2987" spans="1:8" x14ac:dyDescent="0.3">
      <c r="A2987" t="s">
        <v>28</v>
      </c>
      <c r="B2987" s="1">
        <v>41089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</row>
    <row r="2988" spans="1:8" x14ac:dyDescent="0.3">
      <c r="A2988" t="s">
        <v>28</v>
      </c>
      <c r="B2988" s="1">
        <v>41096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</row>
    <row r="2989" spans="1:8" x14ac:dyDescent="0.3">
      <c r="A2989" t="s">
        <v>28</v>
      </c>
      <c r="B2989" s="1">
        <v>41103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</row>
    <row r="2990" spans="1:8" x14ac:dyDescent="0.3">
      <c r="A2990" t="s">
        <v>28</v>
      </c>
      <c r="B2990" s="1">
        <v>41110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</row>
    <row r="2991" spans="1:8" x14ac:dyDescent="0.3">
      <c r="A2991" t="s">
        <v>28</v>
      </c>
      <c r="B2991" s="1">
        <v>41117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</row>
    <row r="2992" spans="1:8" x14ac:dyDescent="0.3">
      <c r="A2992" t="s">
        <v>28</v>
      </c>
      <c r="B2992" s="1">
        <v>41124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</row>
    <row r="2993" spans="1:8" x14ac:dyDescent="0.3">
      <c r="A2993" t="s">
        <v>28</v>
      </c>
      <c r="B2993" s="1">
        <v>41131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</row>
    <row r="2994" spans="1:8" x14ac:dyDescent="0.3">
      <c r="A2994" t="s">
        <v>28</v>
      </c>
      <c r="B2994" s="1">
        <v>41138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</row>
    <row r="2995" spans="1:8" x14ac:dyDescent="0.3">
      <c r="A2995" t="s">
        <v>28</v>
      </c>
      <c r="B2995" s="1">
        <v>41145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</row>
    <row r="2996" spans="1:8" x14ac:dyDescent="0.3">
      <c r="A2996" t="s">
        <v>28</v>
      </c>
      <c r="B2996" s="1">
        <v>41152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</row>
    <row r="2997" spans="1:8" x14ac:dyDescent="0.3">
      <c r="A2997" t="s">
        <v>28</v>
      </c>
      <c r="B2997" s="1">
        <v>41159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</row>
    <row r="2998" spans="1:8" x14ac:dyDescent="0.3">
      <c r="A2998" t="s">
        <v>28</v>
      </c>
      <c r="B2998" s="1">
        <v>41166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</row>
    <row r="2999" spans="1:8" x14ac:dyDescent="0.3">
      <c r="A2999" t="s">
        <v>28</v>
      </c>
      <c r="B2999" s="1">
        <v>41173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</row>
    <row r="3000" spans="1:8" x14ac:dyDescent="0.3">
      <c r="A3000" t="s">
        <v>28</v>
      </c>
      <c r="B3000" s="1">
        <v>41180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</row>
    <row r="3001" spans="1:8" x14ac:dyDescent="0.3">
      <c r="A3001" t="s">
        <v>28</v>
      </c>
      <c r="B3001" s="1">
        <v>41187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 x14ac:dyDescent="0.3">
      <c r="A3002" t="s">
        <v>28</v>
      </c>
      <c r="B3002" s="1">
        <v>41194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 x14ac:dyDescent="0.3">
      <c r="A3003" t="s">
        <v>28</v>
      </c>
      <c r="B3003" s="1">
        <v>41201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</row>
    <row r="3004" spans="1:8" x14ac:dyDescent="0.3">
      <c r="A3004" t="s">
        <v>28</v>
      </c>
      <c r="B3004" s="1">
        <v>41208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</row>
    <row r="3005" spans="1:8" x14ac:dyDescent="0.3">
      <c r="A3005" t="s">
        <v>29</v>
      </c>
      <c r="B3005" s="1">
        <v>40214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</row>
    <row r="3006" spans="1:8" x14ac:dyDescent="0.3">
      <c r="A3006" t="s">
        <v>29</v>
      </c>
      <c r="B3006" s="1">
        <v>40221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</row>
    <row r="3007" spans="1:8" x14ac:dyDescent="0.3">
      <c r="A3007" t="s">
        <v>29</v>
      </c>
      <c r="B3007" s="1">
        <v>40228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</row>
    <row r="3008" spans="1:8" x14ac:dyDescent="0.3">
      <c r="A3008" t="s">
        <v>29</v>
      </c>
      <c r="B3008" s="1">
        <v>40235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</row>
    <row r="3009" spans="1:8" x14ac:dyDescent="0.3">
      <c r="A3009" t="s">
        <v>29</v>
      </c>
      <c r="B3009" s="1">
        <v>40242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</row>
    <row r="3010" spans="1:8" x14ac:dyDescent="0.3">
      <c r="A3010" t="s">
        <v>29</v>
      </c>
      <c r="B3010" s="1">
        <v>40249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</row>
    <row r="3011" spans="1:8" x14ac:dyDescent="0.3">
      <c r="A3011" t="s">
        <v>29</v>
      </c>
      <c r="B3011" s="1">
        <v>40256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</row>
    <row r="3012" spans="1:8" x14ac:dyDescent="0.3">
      <c r="A3012" t="s">
        <v>29</v>
      </c>
      <c r="B3012" s="1">
        <v>40263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</row>
    <row r="3013" spans="1:8" x14ac:dyDescent="0.3">
      <c r="A3013" t="s">
        <v>29</v>
      </c>
      <c r="B3013" s="1">
        <v>40270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</row>
    <row r="3014" spans="1:8" x14ac:dyDescent="0.3">
      <c r="A3014" t="s">
        <v>29</v>
      </c>
      <c r="B3014" s="1">
        <v>40277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</row>
    <row r="3015" spans="1:8" x14ac:dyDescent="0.3">
      <c r="A3015" t="s">
        <v>29</v>
      </c>
      <c r="B3015" s="1">
        <v>40284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</row>
    <row r="3016" spans="1:8" x14ac:dyDescent="0.3">
      <c r="A3016" t="s">
        <v>29</v>
      </c>
      <c r="B3016" s="1">
        <v>40291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</row>
    <row r="3017" spans="1:8" x14ac:dyDescent="0.3">
      <c r="A3017" t="s">
        <v>29</v>
      </c>
      <c r="B3017" s="1">
        <v>40298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</row>
    <row r="3018" spans="1:8" x14ac:dyDescent="0.3">
      <c r="A3018" t="s">
        <v>29</v>
      </c>
      <c r="B3018" s="1">
        <v>40305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</row>
    <row r="3019" spans="1:8" x14ac:dyDescent="0.3">
      <c r="A3019" t="s">
        <v>29</v>
      </c>
      <c r="B3019" s="1">
        <v>40312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</row>
    <row r="3020" spans="1:8" x14ac:dyDescent="0.3">
      <c r="A3020" t="s">
        <v>29</v>
      </c>
      <c r="B3020" s="1">
        <v>40319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</row>
    <row r="3021" spans="1:8" x14ac:dyDescent="0.3">
      <c r="A3021" t="s">
        <v>29</v>
      </c>
      <c r="B3021" s="1">
        <v>40326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</row>
    <row r="3022" spans="1:8" x14ac:dyDescent="0.3">
      <c r="A3022" t="s">
        <v>29</v>
      </c>
      <c r="B3022" s="1">
        <v>40333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</row>
    <row r="3023" spans="1:8" x14ac:dyDescent="0.3">
      <c r="A3023" t="s">
        <v>29</v>
      </c>
      <c r="B3023" s="1">
        <v>40340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</row>
    <row r="3024" spans="1:8" x14ac:dyDescent="0.3">
      <c r="A3024" t="s">
        <v>29</v>
      </c>
      <c r="B3024" s="1">
        <v>40347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</row>
    <row r="3025" spans="1:8" x14ac:dyDescent="0.3">
      <c r="A3025" t="s">
        <v>29</v>
      </c>
      <c r="B3025" s="1">
        <v>40354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</row>
    <row r="3026" spans="1:8" x14ac:dyDescent="0.3">
      <c r="A3026" t="s">
        <v>29</v>
      </c>
      <c r="B3026" s="1">
        <v>40361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</row>
    <row r="3027" spans="1:8" x14ac:dyDescent="0.3">
      <c r="A3027" t="s">
        <v>29</v>
      </c>
      <c r="B3027" s="1">
        <v>40368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</row>
    <row r="3028" spans="1:8" x14ac:dyDescent="0.3">
      <c r="A3028" t="s">
        <v>29</v>
      </c>
      <c r="B3028" s="1">
        <v>40375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</row>
    <row r="3029" spans="1:8" x14ac:dyDescent="0.3">
      <c r="A3029" t="s">
        <v>29</v>
      </c>
      <c r="B3029" s="1">
        <v>40382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</row>
    <row r="3030" spans="1:8" x14ac:dyDescent="0.3">
      <c r="A3030" t="s">
        <v>29</v>
      </c>
      <c r="B3030" s="1">
        <v>40389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</row>
    <row r="3031" spans="1:8" x14ac:dyDescent="0.3">
      <c r="A3031" t="s">
        <v>29</v>
      </c>
      <c r="B3031" s="1">
        <v>40396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</row>
    <row r="3032" spans="1:8" x14ac:dyDescent="0.3">
      <c r="A3032" t="s">
        <v>29</v>
      </c>
      <c r="B3032" s="1">
        <v>40403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</row>
    <row r="3033" spans="1:8" x14ac:dyDescent="0.3">
      <c r="A3033" t="s">
        <v>29</v>
      </c>
      <c r="B3033" s="1">
        <v>40410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</row>
    <row r="3034" spans="1:8" x14ac:dyDescent="0.3">
      <c r="A3034" t="s">
        <v>29</v>
      </c>
      <c r="B3034" s="1">
        <v>40417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</row>
    <row r="3035" spans="1:8" x14ac:dyDescent="0.3">
      <c r="A3035" t="s">
        <v>29</v>
      </c>
      <c r="B3035" s="1">
        <v>40424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</row>
    <row r="3036" spans="1:8" x14ac:dyDescent="0.3">
      <c r="A3036" t="s">
        <v>29</v>
      </c>
      <c r="B3036" s="1">
        <v>40431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</row>
    <row r="3037" spans="1:8" x14ac:dyDescent="0.3">
      <c r="A3037" t="s">
        <v>29</v>
      </c>
      <c r="B3037" s="1">
        <v>40438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</row>
    <row r="3038" spans="1:8" x14ac:dyDescent="0.3">
      <c r="A3038" t="s">
        <v>29</v>
      </c>
      <c r="B3038" s="1">
        <v>40445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</row>
    <row r="3039" spans="1:8" x14ac:dyDescent="0.3">
      <c r="A3039" t="s">
        <v>29</v>
      </c>
      <c r="B3039" s="1">
        <v>40452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</row>
    <row r="3040" spans="1:8" x14ac:dyDescent="0.3">
      <c r="A3040" t="s">
        <v>29</v>
      </c>
      <c r="B3040" s="1">
        <v>40459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</row>
    <row r="3041" spans="1:8" x14ac:dyDescent="0.3">
      <c r="A3041" t="s">
        <v>29</v>
      </c>
      <c r="B3041" s="1">
        <v>40466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</row>
    <row r="3042" spans="1:8" x14ac:dyDescent="0.3">
      <c r="A3042" t="s">
        <v>29</v>
      </c>
      <c r="B3042" s="1">
        <v>40473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</row>
    <row r="3043" spans="1:8" x14ac:dyDescent="0.3">
      <c r="A3043" t="s">
        <v>29</v>
      </c>
      <c r="B3043" s="1">
        <v>40480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</row>
    <row r="3044" spans="1:8" x14ac:dyDescent="0.3">
      <c r="A3044" t="s">
        <v>29</v>
      </c>
      <c r="B3044" s="1">
        <v>40487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</row>
    <row r="3045" spans="1:8" x14ac:dyDescent="0.3">
      <c r="A3045" t="s">
        <v>29</v>
      </c>
      <c r="B3045" s="1">
        <v>40494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</row>
    <row r="3046" spans="1:8" x14ac:dyDescent="0.3">
      <c r="A3046" t="s">
        <v>29</v>
      </c>
      <c r="B3046" s="1">
        <v>40501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</row>
    <row r="3047" spans="1:8" x14ac:dyDescent="0.3">
      <c r="A3047" t="s">
        <v>29</v>
      </c>
      <c r="B3047" s="1">
        <v>40508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</row>
    <row r="3048" spans="1:8" x14ac:dyDescent="0.3">
      <c r="A3048" t="s">
        <v>29</v>
      </c>
      <c r="B3048" s="1">
        <v>40515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</row>
    <row r="3049" spans="1:8" x14ac:dyDescent="0.3">
      <c r="A3049" t="s">
        <v>29</v>
      </c>
      <c r="B3049" s="1">
        <v>40522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</row>
    <row r="3050" spans="1:8" x14ac:dyDescent="0.3">
      <c r="A3050" t="s">
        <v>29</v>
      </c>
      <c r="B3050" s="1">
        <v>40529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</row>
    <row r="3051" spans="1:8" x14ac:dyDescent="0.3">
      <c r="A3051" t="s">
        <v>29</v>
      </c>
      <c r="B3051" s="1">
        <v>40536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</row>
    <row r="3052" spans="1:8" x14ac:dyDescent="0.3">
      <c r="A3052" t="s">
        <v>29</v>
      </c>
      <c r="B3052" s="1">
        <v>40543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</row>
    <row r="3053" spans="1:8" x14ac:dyDescent="0.3">
      <c r="A3053" t="s">
        <v>29</v>
      </c>
      <c r="B3053" s="1">
        <v>40550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</row>
    <row r="3054" spans="1:8" x14ac:dyDescent="0.3">
      <c r="A3054" t="s">
        <v>29</v>
      </c>
      <c r="B3054" s="1">
        <v>40557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</row>
    <row r="3055" spans="1:8" x14ac:dyDescent="0.3">
      <c r="A3055" t="s">
        <v>29</v>
      </c>
      <c r="B3055" s="1">
        <v>40564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</row>
    <row r="3056" spans="1:8" x14ac:dyDescent="0.3">
      <c r="A3056" t="s">
        <v>29</v>
      </c>
      <c r="B3056" s="1">
        <v>40571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</row>
    <row r="3057" spans="1:8" x14ac:dyDescent="0.3">
      <c r="A3057" t="s">
        <v>29</v>
      </c>
      <c r="B3057" s="1">
        <v>40578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</row>
    <row r="3058" spans="1:8" x14ac:dyDescent="0.3">
      <c r="A3058" t="s">
        <v>29</v>
      </c>
      <c r="B3058" s="1">
        <v>40585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</row>
    <row r="3059" spans="1:8" x14ac:dyDescent="0.3">
      <c r="A3059" t="s">
        <v>29</v>
      </c>
      <c r="B3059" s="1">
        <v>40592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</row>
    <row r="3060" spans="1:8" x14ac:dyDescent="0.3">
      <c r="A3060" t="s">
        <v>29</v>
      </c>
      <c r="B3060" s="1">
        <v>40599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</row>
    <row r="3061" spans="1:8" x14ac:dyDescent="0.3">
      <c r="A3061" t="s">
        <v>29</v>
      </c>
      <c r="B3061" s="1">
        <v>40606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</row>
    <row r="3062" spans="1:8" x14ac:dyDescent="0.3">
      <c r="A3062" t="s">
        <v>29</v>
      </c>
      <c r="B3062" s="1">
        <v>40613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</row>
    <row r="3063" spans="1:8" x14ac:dyDescent="0.3">
      <c r="A3063" t="s">
        <v>29</v>
      </c>
      <c r="B3063" s="1">
        <v>40620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</row>
    <row r="3064" spans="1:8" x14ac:dyDescent="0.3">
      <c r="A3064" t="s">
        <v>29</v>
      </c>
      <c r="B3064" s="1">
        <v>40627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</row>
    <row r="3065" spans="1:8" x14ac:dyDescent="0.3">
      <c r="A3065" t="s">
        <v>29</v>
      </c>
      <c r="B3065" s="1">
        <v>40634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</row>
    <row r="3066" spans="1:8" x14ac:dyDescent="0.3">
      <c r="A3066" t="s">
        <v>29</v>
      </c>
      <c r="B3066" s="1">
        <v>40641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</row>
    <row r="3067" spans="1:8" x14ac:dyDescent="0.3">
      <c r="A3067" t="s">
        <v>29</v>
      </c>
      <c r="B3067" s="1">
        <v>40648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</row>
    <row r="3068" spans="1:8" x14ac:dyDescent="0.3">
      <c r="A3068" t="s">
        <v>29</v>
      </c>
      <c r="B3068" s="1">
        <v>40655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</row>
    <row r="3069" spans="1:8" x14ac:dyDescent="0.3">
      <c r="A3069" t="s">
        <v>29</v>
      </c>
      <c r="B3069" s="1">
        <v>40662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</row>
    <row r="3070" spans="1:8" x14ac:dyDescent="0.3">
      <c r="A3070" t="s">
        <v>29</v>
      </c>
      <c r="B3070" s="1">
        <v>40669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</row>
    <row r="3071" spans="1:8" x14ac:dyDescent="0.3">
      <c r="A3071" t="s">
        <v>29</v>
      </c>
      <c r="B3071" s="1">
        <v>40676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</row>
    <row r="3072" spans="1:8" x14ac:dyDescent="0.3">
      <c r="A3072" t="s">
        <v>29</v>
      </c>
      <c r="B3072" s="1">
        <v>40683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</row>
    <row r="3073" spans="1:8" x14ac:dyDescent="0.3">
      <c r="A3073" t="s">
        <v>29</v>
      </c>
      <c r="B3073" s="1">
        <v>40690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</row>
    <row r="3074" spans="1:8" x14ac:dyDescent="0.3">
      <c r="A3074" t="s">
        <v>29</v>
      </c>
      <c r="B3074" s="1">
        <v>40697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</row>
    <row r="3075" spans="1:8" x14ac:dyDescent="0.3">
      <c r="A3075" t="s">
        <v>29</v>
      </c>
      <c r="B3075" s="1">
        <v>40704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</row>
    <row r="3076" spans="1:8" x14ac:dyDescent="0.3">
      <c r="A3076" t="s">
        <v>29</v>
      </c>
      <c r="B3076" s="1">
        <v>40711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</row>
    <row r="3077" spans="1:8" x14ac:dyDescent="0.3">
      <c r="A3077" t="s">
        <v>29</v>
      </c>
      <c r="B3077" s="1">
        <v>40718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</row>
    <row r="3078" spans="1:8" x14ac:dyDescent="0.3">
      <c r="A3078" t="s">
        <v>29</v>
      </c>
      <c r="B3078" s="1">
        <v>40725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</row>
    <row r="3079" spans="1:8" x14ac:dyDescent="0.3">
      <c r="A3079" t="s">
        <v>29</v>
      </c>
      <c r="B3079" s="1">
        <v>40732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</row>
    <row r="3080" spans="1:8" x14ac:dyDescent="0.3">
      <c r="A3080" t="s">
        <v>29</v>
      </c>
      <c r="B3080" s="1">
        <v>40739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</row>
    <row r="3081" spans="1:8" x14ac:dyDescent="0.3">
      <c r="A3081" t="s">
        <v>29</v>
      </c>
      <c r="B3081" s="1">
        <v>40746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</row>
    <row r="3082" spans="1:8" x14ac:dyDescent="0.3">
      <c r="A3082" t="s">
        <v>29</v>
      </c>
      <c r="B3082" s="1">
        <v>40753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</row>
    <row r="3083" spans="1:8" x14ac:dyDescent="0.3">
      <c r="A3083" t="s">
        <v>29</v>
      </c>
      <c r="B3083" s="1">
        <v>40760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</row>
    <row r="3084" spans="1:8" x14ac:dyDescent="0.3">
      <c r="A3084" t="s">
        <v>29</v>
      </c>
      <c r="B3084" s="1">
        <v>40767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</row>
    <row r="3085" spans="1:8" x14ac:dyDescent="0.3">
      <c r="A3085" t="s">
        <v>29</v>
      </c>
      <c r="B3085" s="1">
        <v>40774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</row>
    <row r="3086" spans="1:8" x14ac:dyDescent="0.3">
      <c r="A3086" t="s">
        <v>29</v>
      </c>
      <c r="B3086" s="1">
        <v>40781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</row>
    <row r="3087" spans="1:8" x14ac:dyDescent="0.3">
      <c r="A3087" t="s">
        <v>29</v>
      </c>
      <c r="B3087" s="1">
        <v>40788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</row>
    <row r="3088" spans="1:8" x14ac:dyDescent="0.3">
      <c r="A3088" t="s">
        <v>29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</row>
    <row r="3089" spans="1:8" x14ac:dyDescent="0.3">
      <c r="A3089" t="s">
        <v>29</v>
      </c>
      <c r="B3089" s="1">
        <v>40802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</row>
    <row r="3090" spans="1:8" x14ac:dyDescent="0.3">
      <c r="A3090" t="s">
        <v>29</v>
      </c>
      <c r="B3090" s="1">
        <v>40809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</row>
    <row r="3091" spans="1:8" x14ac:dyDescent="0.3">
      <c r="A3091" t="s">
        <v>29</v>
      </c>
      <c r="B3091" s="1">
        <v>40816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</row>
    <row r="3092" spans="1:8" x14ac:dyDescent="0.3">
      <c r="A3092" t="s">
        <v>29</v>
      </c>
      <c r="B3092" s="1">
        <v>40823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</row>
    <row r="3093" spans="1:8" x14ac:dyDescent="0.3">
      <c r="A3093" t="s">
        <v>29</v>
      </c>
      <c r="B3093" s="1">
        <v>40830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</row>
    <row r="3094" spans="1:8" x14ac:dyDescent="0.3">
      <c r="A3094" t="s">
        <v>29</v>
      </c>
      <c r="B3094" s="1">
        <v>40837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</row>
    <row r="3095" spans="1:8" x14ac:dyDescent="0.3">
      <c r="A3095" t="s">
        <v>29</v>
      </c>
      <c r="B3095" s="1">
        <v>40844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</row>
    <row r="3096" spans="1:8" x14ac:dyDescent="0.3">
      <c r="A3096" t="s">
        <v>29</v>
      </c>
      <c r="B3096" s="1">
        <v>40851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</row>
    <row r="3097" spans="1:8" x14ac:dyDescent="0.3">
      <c r="A3097" t="s">
        <v>29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</row>
    <row r="3098" spans="1:8" x14ac:dyDescent="0.3">
      <c r="A3098" t="s">
        <v>29</v>
      </c>
      <c r="B3098" s="1">
        <v>40865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</row>
    <row r="3099" spans="1:8" x14ac:dyDescent="0.3">
      <c r="A3099" t="s">
        <v>29</v>
      </c>
      <c r="B3099" s="1">
        <v>40872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</row>
    <row r="3100" spans="1:8" x14ac:dyDescent="0.3">
      <c r="A3100" t="s">
        <v>29</v>
      </c>
      <c r="B3100" s="1">
        <v>40879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</row>
    <row r="3101" spans="1:8" x14ac:dyDescent="0.3">
      <c r="A3101" t="s">
        <v>29</v>
      </c>
      <c r="B3101" s="1">
        <v>40886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</row>
    <row r="3102" spans="1:8" x14ac:dyDescent="0.3">
      <c r="A3102" t="s">
        <v>29</v>
      </c>
      <c r="B3102" s="1">
        <v>40893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</row>
    <row r="3103" spans="1:8" x14ac:dyDescent="0.3">
      <c r="A3103" t="s">
        <v>29</v>
      </c>
      <c r="B3103" s="1">
        <v>40900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</row>
    <row r="3104" spans="1:8" x14ac:dyDescent="0.3">
      <c r="A3104" t="s">
        <v>29</v>
      </c>
      <c r="B3104" s="1">
        <v>40907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</row>
    <row r="3105" spans="1:8" x14ac:dyDescent="0.3">
      <c r="A3105" t="s">
        <v>29</v>
      </c>
      <c r="B3105" s="1">
        <v>40914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</row>
    <row r="3106" spans="1:8" x14ac:dyDescent="0.3">
      <c r="A3106" t="s">
        <v>29</v>
      </c>
      <c r="B3106" s="1">
        <v>40921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</row>
    <row r="3107" spans="1:8" x14ac:dyDescent="0.3">
      <c r="A3107" t="s">
        <v>29</v>
      </c>
      <c r="B3107" s="1">
        <v>40928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</row>
    <row r="3108" spans="1:8" x14ac:dyDescent="0.3">
      <c r="A3108" t="s">
        <v>29</v>
      </c>
      <c r="B3108" s="1">
        <v>40935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</row>
    <row r="3109" spans="1:8" x14ac:dyDescent="0.3">
      <c r="A3109" t="s">
        <v>29</v>
      </c>
      <c r="B3109" s="1">
        <v>40942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</row>
    <row r="3110" spans="1:8" x14ac:dyDescent="0.3">
      <c r="A3110" t="s">
        <v>29</v>
      </c>
      <c r="B3110" s="1">
        <v>40949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</row>
    <row r="3111" spans="1:8" x14ac:dyDescent="0.3">
      <c r="A3111" t="s">
        <v>29</v>
      </c>
      <c r="B3111" s="1">
        <v>40956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</row>
    <row r="3112" spans="1:8" x14ac:dyDescent="0.3">
      <c r="A3112" t="s">
        <v>29</v>
      </c>
      <c r="B3112" s="1">
        <v>40963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</row>
    <row r="3113" spans="1:8" x14ac:dyDescent="0.3">
      <c r="A3113" t="s">
        <v>29</v>
      </c>
      <c r="B3113" s="1">
        <v>40970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</row>
    <row r="3114" spans="1:8" x14ac:dyDescent="0.3">
      <c r="A3114" t="s">
        <v>29</v>
      </c>
      <c r="B3114" s="1">
        <v>40977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</row>
    <row r="3115" spans="1:8" x14ac:dyDescent="0.3">
      <c r="A3115" t="s">
        <v>29</v>
      </c>
      <c r="B3115" s="1">
        <v>40984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</row>
    <row r="3116" spans="1:8" x14ac:dyDescent="0.3">
      <c r="A3116" t="s">
        <v>29</v>
      </c>
      <c r="B3116" s="1">
        <v>40991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</row>
    <row r="3117" spans="1:8" x14ac:dyDescent="0.3">
      <c r="A3117" t="s">
        <v>29</v>
      </c>
      <c r="B3117" s="1">
        <v>40998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</row>
    <row r="3118" spans="1:8" x14ac:dyDescent="0.3">
      <c r="A3118" t="s">
        <v>29</v>
      </c>
      <c r="B3118" s="1">
        <v>41005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</row>
    <row r="3119" spans="1:8" x14ac:dyDescent="0.3">
      <c r="A3119" t="s">
        <v>29</v>
      </c>
      <c r="B3119" s="1">
        <v>41012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</row>
    <row r="3120" spans="1:8" x14ac:dyDescent="0.3">
      <c r="A3120" t="s">
        <v>29</v>
      </c>
      <c r="B3120" s="1">
        <v>41019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</row>
    <row r="3121" spans="1:8" x14ac:dyDescent="0.3">
      <c r="A3121" t="s">
        <v>29</v>
      </c>
      <c r="B3121" s="1">
        <v>41026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</row>
    <row r="3122" spans="1:8" x14ac:dyDescent="0.3">
      <c r="A3122" t="s">
        <v>29</v>
      </c>
      <c r="B3122" s="1">
        <v>41033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</row>
    <row r="3123" spans="1:8" x14ac:dyDescent="0.3">
      <c r="A3123" t="s">
        <v>29</v>
      </c>
      <c r="B3123" s="1">
        <v>41040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</row>
    <row r="3124" spans="1:8" x14ac:dyDescent="0.3">
      <c r="A3124" t="s">
        <v>29</v>
      </c>
      <c r="B3124" s="1">
        <v>41047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</row>
    <row r="3125" spans="1:8" x14ac:dyDescent="0.3">
      <c r="A3125" t="s">
        <v>29</v>
      </c>
      <c r="B3125" s="1">
        <v>41054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</row>
    <row r="3126" spans="1:8" x14ac:dyDescent="0.3">
      <c r="A3126" t="s">
        <v>29</v>
      </c>
      <c r="B3126" s="1">
        <v>41061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</row>
    <row r="3127" spans="1:8" x14ac:dyDescent="0.3">
      <c r="A3127" t="s">
        <v>29</v>
      </c>
      <c r="B3127" s="1">
        <v>41068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</row>
    <row r="3128" spans="1:8" x14ac:dyDescent="0.3">
      <c r="A3128" t="s">
        <v>29</v>
      </c>
      <c r="B3128" s="1">
        <v>41075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</row>
    <row r="3129" spans="1:8" x14ac:dyDescent="0.3">
      <c r="A3129" t="s">
        <v>29</v>
      </c>
      <c r="B3129" s="1">
        <v>41082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</row>
    <row r="3130" spans="1:8" x14ac:dyDescent="0.3">
      <c r="A3130" t="s">
        <v>29</v>
      </c>
      <c r="B3130" s="1">
        <v>41089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</row>
    <row r="3131" spans="1:8" x14ac:dyDescent="0.3">
      <c r="A3131" t="s">
        <v>29</v>
      </c>
      <c r="B3131" s="1">
        <v>41096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</row>
    <row r="3132" spans="1:8" x14ac:dyDescent="0.3">
      <c r="A3132" t="s">
        <v>29</v>
      </c>
      <c r="B3132" s="1">
        <v>41103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</row>
    <row r="3133" spans="1:8" x14ac:dyDescent="0.3">
      <c r="A3133" t="s">
        <v>29</v>
      </c>
      <c r="B3133" s="1">
        <v>41110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</row>
    <row r="3134" spans="1:8" x14ac:dyDescent="0.3">
      <c r="A3134" t="s">
        <v>29</v>
      </c>
      <c r="B3134" s="1">
        <v>41117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</row>
    <row r="3135" spans="1:8" x14ac:dyDescent="0.3">
      <c r="A3135" t="s">
        <v>29</v>
      </c>
      <c r="B3135" s="1">
        <v>41124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</row>
    <row r="3136" spans="1:8" x14ac:dyDescent="0.3">
      <c r="A3136" t="s">
        <v>29</v>
      </c>
      <c r="B3136" s="1">
        <v>41131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</row>
    <row r="3137" spans="1:8" x14ac:dyDescent="0.3">
      <c r="A3137" t="s">
        <v>29</v>
      </c>
      <c r="B3137" s="1">
        <v>41138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</row>
    <row r="3138" spans="1:8" x14ac:dyDescent="0.3">
      <c r="A3138" t="s">
        <v>29</v>
      </c>
      <c r="B3138" s="1">
        <v>41145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</row>
    <row r="3139" spans="1:8" x14ac:dyDescent="0.3">
      <c r="A3139" t="s">
        <v>29</v>
      </c>
      <c r="B3139" s="1">
        <v>41152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</row>
    <row r="3140" spans="1:8" x14ac:dyDescent="0.3">
      <c r="A3140" t="s">
        <v>29</v>
      </c>
      <c r="B3140" s="1">
        <v>41159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</row>
    <row r="3141" spans="1:8" x14ac:dyDescent="0.3">
      <c r="A3141" t="s">
        <v>29</v>
      </c>
      <c r="B3141" s="1">
        <v>41166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</row>
    <row r="3142" spans="1:8" x14ac:dyDescent="0.3">
      <c r="A3142" t="s">
        <v>29</v>
      </c>
      <c r="B3142" s="1">
        <v>41173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</row>
    <row r="3143" spans="1:8" x14ac:dyDescent="0.3">
      <c r="A3143" t="s">
        <v>29</v>
      </c>
      <c r="B3143" s="1">
        <v>41180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</row>
    <row r="3144" spans="1:8" x14ac:dyDescent="0.3">
      <c r="A3144" t="s">
        <v>29</v>
      </c>
      <c r="B3144" s="1">
        <v>41187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</row>
    <row r="3145" spans="1:8" x14ac:dyDescent="0.3">
      <c r="A3145" t="s">
        <v>29</v>
      </c>
      <c r="B3145" s="1">
        <v>41194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</row>
    <row r="3146" spans="1:8" x14ac:dyDescent="0.3">
      <c r="A3146" t="s">
        <v>29</v>
      </c>
      <c r="B3146" s="1">
        <v>41201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</row>
    <row r="3147" spans="1:8" x14ac:dyDescent="0.3">
      <c r="A3147" t="s">
        <v>29</v>
      </c>
      <c r="B3147" s="1">
        <v>41208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</row>
    <row r="3148" spans="1:8" x14ac:dyDescent="0.3">
      <c r="A3148" t="s">
        <v>30</v>
      </c>
      <c r="B3148" s="1">
        <v>40214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</row>
    <row r="3149" spans="1:8" x14ac:dyDescent="0.3">
      <c r="A3149" t="s">
        <v>30</v>
      </c>
      <c r="B3149" s="1">
        <v>40221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</row>
    <row r="3150" spans="1:8" x14ac:dyDescent="0.3">
      <c r="A3150" t="s">
        <v>30</v>
      </c>
      <c r="B3150" s="1">
        <v>40228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</row>
    <row r="3151" spans="1:8" x14ac:dyDescent="0.3">
      <c r="A3151" t="s">
        <v>30</v>
      </c>
      <c r="B3151" s="1">
        <v>40235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</row>
    <row r="3152" spans="1:8" x14ac:dyDescent="0.3">
      <c r="A3152" t="s">
        <v>30</v>
      </c>
      <c r="B3152" s="1">
        <v>40242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</row>
    <row r="3153" spans="1:8" x14ac:dyDescent="0.3">
      <c r="A3153" t="s">
        <v>30</v>
      </c>
      <c r="B3153" s="1">
        <v>40249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</row>
    <row r="3154" spans="1:8" x14ac:dyDescent="0.3">
      <c r="A3154" t="s">
        <v>30</v>
      </c>
      <c r="B3154" s="1">
        <v>40256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</row>
    <row r="3155" spans="1:8" x14ac:dyDescent="0.3">
      <c r="A3155" t="s">
        <v>30</v>
      </c>
      <c r="B3155" s="1">
        <v>40263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</row>
    <row r="3156" spans="1:8" x14ac:dyDescent="0.3">
      <c r="A3156" t="s">
        <v>30</v>
      </c>
      <c r="B3156" s="1">
        <v>40270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</row>
    <row r="3157" spans="1:8" x14ac:dyDescent="0.3">
      <c r="A3157" t="s">
        <v>30</v>
      </c>
      <c r="B3157" s="1">
        <v>40277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</row>
    <row r="3158" spans="1:8" x14ac:dyDescent="0.3">
      <c r="A3158" t="s">
        <v>30</v>
      </c>
      <c r="B3158" s="1">
        <v>40284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</row>
    <row r="3159" spans="1:8" x14ac:dyDescent="0.3">
      <c r="A3159" t="s">
        <v>30</v>
      </c>
      <c r="B3159" s="1">
        <v>40291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</row>
    <row r="3160" spans="1:8" x14ac:dyDescent="0.3">
      <c r="A3160" t="s">
        <v>30</v>
      </c>
      <c r="B3160" s="1">
        <v>40298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</row>
    <row r="3161" spans="1:8" x14ac:dyDescent="0.3">
      <c r="A3161" t="s">
        <v>30</v>
      </c>
      <c r="B3161" s="1">
        <v>40305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</row>
    <row r="3162" spans="1:8" x14ac:dyDescent="0.3">
      <c r="A3162" t="s">
        <v>30</v>
      </c>
      <c r="B3162" s="1">
        <v>40312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</row>
    <row r="3163" spans="1:8" x14ac:dyDescent="0.3">
      <c r="A3163" t="s">
        <v>30</v>
      </c>
      <c r="B3163" s="1">
        <v>40319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</row>
    <row r="3164" spans="1:8" x14ac:dyDescent="0.3">
      <c r="A3164" t="s">
        <v>30</v>
      </c>
      <c r="B3164" s="1">
        <v>40326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</row>
    <row r="3165" spans="1:8" x14ac:dyDescent="0.3">
      <c r="A3165" t="s">
        <v>30</v>
      </c>
      <c r="B3165" s="1">
        <v>40333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</row>
    <row r="3166" spans="1:8" x14ac:dyDescent="0.3">
      <c r="A3166" t="s">
        <v>30</v>
      </c>
      <c r="B3166" s="1">
        <v>40340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</row>
    <row r="3167" spans="1:8" x14ac:dyDescent="0.3">
      <c r="A3167" t="s">
        <v>30</v>
      </c>
      <c r="B3167" s="1">
        <v>40347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</row>
    <row r="3168" spans="1:8" x14ac:dyDescent="0.3">
      <c r="A3168" t="s">
        <v>30</v>
      </c>
      <c r="B3168" s="1">
        <v>40354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</row>
    <row r="3169" spans="1:8" x14ac:dyDescent="0.3">
      <c r="A3169" t="s">
        <v>30</v>
      </c>
      <c r="B3169" s="1">
        <v>40361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</row>
    <row r="3170" spans="1:8" x14ac:dyDescent="0.3">
      <c r="A3170" t="s">
        <v>30</v>
      </c>
      <c r="B3170" s="1">
        <v>40368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</row>
    <row r="3171" spans="1:8" x14ac:dyDescent="0.3">
      <c r="A3171" t="s">
        <v>30</v>
      </c>
      <c r="B3171" s="1">
        <v>40375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</row>
    <row r="3172" spans="1:8" x14ac:dyDescent="0.3">
      <c r="A3172" t="s">
        <v>30</v>
      </c>
      <c r="B3172" s="1">
        <v>40382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</row>
    <row r="3173" spans="1:8" x14ac:dyDescent="0.3">
      <c r="A3173" t="s">
        <v>30</v>
      </c>
      <c r="B3173" s="1">
        <v>40389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</row>
    <row r="3174" spans="1:8" x14ac:dyDescent="0.3">
      <c r="A3174" t="s">
        <v>30</v>
      </c>
      <c r="B3174" s="1">
        <v>40396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</row>
    <row r="3175" spans="1:8" x14ac:dyDescent="0.3">
      <c r="A3175" t="s">
        <v>30</v>
      </c>
      <c r="B3175" s="1">
        <v>40403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</row>
    <row r="3176" spans="1:8" x14ac:dyDescent="0.3">
      <c r="A3176" t="s">
        <v>30</v>
      </c>
      <c r="B3176" s="1">
        <v>40410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</row>
    <row r="3177" spans="1:8" x14ac:dyDescent="0.3">
      <c r="A3177" t="s">
        <v>30</v>
      </c>
      <c r="B3177" s="1">
        <v>40417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</row>
    <row r="3178" spans="1:8" x14ac:dyDescent="0.3">
      <c r="A3178" t="s">
        <v>30</v>
      </c>
      <c r="B3178" s="1">
        <v>40424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</row>
    <row r="3179" spans="1:8" x14ac:dyDescent="0.3">
      <c r="A3179" t="s">
        <v>30</v>
      </c>
      <c r="B3179" s="1">
        <v>40431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</row>
    <row r="3180" spans="1:8" x14ac:dyDescent="0.3">
      <c r="A3180" t="s">
        <v>30</v>
      </c>
      <c r="B3180" s="1">
        <v>40438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</row>
    <row r="3181" spans="1:8" x14ac:dyDescent="0.3">
      <c r="A3181" t="s">
        <v>30</v>
      </c>
      <c r="B3181" s="1">
        <v>40445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</row>
    <row r="3182" spans="1:8" x14ac:dyDescent="0.3">
      <c r="A3182" t="s">
        <v>30</v>
      </c>
      <c r="B3182" s="1">
        <v>40452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</row>
    <row r="3183" spans="1:8" x14ac:dyDescent="0.3">
      <c r="A3183" t="s">
        <v>30</v>
      </c>
      <c r="B3183" s="1">
        <v>40459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</row>
    <row r="3184" spans="1:8" x14ac:dyDescent="0.3">
      <c r="A3184" t="s">
        <v>30</v>
      </c>
      <c r="B3184" s="1">
        <v>40466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</row>
    <row r="3185" spans="1:8" x14ac:dyDescent="0.3">
      <c r="A3185" t="s">
        <v>30</v>
      </c>
      <c r="B3185" s="1">
        <v>40473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</row>
    <row r="3186" spans="1:8" x14ac:dyDescent="0.3">
      <c r="A3186" t="s">
        <v>30</v>
      </c>
      <c r="B3186" s="1">
        <v>40480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</row>
    <row r="3187" spans="1:8" x14ac:dyDescent="0.3">
      <c r="A3187" t="s">
        <v>30</v>
      </c>
      <c r="B3187" s="1">
        <v>40487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</row>
    <row r="3188" spans="1:8" x14ac:dyDescent="0.3">
      <c r="A3188" t="s">
        <v>30</v>
      </c>
      <c r="B3188" s="1">
        <v>40494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</row>
    <row r="3189" spans="1:8" x14ac:dyDescent="0.3">
      <c r="A3189" t="s">
        <v>30</v>
      </c>
      <c r="B3189" s="1">
        <v>40501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</row>
    <row r="3190" spans="1:8" x14ac:dyDescent="0.3">
      <c r="A3190" t="s">
        <v>30</v>
      </c>
      <c r="B3190" s="1">
        <v>40508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</row>
    <row r="3191" spans="1:8" x14ac:dyDescent="0.3">
      <c r="A3191" t="s">
        <v>30</v>
      </c>
      <c r="B3191" s="1">
        <v>40515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</row>
    <row r="3192" spans="1:8" x14ac:dyDescent="0.3">
      <c r="A3192" t="s">
        <v>30</v>
      </c>
      <c r="B3192" s="1">
        <v>40522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</row>
    <row r="3193" spans="1:8" x14ac:dyDescent="0.3">
      <c r="A3193" t="s">
        <v>30</v>
      </c>
      <c r="B3193" s="1">
        <v>40529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</row>
    <row r="3194" spans="1:8" x14ac:dyDescent="0.3">
      <c r="A3194" t="s">
        <v>30</v>
      </c>
      <c r="B3194" s="1">
        <v>40536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</row>
    <row r="3195" spans="1:8" x14ac:dyDescent="0.3">
      <c r="A3195" t="s">
        <v>30</v>
      </c>
      <c r="B3195" s="1">
        <v>40543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</row>
    <row r="3196" spans="1:8" x14ac:dyDescent="0.3">
      <c r="A3196" t="s">
        <v>30</v>
      </c>
      <c r="B3196" s="1">
        <v>40550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</row>
    <row r="3197" spans="1:8" x14ac:dyDescent="0.3">
      <c r="A3197" t="s">
        <v>30</v>
      </c>
      <c r="B3197" s="1">
        <v>40557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</row>
    <row r="3198" spans="1:8" x14ac:dyDescent="0.3">
      <c r="A3198" t="s">
        <v>30</v>
      </c>
      <c r="B3198" s="1">
        <v>40564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</row>
    <row r="3199" spans="1:8" x14ac:dyDescent="0.3">
      <c r="A3199" t="s">
        <v>30</v>
      </c>
      <c r="B3199" s="1">
        <v>40571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</row>
    <row r="3200" spans="1:8" x14ac:dyDescent="0.3">
      <c r="A3200" t="s">
        <v>30</v>
      </c>
      <c r="B3200" s="1">
        <v>40578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</row>
    <row r="3201" spans="1:8" x14ac:dyDescent="0.3">
      <c r="A3201" t="s">
        <v>30</v>
      </c>
      <c r="B3201" s="1">
        <v>40585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</row>
    <row r="3202" spans="1:8" x14ac:dyDescent="0.3">
      <c r="A3202" t="s">
        <v>30</v>
      </c>
      <c r="B3202" s="1">
        <v>40592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</row>
    <row r="3203" spans="1:8" x14ac:dyDescent="0.3">
      <c r="A3203" t="s">
        <v>30</v>
      </c>
      <c r="B3203" s="1">
        <v>40599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</row>
    <row r="3204" spans="1:8" x14ac:dyDescent="0.3">
      <c r="A3204" t="s">
        <v>30</v>
      </c>
      <c r="B3204" s="1">
        <v>40606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</row>
    <row r="3205" spans="1:8" x14ac:dyDescent="0.3">
      <c r="A3205" t="s">
        <v>30</v>
      </c>
      <c r="B3205" s="1">
        <v>40613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</row>
    <row r="3206" spans="1:8" x14ac:dyDescent="0.3">
      <c r="A3206" t="s">
        <v>30</v>
      </c>
      <c r="B3206" s="1">
        <v>40620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</row>
    <row r="3207" spans="1:8" x14ac:dyDescent="0.3">
      <c r="A3207" t="s">
        <v>30</v>
      </c>
      <c r="B3207" s="1">
        <v>40627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</row>
    <row r="3208" spans="1:8" x14ac:dyDescent="0.3">
      <c r="A3208" t="s">
        <v>30</v>
      </c>
      <c r="B3208" s="1">
        <v>40634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</row>
    <row r="3209" spans="1:8" x14ac:dyDescent="0.3">
      <c r="A3209" t="s">
        <v>30</v>
      </c>
      <c r="B3209" s="1">
        <v>40641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</row>
    <row r="3210" spans="1:8" x14ac:dyDescent="0.3">
      <c r="A3210" t="s">
        <v>30</v>
      </c>
      <c r="B3210" s="1">
        <v>40648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</row>
    <row r="3211" spans="1:8" x14ac:dyDescent="0.3">
      <c r="A3211" t="s">
        <v>30</v>
      </c>
      <c r="B3211" s="1">
        <v>40655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</row>
    <row r="3212" spans="1:8" x14ac:dyDescent="0.3">
      <c r="A3212" t="s">
        <v>30</v>
      </c>
      <c r="B3212" s="1">
        <v>40662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</row>
    <row r="3213" spans="1:8" x14ac:dyDescent="0.3">
      <c r="A3213" t="s">
        <v>30</v>
      </c>
      <c r="B3213" s="1">
        <v>40669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</row>
    <row r="3214" spans="1:8" x14ac:dyDescent="0.3">
      <c r="A3214" t="s">
        <v>30</v>
      </c>
      <c r="B3214" s="1">
        <v>40676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</row>
    <row r="3215" spans="1:8" x14ac:dyDescent="0.3">
      <c r="A3215" t="s">
        <v>30</v>
      </c>
      <c r="B3215" s="1">
        <v>40683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</row>
    <row r="3216" spans="1:8" x14ac:dyDescent="0.3">
      <c r="A3216" t="s">
        <v>30</v>
      </c>
      <c r="B3216" s="1">
        <v>40690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</row>
    <row r="3217" spans="1:8" x14ac:dyDescent="0.3">
      <c r="A3217" t="s">
        <v>30</v>
      </c>
      <c r="B3217" s="1">
        <v>40697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</row>
    <row r="3218" spans="1:8" x14ac:dyDescent="0.3">
      <c r="A3218" t="s">
        <v>30</v>
      </c>
      <c r="B3218" s="1">
        <v>40704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</row>
    <row r="3219" spans="1:8" x14ac:dyDescent="0.3">
      <c r="A3219" t="s">
        <v>30</v>
      </c>
      <c r="B3219" s="1">
        <v>40711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</row>
    <row r="3220" spans="1:8" x14ac:dyDescent="0.3">
      <c r="A3220" t="s">
        <v>30</v>
      </c>
      <c r="B3220" s="1">
        <v>40718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</row>
    <row r="3221" spans="1:8" x14ac:dyDescent="0.3">
      <c r="A3221" t="s">
        <v>30</v>
      </c>
      <c r="B3221" s="1">
        <v>40725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</row>
    <row r="3222" spans="1:8" x14ac:dyDescent="0.3">
      <c r="A3222" t="s">
        <v>30</v>
      </c>
      <c r="B3222" s="1">
        <v>40732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</row>
    <row r="3223" spans="1:8" x14ac:dyDescent="0.3">
      <c r="A3223" t="s">
        <v>30</v>
      </c>
      <c r="B3223" s="1">
        <v>40739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</row>
    <row r="3224" spans="1:8" x14ac:dyDescent="0.3">
      <c r="A3224" t="s">
        <v>30</v>
      </c>
      <c r="B3224" s="1">
        <v>40746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</row>
    <row r="3225" spans="1:8" x14ac:dyDescent="0.3">
      <c r="A3225" t="s">
        <v>30</v>
      </c>
      <c r="B3225" s="1">
        <v>40753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</row>
    <row r="3226" spans="1:8" x14ac:dyDescent="0.3">
      <c r="A3226" t="s">
        <v>30</v>
      </c>
      <c r="B3226" s="1">
        <v>40760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</row>
    <row r="3227" spans="1:8" x14ac:dyDescent="0.3">
      <c r="A3227" t="s">
        <v>30</v>
      </c>
      <c r="B3227" s="1">
        <v>40767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</row>
    <row r="3228" spans="1:8" x14ac:dyDescent="0.3">
      <c r="A3228" t="s">
        <v>30</v>
      </c>
      <c r="B3228" s="1">
        <v>40774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</row>
    <row r="3229" spans="1:8" x14ac:dyDescent="0.3">
      <c r="A3229" t="s">
        <v>30</v>
      </c>
      <c r="B3229" s="1">
        <v>40781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</row>
    <row r="3230" spans="1:8" x14ac:dyDescent="0.3">
      <c r="A3230" t="s">
        <v>30</v>
      </c>
      <c r="B3230" s="1">
        <v>40788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</row>
    <row r="3231" spans="1:8" x14ac:dyDescent="0.3">
      <c r="A3231" t="s">
        <v>30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</row>
    <row r="3232" spans="1:8" x14ac:dyDescent="0.3">
      <c r="A3232" t="s">
        <v>30</v>
      </c>
      <c r="B3232" s="1">
        <v>40802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</row>
    <row r="3233" spans="1:8" x14ac:dyDescent="0.3">
      <c r="A3233" t="s">
        <v>30</v>
      </c>
      <c r="B3233" s="1">
        <v>40809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</row>
    <row r="3234" spans="1:8" x14ac:dyDescent="0.3">
      <c r="A3234" t="s">
        <v>30</v>
      </c>
      <c r="B3234" s="1">
        <v>40816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</row>
    <row r="3235" spans="1:8" x14ac:dyDescent="0.3">
      <c r="A3235" t="s">
        <v>30</v>
      </c>
      <c r="B3235" s="1">
        <v>40823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</row>
    <row r="3236" spans="1:8" x14ac:dyDescent="0.3">
      <c r="A3236" t="s">
        <v>30</v>
      </c>
      <c r="B3236" s="1">
        <v>40830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</row>
    <row r="3237" spans="1:8" x14ac:dyDescent="0.3">
      <c r="A3237" t="s">
        <v>30</v>
      </c>
      <c r="B3237" s="1">
        <v>40837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</row>
    <row r="3238" spans="1:8" x14ac:dyDescent="0.3">
      <c r="A3238" t="s">
        <v>30</v>
      </c>
      <c r="B3238" s="1">
        <v>40844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</row>
    <row r="3239" spans="1:8" x14ac:dyDescent="0.3">
      <c r="A3239" t="s">
        <v>30</v>
      </c>
      <c r="B3239" s="1">
        <v>40851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</row>
    <row r="3240" spans="1:8" x14ac:dyDescent="0.3">
      <c r="A3240" t="s">
        <v>30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</row>
    <row r="3241" spans="1:8" x14ac:dyDescent="0.3">
      <c r="A3241" t="s">
        <v>30</v>
      </c>
      <c r="B3241" s="1">
        <v>40865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</row>
    <row r="3242" spans="1:8" x14ac:dyDescent="0.3">
      <c r="A3242" t="s">
        <v>30</v>
      </c>
      <c r="B3242" s="1">
        <v>40872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</row>
    <row r="3243" spans="1:8" x14ac:dyDescent="0.3">
      <c r="A3243" t="s">
        <v>30</v>
      </c>
      <c r="B3243" s="1">
        <v>40879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</row>
    <row r="3244" spans="1:8" x14ac:dyDescent="0.3">
      <c r="A3244" t="s">
        <v>30</v>
      </c>
      <c r="B3244" s="1">
        <v>40886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</row>
    <row r="3245" spans="1:8" x14ac:dyDescent="0.3">
      <c r="A3245" t="s">
        <v>30</v>
      </c>
      <c r="B3245" s="1">
        <v>40893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</row>
    <row r="3246" spans="1:8" x14ac:dyDescent="0.3">
      <c r="A3246" t="s">
        <v>30</v>
      </c>
      <c r="B3246" s="1">
        <v>40900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</row>
    <row r="3247" spans="1:8" x14ac:dyDescent="0.3">
      <c r="A3247" t="s">
        <v>30</v>
      </c>
      <c r="B3247" s="1">
        <v>40907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</row>
    <row r="3248" spans="1:8" x14ac:dyDescent="0.3">
      <c r="A3248" t="s">
        <v>30</v>
      </c>
      <c r="B3248" s="1">
        <v>40914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</row>
    <row r="3249" spans="1:8" x14ac:dyDescent="0.3">
      <c r="A3249" t="s">
        <v>30</v>
      </c>
      <c r="B3249" s="1">
        <v>40921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</row>
    <row r="3250" spans="1:8" x14ac:dyDescent="0.3">
      <c r="A3250" t="s">
        <v>30</v>
      </c>
      <c r="B3250" s="1">
        <v>40928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</row>
    <row r="3251" spans="1:8" x14ac:dyDescent="0.3">
      <c r="A3251" t="s">
        <v>30</v>
      </c>
      <c r="B3251" s="1">
        <v>40935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</row>
    <row r="3252" spans="1:8" x14ac:dyDescent="0.3">
      <c r="A3252" t="s">
        <v>30</v>
      </c>
      <c r="B3252" s="1">
        <v>40942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</row>
    <row r="3253" spans="1:8" x14ac:dyDescent="0.3">
      <c r="A3253" t="s">
        <v>30</v>
      </c>
      <c r="B3253" s="1">
        <v>40949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</row>
    <row r="3254" spans="1:8" x14ac:dyDescent="0.3">
      <c r="A3254" t="s">
        <v>30</v>
      </c>
      <c r="B3254" s="1">
        <v>40956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</row>
    <row r="3255" spans="1:8" x14ac:dyDescent="0.3">
      <c r="A3255" t="s">
        <v>30</v>
      </c>
      <c r="B3255" s="1">
        <v>40963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</row>
    <row r="3256" spans="1:8" x14ac:dyDescent="0.3">
      <c r="A3256" t="s">
        <v>30</v>
      </c>
      <c r="B3256" s="1">
        <v>40970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</row>
    <row r="3257" spans="1:8" x14ac:dyDescent="0.3">
      <c r="A3257" t="s">
        <v>30</v>
      </c>
      <c r="B3257" s="1">
        <v>40977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</row>
    <row r="3258" spans="1:8" x14ac:dyDescent="0.3">
      <c r="A3258" t="s">
        <v>30</v>
      </c>
      <c r="B3258" s="1">
        <v>40984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</row>
    <row r="3259" spans="1:8" x14ac:dyDescent="0.3">
      <c r="A3259" t="s">
        <v>30</v>
      </c>
      <c r="B3259" s="1">
        <v>40991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</row>
    <row r="3260" spans="1:8" x14ac:dyDescent="0.3">
      <c r="A3260" t="s">
        <v>30</v>
      </c>
      <c r="B3260" s="1">
        <v>40998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</row>
    <row r="3261" spans="1:8" x14ac:dyDescent="0.3">
      <c r="A3261" t="s">
        <v>30</v>
      </c>
      <c r="B3261" s="1">
        <v>41005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</row>
    <row r="3262" spans="1:8" x14ac:dyDescent="0.3">
      <c r="A3262" t="s">
        <v>30</v>
      </c>
      <c r="B3262" s="1">
        <v>41012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</row>
    <row r="3263" spans="1:8" x14ac:dyDescent="0.3">
      <c r="A3263" t="s">
        <v>30</v>
      </c>
      <c r="B3263" s="1">
        <v>41019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</row>
    <row r="3264" spans="1:8" x14ac:dyDescent="0.3">
      <c r="A3264" t="s">
        <v>30</v>
      </c>
      <c r="B3264" s="1">
        <v>41026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</row>
    <row r="3265" spans="1:8" x14ac:dyDescent="0.3">
      <c r="A3265" t="s">
        <v>30</v>
      </c>
      <c r="B3265" s="1">
        <v>41033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</row>
    <row r="3266" spans="1:8" x14ac:dyDescent="0.3">
      <c r="A3266" t="s">
        <v>30</v>
      </c>
      <c r="B3266" s="1">
        <v>41040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</row>
    <row r="3267" spans="1:8" x14ac:dyDescent="0.3">
      <c r="A3267" t="s">
        <v>30</v>
      </c>
      <c r="B3267" s="1">
        <v>41047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 x14ac:dyDescent="0.3">
      <c r="A3268" t="s">
        <v>30</v>
      </c>
      <c r="B3268" s="1">
        <v>41054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</row>
    <row r="3269" spans="1:8" x14ac:dyDescent="0.3">
      <c r="A3269" t="s">
        <v>30</v>
      </c>
      <c r="B3269" s="1">
        <v>41061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</row>
    <row r="3270" spans="1:8" x14ac:dyDescent="0.3">
      <c r="A3270" t="s">
        <v>30</v>
      </c>
      <c r="B3270" s="1">
        <v>41068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</row>
    <row r="3271" spans="1:8" x14ac:dyDescent="0.3">
      <c r="A3271" t="s">
        <v>30</v>
      </c>
      <c r="B3271" s="1">
        <v>41075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</row>
    <row r="3272" spans="1:8" x14ac:dyDescent="0.3">
      <c r="A3272" t="s">
        <v>30</v>
      </c>
      <c r="B3272" s="1">
        <v>41082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</row>
    <row r="3273" spans="1:8" x14ac:dyDescent="0.3">
      <c r="A3273" t="s">
        <v>30</v>
      </c>
      <c r="B3273" s="1">
        <v>41089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 x14ac:dyDescent="0.3">
      <c r="A3274" t="s">
        <v>30</v>
      </c>
      <c r="B3274" s="1">
        <v>41096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</row>
    <row r="3275" spans="1:8" x14ac:dyDescent="0.3">
      <c r="A3275" t="s">
        <v>30</v>
      </c>
      <c r="B3275" s="1">
        <v>41103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</row>
    <row r="3276" spans="1:8" x14ac:dyDescent="0.3">
      <c r="A3276" t="s">
        <v>30</v>
      </c>
      <c r="B3276" s="1">
        <v>41110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</row>
    <row r="3277" spans="1:8" x14ac:dyDescent="0.3">
      <c r="A3277" t="s">
        <v>30</v>
      </c>
      <c r="B3277" s="1">
        <v>41117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</row>
    <row r="3278" spans="1:8" x14ac:dyDescent="0.3">
      <c r="A3278" t="s">
        <v>30</v>
      </c>
      <c r="B3278" s="1">
        <v>41124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</row>
    <row r="3279" spans="1:8" x14ac:dyDescent="0.3">
      <c r="A3279" t="s">
        <v>30</v>
      </c>
      <c r="B3279" s="1">
        <v>41131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</row>
    <row r="3280" spans="1:8" x14ac:dyDescent="0.3">
      <c r="A3280" t="s">
        <v>30</v>
      </c>
      <c r="B3280" s="1">
        <v>41138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</row>
    <row r="3281" spans="1:8" x14ac:dyDescent="0.3">
      <c r="A3281" t="s">
        <v>30</v>
      </c>
      <c r="B3281" s="1">
        <v>41145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</row>
    <row r="3282" spans="1:8" x14ac:dyDescent="0.3">
      <c r="A3282" t="s">
        <v>30</v>
      </c>
      <c r="B3282" s="1">
        <v>41152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</row>
    <row r="3283" spans="1:8" x14ac:dyDescent="0.3">
      <c r="A3283" t="s">
        <v>30</v>
      </c>
      <c r="B3283" s="1">
        <v>41159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</row>
    <row r="3284" spans="1:8" x14ac:dyDescent="0.3">
      <c r="A3284" t="s">
        <v>30</v>
      </c>
      <c r="B3284" s="1">
        <v>41166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</row>
    <row r="3285" spans="1:8" x14ac:dyDescent="0.3">
      <c r="A3285" t="s">
        <v>30</v>
      </c>
      <c r="B3285" s="1">
        <v>41173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</row>
    <row r="3286" spans="1:8" x14ac:dyDescent="0.3">
      <c r="A3286" t="s">
        <v>30</v>
      </c>
      <c r="B3286" s="1">
        <v>41180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</row>
    <row r="3287" spans="1:8" x14ac:dyDescent="0.3">
      <c r="A3287" t="s">
        <v>30</v>
      </c>
      <c r="B3287" s="1">
        <v>41187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</row>
    <row r="3288" spans="1:8" x14ac:dyDescent="0.3">
      <c r="A3288" t="s">
        <v>30</v>
      </c>
      <c r="B3288" s="1">
        <v>41194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</row>
    <row r="3289" spans="1:8" x14ac:dyDescent="0.3">
      <c r="A3289" t="s">
        <v>30</v>
      </c>
      <c r="B3289" s="1">
        <v>41201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</row>
    <row r="3290" spans="1:8" x14ac:dyDescent="0.3">
      <c r="A3290" t="s">
        <v>30</v>
      </c>
      <c r="B3290" s="1">
        <v>41208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</row>
    <row r="3291" spans="1:8" x14ac:dyDescent="0.3">
      <c r="A3291" t="s">
        <v>31</v>
      </c>
      <c r="B3291" s="1">
        <v>40214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</row>
    <row r="3292" spans="1:8" x14ac:dyDescent="0.3">
      <c r="A3292" t="s">
        <v>31</v>
      </c>
      <c r="B3292" s="1">
        <v>40221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</row>
    <row r="3293" spans="1:8" x14ac:dyDescent="0.3">
      <c r="A3293" t="s">
        <v>31</v>
      </c>
      <c r="B3293" s="1">
        <v>40228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</row>
    <row r="3294" spans="1:8" x14ac:dyDescent="0.3">
      <c r="A3294" t="s">
        <v>31</v>
      </c>
      <c r="B3294" s="1">
        <v>40235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</row>
    <row r="3295" spans="1:8" x14ac:dyDescent="0.3">
      <c r="A3295" t="s">
        <v>31</v>
      </c>
      <c r="B3295" s="1">
        <v>40242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</row>
    <row r="3296" spans="1:8" x14ac:dyDescent="0.3">
      <c r="A3296" t="s">
        <v>31</v>
      </c>
      <c r="B3296" s="1">
        <v>40249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</row>
    <row r="3297" spans="1:8" x14ac:dyDescent="0.3">
      <c r="A3297" t="s">
        <v>31</v>
      </c>
      <c r="B3297" s="1">
        <v>40256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</row>
    <row r="3298" spans="1:8" x14ac:dyDescent="0.3">
      <c r="A3298" t="s">
        <v>31</v>
      </c>
      <c r="B3298" s="1">
        <v>40263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</row>
    <row r="3299" spans="1:8" x14ac:dyDescent="0.3">
      <c r="A3299" t="s">
        <v>31</v>
      </c>
      <c r="B3299" s="1">
        <v>40270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</row>
    <row r="3300" spans="1:8" x14ac:dyDescent="0.3">
      <c r="A3300" t="s">
        <v>31</v>
      </c>
      <c r="B3300" s="1">
        <v>40277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</row>
    <row r="3301" spans="1:8" x14ac:dyDescent="0.3">
      <c r="A3301" t="s">
        <v>31</v>
      </c>
      <c r="B3301" s="1">
        <v>40284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</row>
    <row r="3302" spans="1:8" x14ac:dyDescent="0.3">
      <c r="A3302" t="s">
        <v>31</v>
      </c>
      <c r="B3302" s="1">
        <v>40291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</row>
    <row r="3303" spans="1:8" x14ac:dyDescent="0.3">
      <c r="A3303" t="s">
        <v>31</v>
      </c>
      <c r="B3303" s="1">
        <v>40298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</row>
    <row r="3304" spans="1:8" x14ac:dyDescent="0.3">
      <c r="A3304" t="s">
        <v>31</v>
      </c>
      <c r="B3304" s="1">
        <v>40305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</row>
    <row r="3305" spans="1:8" x14ac:dyDescent="0.3">
      <c r="A3305" t="s">
        <v>31</v>
      </c>
      <c r="B3305" s="1">
        <v>40312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</row>
    <row r="3306" spans="1:8" x14ac:dyDescent="0.3">
      <c r="A3306" t="s">
        <v>31</v>
      </c>
      <c r="B3306" s="1">
        <v>40319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</row>
    <row r="3307" spans="1:8" x14ac:dyDescent="0.3">
      <c r="A3307" t="s">
        <v>31</v>
      </c>
      <c r="B3307" s="1">
        <v>40326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</row>
    <row r="3308" spans="1:8" x14ac:dyDescent="0.3">
      <c r="A3308" t="s">
        <v>31</v>
      </c>
      <c r="B3308" s="1">
        <v>40333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</row>
    <row r="3309" spans="1:8" x14ac:dyDescent="0.3">
      <c r="A3309" t="s">
        <v>31</v>
      </c>
      <c r="B3309" s="1">
        <v>40340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</row>
    <row r="3310" spans="1:8" x14ac:dyDescent="0.3">
      <c r="A3310" t="s">
        <v>31</v>
      </c>
      <c r="B3310" s="1">
        <v>40347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</row>
    <row r="3311" spans="1:8" x14ac:dyDescent="0.3">
      <c r="A3311" t="s">
        <v>31</v>
      </c>
      <c r="B3311" s="1">
        <v>40354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</row>
    <row r="3312" spans="1:8" x14ac:dyDescent="0.3">
      <c r="A3312" t="s">
        <v>31</v>
      </c>
      <c r="B3312" s="1">
        <v>40361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</row>
    <row r="3313" spans="1:8" x14ac:dyDescent="0.3">
      <c r="A3313" t="s">
        <v>31</v>
      </c>
      <c r="B3313" s="1">
        <v>40368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</row>
    <row r="3314" spans="1:8" x14ac:dyDescent="0.3">
      <c r="A3314" t="s">
        <v>31</v>
      </c>
      <c r="B3314" s="1">
        <v>40375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</row>
    <row r="3315" spans="1:8" x14ac:dyDescent="0.3">
      <c r="A3315" t="s">
        <v>31</v>
      </c>
      <c r="B3315" s="1">
        <v>40382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</row>
    <row r="3316" spans="1:8" x14ac:dyDescent="0.3">
      <c r="A3316" t="s">
        <v>31</v>
      </c>
      <c r="B3316" s="1">
        <v>40389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</row>
    <row r="3317" spans="1:8" x14ac:dyDescent="0.3">
      <c r="A3317" t="s">
        <v>31</v>
      </c>
      <c r="B3317" s="1">
        <v>40396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</row>
    <row r="3318" spans="1:8" x14ac:dyDescent="0.3">
      <c r="A3318" t="s">
        <v>31</v>
      </c>
      <c r="B3318" s="1">
        <v>40403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</row>
    <row r="3319" spans="1:8" x14ac:dyDescent="0.3">
      <c r="A3319" t="s">
        <v>31</v>
      </c>
      <c r="B3319" s="1">
        <v>40410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</row>
    <row r="3320" spans="1:8" x14ac:dyDescent="0.3">
      <c r="A3320" t="s">
        <v>31</v>
      </c>
      <c r="B3320" s="1">
        <v>40417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</row>
    <row r="3321" spans="1:8" x14ac:dyDescent="0.3">
      <c r="A3321" t="s">
        <v>31</v>
      </c>
      <c r="B3321" s="1">
        <v>40424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</row>
    <row r="3322" spans="1:8" x14ac:dyDescent="0.3">
      <c r="A3322" t="s">
        <v>31</v>
      </c>
      <c r="B3322" s="1">
        <v>40431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</row>
    <row r="3323" spans="1:8" x14ac:dyDescent="0.3">
      <c r="A3323" t="s">
        <v>31</v>
      </c>
      <c r="B3323" s="1">
        <v>40438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</row>
    <row r="3324" spans="1:8" x14ac:dyDescent="0.3">
      <c r="A3324" t="s">
        <v>31</v>
      </c>
      <c r="B3324" s="1">
        <v>40445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</row>
    <row r="3325" spans="1:8" x14ac:dyDescent="0.3">
      <c r="A3325" t="s">
        <v>31</v>
      </c>
      <c r="B3325" s="1">
        <v>40452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</row>
    <row r="3326" spans="1:8" x14ac:dyDescent="0.3">
      <c r="A3326" t="s">
        <v>31</v>
      </c>
      <c r="B3326" s="1">
        <v>40459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</row>
    <row r="3327" spans="1:8" x14ac:dyDescent="0.3">
      <c r="A3327" t="s">
        <v>31</v>
      </c>
      <c r="B3327" s="1">
        <v>40466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</row>
    <row r="3328" spans="1:8" x14ac:dyDescent="0.3">
      <c r="A3328" t="s">
        <v>31</v>
      </c>
      <c r="B3328" s="1">
        <v>40473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</row>
    <row r="3329" spans="1:8" x14ac:dyDescent="0.3">
      <c r="A3329" t="s">
        <v>31</v>
      </c>
      <c r="B3329" s="1">
        <v>40480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</row>
    <row r="3330" spans="1:8" x14ac:dyDescent="0.3">
      <c r="A3330" t="s">
        <v>31</v>
      </c>
      <c r="B3330" s="1">
        <v>40487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</row>
    <row r="3331" spans="1:8" x14ac:dyDescent="0.3">
      <c r="A3331" t="s">
        <v>31</v>
      </c>
      <c r="B3331" s="1">
        <v>40494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</row>
    <row r="3332" spans="1:8" x14ac:dyDescent="0.3">
      <c r="A3332" t="s">
        <v>31</v>
      </c>
      <c r="B3332" s="1">
        <v>40501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</row>
    <row r="3333" spans="1:8" x14ac:dyDescent="0.3">
      <c r="A3333" t="s">
        <v>31</v>
      </c>
      <c r="B3333" s="1">
        <v>40508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</row>
    <row r="3334" spans="1:8" x14ac:dyDescent="0.3">
      <c r="A3334" t="s">
        <v>31</v>
      </c>
      <c r="B3334" s="1">
        <v>40515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</row>
    <row r="3335" spans="1:8" x14ac:dyDescent="0.3">
      <c r="A3335" t="s">
        <v>31</v>
      </c>
      <c r="B3335" s="1">
        <v>40522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</row>
    <row r="3336" spans="1:8" x14ac:dyDescent="0.3">
      <c r="A3336" t="s">
        <v>31</v>
      </c>
      <c r="B3336" s="1">
        <v>40529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</row>
    <row r="3337" spans="1:8" x14ac:dyDescent="0.3">
      <c r="A3337" t="s">
        <v>31</v>
      </c>
      <c r="B3337" s="1">
        <v>40536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</row>
    <row r="3338" spans="1:8" x14ac:dyDescent="0.3">
      <c r="A3338" t="s">
        <v>31</v>
      </c>
      <c r="B3338" s="1">
        <v>40543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</row>
    <row r="3339" spans="1:8" x14ac:dyDescent="0.3">
      <c r="A3339" t="s">
        <v>31</v>
      </c>
      <c r="B3339" s="1">
        <v>40550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</row>
    <row r="3340" spans="1:8" x14ac:dyDescent="0.3">
      <c r="A3340" t="s">
        <v>31</v>
      </c>
      <c r="B3340" s="1">
        <v>40557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</row>
    <row r="3341" spans="1:8" x14ac:dyDescent="0.3">
      <c r="A3341" t="s">
        <v>31</v>
      </c>
      <c r="B3341" s="1">
        <v>40564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</row>
    <row r="3342" spans="1:8" x14ac:dyDescent="0.3">
      <c r="A3342" t="s">
        <v>31</v>
      </c>
      <c r="B3342" s="1">
        <v>40571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</row>
    <row r="3343" spans="1:8" x14ac:dyDescent="0.3">
      <c r="A3343" t="s">
        <v>31</v>
      </c>
      <c r="B3343" s="1">
        <v>40578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</row>
    <row r="3344" spans="1:8" x14ac:dyDescent="0.3">
      <c r="A3344" t="s">
        <v>31</v>
      </c>
      <c r="B3344" s="1">
        <v>40585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</row>
    <row r="3345" spans="1:8" x14ac:dyDescent="0.3">
      <c r="A3345" t="s">
        <v>31</v>
      </c>
      <c r="B3345" s="1">
        <v>40592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</row>
    <row r="3346" spans="1:8" x14ac:dyDescent="0.3">
      <c r="A3346" t="s">
        <v>31</v>
      </c>
      <c r="B3346" s="1">
        <v>40599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</row>
    <row r="3347" spans="1:8" x14ac:dyDescent="0.3">
      <c r="A3347" t="s">
        <v>31</v>
      </c>
      <c r="B3347" s="1">
        <v>40606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</row>
    <row r="3348" spans="1:8" x14ac:dyDescent="0.3">
      <c r="A3348" t="s">
        <v>31</v>
      </c>
      <c r="B3348" s="1">
        <v>40613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</row>
    <row r="3349" spans="1:8" x14ac:dyDescent="0.3">
      <c r="A3349" t="s">
        <v>31</v>
      </c>
      <c r="B3349" s="1">
        <v>40620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</row>
    <row r="3350" spans="1:8" x14ac:dyDescent="0.3">
      <c r="A3350" t="s">
        <v>31</v>
      </c>
      <c r="B3350" s="1">
        <v>40627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</row>
    <row r="3351" spans="1:8" x14ac:dyDescent="0.3">
      <c r="A3351" t="s">
        <v>31</v>
      </c>
      <c r="B3351" s="1">
        <v>40634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</row>
    <row r="3352" spans="1:8" x14ac:dyDescent="0.3">
      <c r="A3352" t="s">
        <v>31</v>
      </c>
      <c r="B3352" s="1">
        <v>40641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</row>
    <row r="3353" spans="1:8" x14ac:dyDescent="0.3">
      <c r="A3353" t="s">
        <v>31</v>
      </c>
      <c r="B3353" s="1">
        <v>40648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</row>
    <row r="3354" spans="1:8" x14ac:dyDescent="0.3">
      <c r="A3354" t="s">
        <v>31</v>
      </c>
      <c r="B3354" s="1">
        <v>40655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</row>
    <row r="3355" spans="1:8" x14ac:dyDescent="0.3">
      <c r="A3355" t="s">
        <v>31</v>
      </c>
      <c r="B3355" s="1">
        <v>40662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</row>
    <row r="3356" spans="1:8" x14ac:dyDescent="0.3">
      <c r="A3356" t="s">
        <v>31</v>
      </c>
      <c r="B3356" s="1">
        <v>40669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</row>
    <row r="3357" spans="1:8" x14ac:dyDescent="0.3">
      <c r="A3357" t="s">
        <v>31</v>
      </c>
      <c r="B3357" s="1">
        <v>40676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</row>
    <row r="3358" spans="1:8" x14ac:dyDescent="0.3">
      <c r="A3358" t="s">
        <v>31</v>
      </c>
      <c r="B3358" s="1">
        <v>40683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</row>
    <row r="3359" spans="1:8" x14ac:dyDescent="0.3">
      <c r="A3359" t="s">
        <v>31</v>
      </c>
      <c r="B3359" s="1">
        <v>40690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</row>
    <row r="3360" spans="1:8" x14ac:dyDescent="0.3">
      <c r="A3360" t="s">
        <v>31</v>
      </c>
      <c r="B3360" s="1">
        <v>40697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</row>
    <row r="3361" spans="1:8" x14ac:dyDescent="0.3">
      <c r="A3361" t="s">
        <v>31</v>
      </c>
      <c r="B3361" s="1">
        <v>40704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</row>
    <row r="3362" spans="1:8" x14ac:dyDescent="0.3">
      <c r="A3362" t="s">
        <v>31</v>
      </c>
      <c r="B3362" s="1">
        <v>40711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</row>
    <row r="3363" spans="1:8" x14ac:dyDescent="0.3">
      <c r="A3363" t="s">
        <v>31</v>
      </c>
      <c r="B3363" s="1">
        <v>40718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</row>
    <row r="3364" spans="1:8" x14ac:dyDescent="0.3">
      <c r="A3364" t="s">
        <v>31</v>
      </c>
      <c r="B3364" s="1">
        <v>40725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</row>
    <row r="3365" spans="1:8" x14ac:dyDescent="0.3">
      <c r="A3365" t="s">
        <v>31</v>
      </c>
      <c r="B3365" s="1">
        <v>40732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</row>
    <row r="3366" spans="1:8" x14ac:dyDescent="0.3">
      <c r="A3366" t="s">
        <v>31</v>
      </c>
      <c r="B3366" s="1">
        <v>40739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</row>
    <row r="3367" spans="1:8" x14ac:dyDescent="0.3">
      <c r="A3367" t="s">
        <v>31</v>
      </c>
      <c r="B3367" s="1">
        <v>40746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</row>
    <row r="3368" spans="1:8" x14ac:dyDescent="0.3">
      <c r="A3368" t="s">
        <v>31</v>
      </c>
      <c r="B3368" s="1">
        <v>40753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</row>
    <row r="3369" spans="1:8" x14ac:dyDescent="0.3">
      <c r="A3369" t="s">
        <v>31</v>
      </c>
      <c r="B3369" s="1">
        <v>40760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</row>
    <row r="3370" spans="1:8" x14ac:dyDescent="0.3">
      <c r="A3370" t="s">
        <v>31</v>
      </c>
      <c r="B3370" s="1">
        <v>40767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</row>
    <row r="3371" spans="1:8" x14ac:dyDescent="0.3">
      <c r="A3371" t="s">
        <v>31</v>
      </c>
      <c r="B3371" s="1">
        <v>40774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</row>
    <row r="3372" spans="1:8" x14ac:dyDescent="0.3">
      <c r="A3372" t="s">
        <v>31</v>
      </c>
      <c r="B3372" s="1">
        <v>40781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</row>
    <row r="3373" spans="1:8" x14ac:dyDescent="0.3">
      <c r="A3373" t="s">
        <v>31</v>
      </c>
      <c r="B3373" s="1">
        <v>40788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</row>
    <row r="3374" spans="1:8" x14ac:dyDescent="0.3">
      <c r="A3374" t="s">
        <v>31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</row>
    <row r="3375" spans="1:8" x14ac:dyDescent="0.3">
      <c r="A3375" t="s">
        <v>31</v>
      </c>
      <c r="B3375" s="1">
        <v>40802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</row>
    <row r="3376" spans="1:8" x14ac:dyDescent="0.3">
      <c r="A3376" t="s">
        <v>31</v>
      </c>
      <c r="B3376" s="1">
        <v>40809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</row>
    <row r="3377" spans="1:8" x14ac:dyDescent="0.3">
      <c r="A3377" t="s">
        <v>31</v>
      </c>
      <c r="B3377" s="1">
        <v>40816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</row>
    <row r="3378" spans="1:8" x14ac:dyDescent="0.3">
      <c r="A3378" t="s">
        <v>31</v>
      </c>
      <c r="B3378" s="1">
        <v>40823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</row>
    <row r="3379" spans="1:8" x14ac:dyDescent="0.3">
      <c r="A3379" t="s">
        <v>31</v>
      </c>
      <c r="B3379" s="1">
        <v>40830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</row>
    <row r="3380" spans="1:8" x14ac:dyDescent="0.3">
      <c r="A3380" t="s">
        <v>31</v>
      </c>
      <c r="B3380" s="1">
        <v>40837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</row>
    <row r="3381" spans="1:8" x14ac:dyDescent="0.3">
      <c r="A3381" t="s">
        <v>31</v>
      </c>
      <c r="B3381" s="1">
        <v>40844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</row>
    <row r="3382" spans="1:8" x14ac:dyDescent="0.3">
      <c r="A3382" t="s">
        <v>31</v>
      </c>
      <c r="B3382" s="1">
        <v>40851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</row>
    <row r="3383" spans="1:8" x14ac:dyDescent="0.3">
      <c r="A3383" t="s">
        <v>31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</row>
    <row r="3384" spans="1:8" x14ac:dyDescent="0.3">
      <c r="A3384" t="s">
        <v>31</v>
      </c>
      <c r="B3384" s="1">
        <v>40865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</row>
    <row r="3385" spans="1:8" x14ac:dyDescent="0.3">
      <c r="A3385" t="s">
        <v>31</v>
      </c>
      <c r="B3385" s="1">
        <v>40872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</row>
    <row r="3386" spans="1:8" x14ac:dyDescent="0.3">
      <c r="A3386" t="s">
        <v>31</v>
      </c>
      <c r="B3386" s="1">
        <v>40879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</row>
    <row r="3387" spans="1:8" x14ac:dyDescent="0.3">
      <c r="A3387" t="s">
        <v>31</v>
      </c>
      <c r="B3387" s="1">
        <v>40886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</row>
    <row r="3388" spans="1:8" x14ac:dyDescent="0.3">
      <c r="A3388" t="s">
        <v>31</v>
      </c>
      <c r="B3388" s="1">
        <v>40893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</row>
    <row r="3389" spans="1:8" x14ac:dyDescent="0.3">
      <c r="A3389" t="s">
        <v>31</v>
      </c>
      <c r="B3389" s="1">
        <v>40900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</row>
    <row r="3390" spans="1:8" x14ac:dyDescent="0.3">
      <c r="A3390" t="s">
        <v>31</v>
      </c>
      <c r="B3390" s="1">
        <v>40907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</row>
    <row r="3391" spans="1:8" x14ac:dyDescent="0.3">
      <c r="A3391" t="s">
        <v>31</v>
      </c>
      <c r="B3391" s="1">
        <v>40914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</row>
    <row r="3392" spans="1:8" x14ac:dyDescent="0.3">
      <c r="A3392" t="s">
        <v>31</v>
      </c>
      <c r="B3392" s="1">
        <v>40921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</row>
    <row r="3393" spans="1:8" x14ac:dyDescent="0.3">
      <c r="A3393" t="s">
        <v>31</v>
      </c>
      <c r="B3393" s="1">
        <v>40928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</row>
    <row r="3394" spans="1:8" x14ac:dyDescent="0.3">
      <c r="A3394" t="s">
        <v>31</v>
      </c>
      <c r="B3394" s="1">
        <v>40935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</row>
    <row r="3395" spans="1:8" x14ac:dyDescent="0.3">
      <c r="A3395" t="s">
        <v>31</v>
      </c>
      <c r="B3395" s="1">
        <v>40942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</row>
    <row r="3396" spans="1:8" x14ac:dyDescent="0.3">
      <c r="A3396" t="s">
        <v>31</v>
      </c>
      <c r="B3396" s="1">
        <v>40949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</row>
    <row r="3397" spans="1:8" x14ac:dyDescent="0.3">
      <c r="A3397" t="s">
        <v>31</v>
      </c>
      <c r="B3397" s="1">
        <v>40956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</row>
    <row r="3398" spans="1:8" x14ac:dyDescent="0.3">
      <c r="A3398" t="s">
        <v>31</v>
      </c>
      <c r="B3398" s="1">
        <v>40963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</row>
    <row r="3399" spans="1:8" x14ac:dyDescent="0.3">
      <c r="A3399" t="s">
        <v>31</v>
      </c>
      <c r="B3399" s="1">
        <v>40970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</row>
    <row r="3400" spans="1:8" x14ac:dyDescent="0.3">
      <c r="A3400" t="s">
        <v>31</v>
      </c>
      <c r="B3400" s="1">
        <v>40977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</row>
    <row r="3401" spans="1:8" x14ac:dyDescent="0.3">
      <c r="A3401" t="s">
        <v>31</v>
      </c>
      <c r="B3401" s="1">
        <v>40984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</row>
    <row r="3402" spans="1:8" x14ac:dyDescent="0.3">
      <c r="A3402" t="s">
        <v>31</v>
      </c>
      <c r="B3402" s="1">
        <v>40991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</row>
    <row r="3403" spans="1:8" x14ac:dyDescent="0.3">
      <c r="A3403" t="s">
        <v>31</v>
      </c>
      <c r="B3403" s="1">
        <v>40998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</row>
    <row r="3404" spans="1:8" x14ac:dyDescent="0.3">
      <c r="A3404" t="s">
        <v>31</v>
      </c>
      <c r="B3404" s="1">
        <v>41005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</row>
    <row r="3405" spans="1:8" x14ac:dyDescent="0.3">
      <c r="A3405" t="s">
        <v>31</v>
      </c>
      <c r="B3405" s="1">
        <v>41012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</row>
    <row r="3406" spans="1:8" x14ac:dyDescent="0.3">
      <c r="A3406" t="s">
        <v>31</v>
      </c>
      <c r="B3406" s="1">
        <v>41019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</row>
    <row r="3407" spans="1:8" x14ac:dyDescent="0.3">
      <c r="A3407" t="s">
        <v>31</v>
      </c>
      <c r="B3407" s="1">
        <v>41026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</row>
    <row r="3408" spans="1:8" x14ac:dyDescent="0.3">
      <c r="A3408" t="s">
        <v>31</v>
      </c>
      <c r="B3408" s="1">
        <v>41033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</row>
    <row r="3409" spans="1:8" x14ac:dyDescent="0.3">
      <c r="A3409" t="s">
        <v>31</v>
      </c>
      <c r="B3409" s="1">
        <v>41040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</row>
    <row r="3410" spans="1:8" x14ac:dyDescent="0.3">
      <c r="A3410" t="s">
        <v>31</v>
      </c>
      <c r="B3410" s="1">
        <v>41047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</row>
    <row r="3411" spans="1:8" x14ac:dyDescent="0.3">
      <c r="A3411" t="s">
        <v>31</v>
      </c>
      <c r="B3411" s="1">
        <v>41054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</row>
    <row r="3412" spans="1:8" x14ac:dyDescent="0.3">
      <c r="A3412" t="s">
        <v>31</v>
      </c>
      <c r="B3412" s="1">
        <v>41061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</row>
    <row r="3413" spans="1:8" x14ac:dyDescent="0.3">
      <c r="A3413" t="s">
        <v>31</v>
      </c>
      <c r="B3413" s="1">
        <v>41068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</row>
    <row r="3414" spans="1:8" x14ac:dyDescent="0.3">
      <c r="A3414" t="s">
        <v>31</v>
      </c>
      <c r="B3414" s="1">
        <v>41075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</row>
    <row r="3415" spans="1:8" x14ac:dyDescent="0.3">
      <c r="A3415" t="s">
        <v>31</v>
      </c>
      <c r="B3415" s="1">
        <v>41082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</row>
    <row r="3416" spans="1:8" x14ac:dyDescent="0.3">
      <c r="A3416" t="s">
        <v>31</v>
      </c>
      <c r="B3416" s="1">
        <v>41089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</row>
    <row r="3417" spans="1:8" x14ac:dyDescent="0.3">
      <c r="A3417" t="s">
        <v>31</v>
      </c>
      <c r="B3417" s="1">
        <v>41096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</row>
    <row r="3418" spans="1:8" x14ac:dyDescent="0.3">
      <c r="A3418" t="s">
        <v>31</v>
      </c>
      <c r="B3418" s="1">
        <v>41103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</row>
    <row r="3419" spans="1:8" x14ac:dyDescent="0.3">
      <c r="A3419" t="s">
        <v>31</v>
      </c>
      <c r="B3419" s="1">
        <v>41110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</row>
    <row r="3420" spans="1:8" x14ac:dyDescent="0.3">
      <c r="A3420" t="s">
        <v>31</v>
      </c>
      <c r="B3420" s="1">
        <v>41117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</row>
    <row r="3421" spans="1:8" x14ac:dyDescent="0.3">
      <c r="A3421" t="s">
        <v>31</v>
      </c>
      <c r="B3421" s="1">
        <v>41124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</row>
    <row r="3422" spans="1:8" x14ac:dyDescent="0.3">
      <c r="A3422" t="s">
        <v>31</v>
      </c>
      <c r="B3422" s="1">
        <v>41131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</row>
    <row r="3423" spans="1:8" x14ac:dyDescent="0.3">
      <c r="A3423" t="s">
        <v>31</v>
      </c>
      <c r="B3423" s="1">
        <v>41138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</row>
    <row r="3424" spans="1:8" x14ac:dyDescent="0.3">
      <c r="A3424" t="s">
        <v>31</v>
      </c>
      <c r="B3424" s="1">
        <v>41145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</row>
    <row r="3425" spans="1:8" x14ac:dyDescent="0.3">
      <c r="A3425" t="s">
        <v>31</v>
      </c>
      <c r="B3425" s="1">
        <v>41152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</row>
    <row r="3426" spans="1:8" x14ac:dyDescent="0.3">
      <c r="A3426" t="s">
        <v>31</v>
      </c>
      <c r="B3426" s="1">
        <v>41159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</row>
    <row r="3427" spans="1:8" x14ac:dyDescent="0.3">
      <c r="A3427" t="s">
        <v>31</v>
      </c>
      <c r="B3427" s="1">
        <v>41166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</row>
    <row r="3428" spans="1:8" x14ac:dyDescent="0.3">
      <c r="A3428" t="s">
        <v>31</v>
      </c>
      <c r="B3428" s="1">
        <v>41173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</row>
    <row r="3429" spans="1:8" x14ac:dyDescent="0.3">
      <c r="A3429" t="s">
        <v>31</v>
      </c>
      <c r="B3429" s="1">
        <v>41180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</row>
    <row r="3430" spans="1:8" x14ac:dyDescent="0.3">
      <c r="A3430" t="s">
        <v>31</v>
      </c>
      <c r="B3430" s="1">
        <v>41187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</row>
    <row r="3431" spans="1:8" x14ac:dyDescent="0.3">
      <c r="A3431" t="s">
        <v>31</v>
      </c>
      <c r="B3431" s="1">
        <v>41194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</row>
    <row r="3432" spans="1:8" x14ac:dyDescent="0.3">
      <c r="A3432" t="s">
        <v>31</v>
      </c>
      <c r="B3432" s="1">
        <v>41201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</row>
    <row r="3433" spans="1:8" x14ac:dyDescent="0.3">
      <c r="A3433" t="s">
        <v>31</v>
      </c>
      <c r="B3433" s="1">
        <v>41208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</row>
    <row r="3434" spans="1:8" x14ac:dyDescent="0.3">
      <c r="A3434" t="s">
        <v>32</v>
      </c>
      <c r="B3434" s="1">
        <v>40214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</row>
    <row r="3435" spans="1:8" x14ac:dyDescent="0.3">
      <c r="A3435" t="s">
        <v>32</v>
      </c>
      <c r="B3435" s="1">
        <v>40221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</row>
    <row r="3436" spans="1:8" x14ac:dyDescent="0.3">
      <c r="A3436" t="s">
        <v>32</v>
      </c>
      <c r="B3436" s="1">
        <v>40228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</row>
    <row r="3437" spans="1:8" x14ac:dyDescent="0.3">
      <c r="A3437" t="s">
        <v>32</v>
      </c>
      <c r="B3437" s="1">
        <v>40235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</row>
    <row r="3438" spans="1:8" x14ac:dyDescent="0.3">
      <c r="A3438" t="s">
        <v>32</v>
      </c>
      <c r="B3438" s="1">
        <v>40242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</row>
    <row r="3439" spans="1:8" x14ac:dyDescent="0.3">
      <c r="A3439" t="s">
        <v>32</v>
      </c>
      <c r="B3439" s="1">
        <v>40249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</row>
    <row r="3440" spans="1:8" x14ac:dyDescent="0.3">
      <c r="A3440" t="s">
        <v>32</v>
      </c>
      <c r="B3440" s="1">
        <v>40256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</row>
    <row r="3441" spans="1:8" x14ac:dyDescent="0.3">
      <c r="A3441" t="s">
        <v>32</v>
      </c>
      <c r="B3441" s="1">
        <v>40263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</row>
    <row r="3442" spans="1:8" x14ac:dyDescent="0.3">
      <c r="A3442" t="s">
        <v>32</v>
      </c>
      <c r="B3442" s="1">
        <v>40270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</row>
    <row r="3443" spans="1:8" x14ac:dyDescent="0.3">
      <c r="A3443" t="s">
        <v>32</v>
      </c>
      <c r="B3443" s="1">
        <v>40277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</row>
    <row r="3444" spans="1:8" x14ac:dyDescent="0.3">
      <c r="A3444" t="s">
        <v>32</v>
      </c>
      <c r="B3444" s="1">
        <v>40284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</row>
    <row r="3445" spans="1:8" x14ac:dyDescent="0.3">
      <c r="A3445" t="s">
        <v>32</v>
      </c>
      <c r="B3445" s="1">
        <v>40291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</row>
    <row r="3446" spans="1:8" x14ac:dyDescent="0.3">
      <c r="A3446" t="s">
        <v>32</v>
      </c>
      <c r="B3446" s="1">
        <v>40298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</row>
    <row r="3447" spans="1:8" x14ac:dyDescent="0.3">
      <c r="A3447" t="s">
        <v>32</v>
      </c>
      <c r="B3447" s="1">
        <v>40305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</row>
    <row r="3448" spans="1:8" x14ac:dyDescent="0.3">
      <c r="A3448" t="s">
        <v>32</v>
      </c>
      <c r="B3448" s="1">
        <v>40312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</row>
    <row r="3449" spans="1:8" x14ac:dyDescent="0.3">
      <c r="A3449" t="s">
        <v>32</v>
      </c>
      <c r="B3449" s="1">
        <v>40319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</row>
    <row r="3450" spans="1:8" x14ac:dyDescent="0.3">
      <c r="A3450" t="s">
        <v>32</v>
      </c>
      <c r="B3450" s="1">
        <v>40326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</row>
    <row r="3451" spans="1:8" x14ac:dyDescent="0.3">
      <c r="A3451" t="s">
        <v>32</v>
      </c>
      <c r="B3451" s="1">
        <v>40333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</row>
    <row r="3452" spans="1:8" x14ac:dyDescent="0.3">
      <c r="A3452" t="s">
        <v>32</v>
      </c>
      <c r="B3452" s="1">
        <v>40340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</row>
    <row r="3453" spans="1:8" x14ac:dyDescent="0.3">
      <c r="A3453" t="s">
        <v>32</v>
      </c>
      <c r="B3453" s="1">
        <v>40347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</row>
    <row r="3454" spans="1:8" x14ac:dyDescent="0.3">
      <c r="A3454" t="s">
        <v>32</v>
      </c>
      <c r="B3454" s="1">
        <v>40354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</row>
    <row r="3455" spans="1:8" x14ac:dyDescent="0.3">
      <c r="A3455" t="s">
        <v>32</v>
      </c>
      <c r="B3455" s="1">
        <v>40361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</row>
    <row r="3456" spans="1:8" x14ac:dyDescent="0.3">
      <c r="A3456" t="s">
        <v>32</v>
      </c>
      <c r="B3456" s="1">
        <v>40368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</row>
    <row r="3457" spans="1:8" x14ac:dyDescent="0.3">
      <c r="A3457" t="s">
        <v>32</v>
      </c>
      <c r="B3457" s="1">
        <v>40375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</row>
    <row r="3458" spans="1:8" x14ac:dyDescent="0.3">
      <c r="A3458" t="s">
        <v>32</v>
      </c>
      <c r="B3458" s="1">
        <v>40382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</row>
    <row r="3459" spans="1:8" x14ac:dyDescent="0.3">
      <c r="A3459" t="s">
        <v>32</v>
      </c>
      <c r="B3459" s="1">
        <v>40389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</row>
    <row r="3460" spans="1:8" x14ac:dyDescent="0.3">
      <c r="A3460" t="s">
        <v>32</v>
      </c>
      <c r="B3460" s="1">
        <v>40396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</row>
    <row r="3461" spans="1:8" x14ac:dyDescent="0.3">
      <c r="A3461" t="s">
        <v>32</v>
      </c>
      <c r="B3461" s="1">
        <v>40403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</row>
    <row r="3462" spans="1:8" x14ac:dyDescent="0.3">
      <c r="A3462" t="s">
        <v>32</v>
      </c>
      <c r="B3462" s="1">
        <v>40410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</row>
    <row r="3463" spans="1:8" x14ac:dyDescent="0.3">
      <c r="A3463" t="s">
        <v>32</v>
      </c>
      <c r="B3463" s="1">
        <v>40417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</row>
    <row r="3464" spans="1:8" x14ac:dyDescent="0.3">
      <c r="A3464" t="s">
        <v>32</v>
      </c>
      <c r="B3464" s="1">
        <v>40424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</row>
    <row r="3465" spans="1:8" x14ac:dyDescent="0.3">
      <c r="A3465" t="s">
        <v>32</v>
      </c>
      <c r="B3465" s="1">
        <v>40431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</row>
    <row r="3466" spans="1:8" x14ac:dyDescent="0.3">
      <c r="A3466" t="s">
        <v>32</v>
      </c>
      <c r="B3466" s="1">
        <v>40438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</row>
    <row r="3467" spans="1:8" x14ac:dyDescent="0.3">
      <c r="A3467" t="s">
        <v>32</v>
      </c>
      <c r="B3467" s="1">
        <v>40445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</row>
    <row r="3468" spans="1:8" x14ac:dyDescent="0.3">
      <c r="A3468" t="s">
        <v>32</v>
      </c>
      <c r="B3468" s="1">
        <v>40452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</row>
    <row r="3469" spans="1:8" x14ac:dyDescent="0.3">
      <c r="A3469" t="s">
        <v>32</v>
      </c>
      <c r="B3469" s="1">
        <v>40459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</row>
    <row r="3470" spans="1:8" x14ac:dyDescent="0.3">
      <c r="A3470" t="s">
        <v>32</v>
      </c>
      <c r="B3470" s="1">
        <v>40466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</row>
    <row r="3471" spans="1:8" x14ac:dyDescent="0.3">
      <c r="A3471" t="s">
        <v>32</v>
      </c>
      <c r="B3471" s="1">
        <v>40473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</row>
    <row r="3472" spans="1:8" x14ac:dyDescent="0.3">
      <c r="A3472" t="s">
        <v>32</v>
      </c>
      <c r="B3472" s="1">
        <v>40480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</row>
    <row r="3473" spans="1:8" x14ac:dyDescent="0.3">
      <c r="A3473" t="s">
        <v>32</v>
      </c>
      <c r="B3473" s="1">
        <v>40487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</row>
    <row r="3474" spans="1:8" x14ac:dyDescent="0.3">
      <c r="A3474" t="s">
        <v>32</v>
      </c>
      <c r="B3474" s="1">
        <v>40494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</row>
    <row r="3475" spans="1:8" x14ac:dyDescent="0.3">
      <c r="A3475" t="s">
        <v>32</v>
      </c>
      <c r="B3475" s="1">
        <v>40501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</row>
    <row r="3476" spans="1:8" x14ac:dyDescent="0.3">
      <c r="A3476" t="s">
        <v>32</v>
      </c>
      <c r="B3476" s="1">
        <v>40508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</row>
    <row r="3477" spans="1:8" x14ac:dyDescent="0.3">
      <c r="A3477" t="s">
        <v>32</v>
      </c>
      <c r="B3477" s="1">
        <v>40515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</row>
    <row r="3478" spans="1:8" x14ac:dyDescent="0.3">
      <c r="A3478" t="s">
        <v>32</v>
      </c>
      <c r="B3478" s="1">
        <v>40522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</row>
    <row r="3479" spans="1:8" x14ac:dyDescent="0.3">
      <c r="A3479" t="s">
        <v>32</v>
      </c>
      <c r="B3479" s="1">
        <v>40529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</row>
    <row r="3480" spans="1:8" x14ac:dyDescent="0.3">
      <c r="A3480" t="s">
        <v>32</v>
      </c>
      <c r="B3480" s="1">
        <v>40536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 x14ac:dyDescent="0.3">
      <c r="A3481" t="s">
        <v>32</v>
      </c>
      <c r="B3481" s="1">
        <v>40543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</row>
    <row r="3482" spans="1:8" x14ac:dyDescent="0.3">
      <c r="A3482" t="s">
        <v>32</v>
      </c>
      <c r="B3482" s="1">
        <v>40550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</row>
    <row r="3483" spans="1:8" x14ac:dyDescent="0.3">
      <c r="A3483" t="s">
        <v>32</v>
      </c>
      <c r="B3483" s="1">
        <v>40557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</row>
    <row r="3484" spans="1:8" x14ac:dyDescent="0.3">
      <c r="A3484" t="s">
        <v>32</v>
      </c>
      <c r="B3484" s="1">
        <v>40564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</row>
    <row r="3485" spans="1:8" x14ac:dyDescent="0.3">
      <c r="A3485" t="s">
        <v>32</v>
      </c>
      <c r="B3485" s="1">
        <v>40571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</row>
    <row r="3486" spans="1:8" x14ac:dyDescent="0.3">
      <c r="A3486" t="s">
        <v>32</v>
      </c>
      <c r="B3486" s="1">
        <v>40578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</row>
    <row r="3487" spans="1:8" x14ac:dyDescent="0.3">
      <c r="A3487" t="s">
        <v>32</v>
      </c>
      <c r="B3487" s="1">
        <v>40585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</row>
    <row r="3488" spans="1:8" x14ac:dyDescent="0.3">
      <c r="A3488" t="s">
        <v>32</v>
      </c>
      <c r="B3488" s="1">
        <v>40592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</row>
    <row r="3489" spans="1:8" x14ac:dyDescent="0.3">
      <c r="A3489" t="s">
        <v>32</v>
      </c>
      <c r="B3489" s="1">
        <v>40599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 x14ac:dyDescent="0.3">
      <c r="A3490" t="s">
        <v>32</v>
      </c>
      <c r="B3490" s="1">
        <v>40606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</row>
    <row r="3491" spans="1:8" x14ac:dyDescent="0.3">
      <c r="A3491" t="s">
        <v>32</v>
      </c>
      <c r="B3491" s="1">
        <v>40613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</row>
    <row r="3492" spans="1:8" x14ac:dyDescent="0.3">
      <c r="A3492" t="s">
        <v>32</v>
      </c>
      <c r="B3492" s="1">
        <v>40620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</row>
    <row r="3493" spans="1:8" x14ac:dyDescent="0.3">
      <c r="A3493" t="s">
        <v>32</v>
      </c>
      <c r="B3493" s="1">
        <v>40627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</row>
    <row r="3494" spans="1:8" x14ac:dyDescent="0.3">
      <c r="A3494" t="s">
        <v>32</v>
      </c>
      <c r="B3494" s="1">
        <v>40634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</row>
    <row r="3495" spans="1:8" x14ac:dyDescent="0.3">
      <c r="A3495" t="s">
        <v>32</v>
      </c>
      <c r="B3495" s="1">
        <v>40641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</row>
    <row r="3496" spans="1:8" x14ac:dyDescent="0.3">
      <c r="A3496" t="s">
        <v>32</v>
      </c>
      <c r="B3496" s="1">
        <v>40648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</row>
    <row r="3497" spans="1:8" x14ac:dyDescent="0.3">
      <c r="A3497" t="s">
        <v>32</v>
      </c>
      <c r="B3497" s="1">
        <v>40655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</row>
    <row r="3498" spans="1:8" x14ac:dyDescent="0.3">
      <c r="A3498" t="s">
        <v>32</v>
      </c>
      <c r="B3498" s="1">
        <v>40662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</row>
    <row r="3499" spans="1:8" x14ac:dyDescent="0.3">
      <c r="A3499" t="s">
        <v>32</v>
      </c>
      <c r="B3499" s="1">
        <v>40669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</row>
    <row r="3500" spans="1:8" x14ac:dyDescent="0.3">
      <c r="A3500" t="s">
        <v>32</v>
      </c>
      <c r="B3500" s="1">
        <v>40676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</row>
    <row r="3501" spans="1:8" x14ac:dyDescent="0.3">
      <c r="A3501" t="s">
        <v>32</v>
      </c>
      <c r="B3501" s="1">
        <v>40683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</row>
    <row r="3502" spans="1:8" x14ac:dyDescent="0.3">
      <c r="A3502" t="s">
        <v>32</v>
      </c>
      <c r="B3502" s="1">
        <v>40690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</row>
    <row r="3503" spans="1:8" x14ac:dyDescent="0.3">
      <c r="A3503" t="s">
        <v>32</v>
      </c>
      <c r="B3503" s="1">
        <v>40697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</row>
    <row r="3504" spans="1:8" x14ac:dyDescent="0.3">
      <c r="A3504" t="s">
        <v>32</v>
      </c>
      <c r="B3504" s="1">
        <v>40704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</row>
    <row r="3505" spans="1:8" x14ac:dyDescent="0.3">
      <c r="A3505" t="s">
        <v>32</v>
      </c>
      <c r="B3505" s="1">
        <v>40711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</row>
    <row r="3506" spans="1:8" x14ac:dyDescent="0.3">
      <c r="A3506" t="s">
        <v>32</v>
      </c>
      <c r="B3506" s="1">
        <v>40718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</row>
    <row r="3507" spans="1:8" x14ac:dyDescent="0.3">
      <c r="A3507" t="s">
        <v>32</v>
      </c>
      <c r="B3507" s="1">
        <v>40725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</row>
    <row r="3508" spans="1:8" x14ac:dyDescent="0.3">
      <c r="A3508" t="s">
        <v>32</v>
      </c>
      <c r="B3508" s="1">
        <v>40732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</row>
    <row r="3509" spans="1:8" x14ac:dyDescent="0.3">
      <c r="A3509" t="s">
        <v>32</v>
      </c>
      <c r="B3509" s="1">
        <v>40739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</row>
    <row r="3510" spans="1:8" x14ac:dyDescent="0.3">
      <c r="A3510" t="s">
        <v>32</v>
      </c>
      <c r="B3510" s="1">
        <v>40746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</row>
    <row r="3511" spans="1:8" x14ac:dyDescent="0.3">
      <c r="A3511" t="s">
        <v>32</v>
      </c>
      <c r="B3511" s="1">
        <v>40753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</row>
    <row r="3512" spans="1:8" x14ac:dyDescent="0.3">
      <c r="A3512" t="s">
        <v>32</v>
      </c>
      <c r="B3512" s="1">
        <v>40760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</row>
    <row r="3513" spans="1:8" x14ac:dyDescent="0.3">
      <c r="A3513" t="s">
        <v>32</v>
      </c>
      <c r="B3513" s="1">
        <v>40767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</row>
    <row r="3514" spans="1:8" x14ac:dyDescent="0.3">
      <c r="A3514" t="s">
        <v>32</v>
      </c>
      <c r="B3514" s="1">
        <v>40774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</row>
    <row r="3515" spans="1:8" x14ac:dyDescent="0.3">
      <c r="A3515" t="s">
        <v>32</v>
      </c>
      <c r="B3515" s="1">
        <v>40781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</row>
    <row r="3516" spans="1:8" x14ac:dyDescent="0.3">
      <c r="A3516" t="s">
        <v>32</v>
      </c>
      <c r="B3516" s="1">
        <v>40788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</row>
    <row r="3517" spans="1:8" x14ac:dyDescent="0.3">
      <c r="A3517" t="s">
        <v>32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</row>
    <row r="3518" spans="1:8" x14ac:dyDescent="0.3">
      <c r="A3518" t="s">
        <v>32</v>
      </c>
      <c r="B3518" s="1">
        <v>40802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</row>
    <row r="3519" spans="1:8" x14ac:dyDescent="0.3">
      <c r="A3519" t="s">
        <v>32</v>
      </c>
      <c r="B3519" s="1">
        <v>40809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</row>
    <row r="3520" spans="1:8" x14ac:dyDescent="0.3">
      <c r="A3520" t="s">
        <v>32</v>
      </c>
      <c r="B3520" s="1">
        <v>40816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</row>
    <row r="3521" spans="1:8" x14ac:dyDescent="0.3">
      <c r="A3521" t="s">
        <v>32</v>
      </c>
      <c r="B3521" s="1">
        <v>40823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</row>
    <row r="3522" spans="1:8" x14ac:dyDescent="0.3">
      <c r="A3522" t="s">
        <v>32</v>
      </c>
      <c r="B3522" s="1">
        <v>40830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</row>
    <row r="3523" spans="1:8" x14ac:dyDescent="0.3">
      <c r="A3523" t="s">
        <v>32</v>
      </c>
      <c r="B3523" s="1">
        <v>40837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</row>
    <row r="3524" spans="1:8" x14ac:dyDescent="0.3">
      <c r="A3524" t="s">
        <v>32</v>
      </c>
      <c r="B3524" s="1">
        <v>40844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</row>
    <row r="3525" spans="1:8" x14ac:dyDescent="0.3">
      <c r="A3525" t="s">
        <v>32</v>
      </c>
      <c r="B3525" s="1">
        <v>40851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</row>
    <row r="3526" spans="1:8" x14ac:dyDescent="0.3">
      <c r="A3526" t="s">
        <v>32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</row>
    <row r="3527" spans="1:8" x14ac:dyDescent="0.3">
      <c r="A3527" t="s">
        <v>32</v>
      </c>
      <c r="B3527" s="1">
        <v>40865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</row>
    <row r="3528" spans="1:8" x14ac:dyDescent="0.3">
      <c r="A3528" t="s">
        <v>32</v>
      </c>
      <c r="B3528" s="1">
        <v>40872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</row>
    <row r="3529" spans="1:8" x14ac:dyDescent="0.3">
      <c r="A3529" t="s">
        <v>32</v>
      </c>
      <c r="B3529" s="1">
        <v>40879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</row>
    <row r="3530" spans="1:8" x14ac:dyDescent="0.3">
      <c r="A3530" t="s">
        <v>32</v>
      </c>
      <c r="B3530" s="1">
        <v>40886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</row>
    <row r="3531" spans="1:8" x14ac:dyDescent="0.3">
      <c r="A3531" t="s">
        <v>32</v>
      </c>
      <c r="B3531" s="1">
        <v>40893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</row>
    <row r="3532" spans="1:8" x14ac:dyDescent="0.3">
      <c r="A3532" t="s">
        <v>32</v>
      </c>
      <c r="B3532" s="1">
        <v>40900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</row>
    <row r="3533" spans="1:8" x14ac:dyDescent="0.3">
      <c r="A3533" t="s">
        <v>32</v>
      </c>
      <c r="B3533" s="1">
        <v>40907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</row>
    <row r="3534" spans="1:8" x14ac:dyDescent="0.3">
      <c r="A3534" t="s">
        <v>32</v>
      </c>
      <c r="B3534" s="1">
        <v>40914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</row>
    <row r="3535" spans="1:8" x14ac:dyDescent="0.3">
      <c r="A3535" t="s">
        <v>32</v>
      </c>
      <c r="B3535" s="1">
        <v>40921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</row>
    <row r="3536" spans="1:8" x14ac:dyDescent="0.3">
      <c r="A3536" t="s">
        <v>32</v>
      </c>
      <c r="B3536" s="1">
        <v>40928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</row>
    <row r="3537" spans="1:8" x14ac:dyDescent="0.3">
      <c r="A3537" t="s">
        <v>32</v>
      </c>
      <c r="B3537" s="1">
        <v>40935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</row>
    <row r="3538" spans="1:8" x14ac:dyDescent="0.3">
      <c r="A3538" t="s">
        <v>32</v>
      </c>
      <c r="B3538" s="1">
        <v>40942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</row>
    <row r="3539" spans="1:8" x14ac:dyDescent="0.3">
      <c r="A3539" t="s">
        <v>32</v>
      </c>
      <c r="B3539" s="1">
        <v>40949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</row>
    <row r="3540" spans="1:8" x14ac:dyDescent="0.3">
      <c r="A3540" t="s">
        <v>32</v>
      </c>
      <c r="B3540" s="1">
        <v>40956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</row>
    <row r="3541" spans="1:8" x14ac:dyDescent="0.3">
      <c r="A3541" t="s">
        <v>32</v>
      </c>
      <c r="B3541" s="1">
        <v>40963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</row>
    <row r="3542" spans="1:8" x14ac:dyDescent="0.3">
      <c r="A3542" t="s">
        <v>32</v>
      </c>
      <c r="B3542" s="1">
        <v>40970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</row>
    <row r="3543" spans="1:8" x14ac:dyDescent="0.3">
      <c r="A3543" t="s">
        <v>32</v>
      </c>
      <c r="B3543" s="1">
        <v>40977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</row>
    <row r="3544" spans="1:8" x14ac:dyDescent="0.3">
      <c r="A3544" t="s">
        <v>32</v>
      </c>
      <c r="B3544" s="1">
        <v>40984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</row>
    <row r="3545" spans="1:8" x14ac:dyDescent="0.3">
      <c r="A3545" t="s">
        <v>32</v>
      </c>
      <c r="B3545" s="1">
        <v>40991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</row>
    <row r="3546" spans="1:8" x14ac:dyDescent="0.3">
      <c r="A3546" t="s">
        <v>32</v>
      </c>
      <c r="B3546" s="1">
        <v>40998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</row>
    <row r="3547" spans="1:8" x14ac:dyDescent="0.3">
      <c r="A3547" t="s">
        <v>32</v>
      </c>
      <c r="B3547" s="1">
        <v>41005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</row>
    <row r="3548" spans="1:8" x14ac:dyDescent="0.3">
      <c r="A3548" t="s">
        <v>32</v>
      </c>
      <c r="B3548" s="1">
        <v>41012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</row>
    <row r="3549" spans="1:8" x14ac:dyDescent="0.3">
      <c r="A3549" t="s">
        <v>32</v>
      </c>
      <c r="B3549" s="1">
        <v>41019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</row>
    <row r="3550" spans="1:8" x14ac:dyDescent="0.3">
      <c r="A3550" t="s">
        <v>32</v>
      </c>
      <c r="B3550" s="1">
        <v>41026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</row>
    <row r="3551" spans="1:8" x14ac:dyDescent="0.3">
      <c r="A3551" t="s">
        <v>32</v>
      </c>
      <c r="B3551" s="1">
        <v>41033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</row>
    <row r="3552" spans="1:8" x14ac:dyDescent="0.3">
      <c r="A3552" t="s">
        <v>32</v>
      </c>
      <c r="B3552" s="1">
        <v>41040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</row>
    <row r="3553" spans="1:8" x14ac:dyDescent="0.3">
      <c r="A3553" t="s">
        <v>32</v>
      </c>
      <c r="B3553" s="1">
        <v>41047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</row>
    <row r="3554" spans="1:8" x14ac:dyDescent="0.3">
      <c r="A3554" t="s">
        <v>32</v>
      </c>
      <c r="B3554" s="1">
        <v>41054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</row>
    <row r="3555" spans="1:8" x14ac:dyDescent="0.3">
      <c r="A3555" t="s">
        <v>32</v>
      </c>
      <c r="B3555" s="1">
        <v>41061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</row>
    <row r="3556" spans="1:8" x14ac:dyDescent="0.3">
      <c r="A3556" t="s">
        <v>32</v>
      </c>
      <c r="B3556" s="1">
        <v>41068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</row>
    <row r="3557" spans="1:8" x14ac:dyDescent="0.3">
      <c r="A3557" t="s">
        <v>32</v>
      </c>
      <c r="B3557" s="1">
        <v>41075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</row>
    <row r="3558" spans="1:8" x14ac:dyDescent="0.3">
      <c r="A3558" t="s">
        <v>32</v>
      </c>
      <c r="B3558" s="1">
        <v>41082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</row>
    <row r="3559" spans="1:8" x14ac:dyDescent="0.3">
      <c r="A3559" t="s">
        <v>32</v>
      </c>
      <c r="B3559" s="1">
        <v>41089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</row>
    <row r="3560" spans="1:8" x14ac:dyDescent="0.3">
      <c r="A3560" t="s">
        <v>32</v>
      </c>
      <c r="B3560" s="1">
        <v>41096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</row>
    <row r="3561" spans="1:8" x14ac:dyDescent="0.3">
      <c r="A3561" t="s">
        <v>32</v>
      </c>
      <c r="B3561" s="1">
        <v>41103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</row>
    <row r="3562" spans="1:8" x14ac:dyDescent="0.3">
      <c r="A3562" t="s">
        <v>32</v>
      </c>
      <c r="B3562" s="1">
        <v>41110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</row>
    <row r="3563" spans="1:8" x14ac:dyDescent="0.3">
      <c r="A3563" t="s">
        <v>32</v>
      </c>
      <c r="B3563" s="1">
        <v>41117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</row>
    <row r="3564" spans="1:8" x14ac:dyDescent="0.3">
      <c r="A3564" t="s">
        <v>32</v>
      </c>
      <c r="B3564" s="1">
        <v>41124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</row>
    <row r="3565" spans="1:8" x14ac:dyDescent="0.3">
      <c r="A3565" t="s">
        <v>32</v>
      </c>
      <c r="B3565" s="1">
        <v>41131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</row>
    <row r="3566" spans="1:8" x14ac:dyDescent="0.3">
      <c r="A3566" t="s">
        <v>32</v>
      </c>
      <c r="B3566" s="1">
        <v>41138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</row>
    <row r="3567" spans="1:8" x14ac:dyDescent="0.3">
      <c r="A3567" t="s">
        <v>32</v>
      </c>
      <c r="B3567" s="1">
        <v>41145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</row>
    <row r="3568" spans="1:8" x14ac:dyDescent="0.3">
      <c r="A3568" t="s">
        <v>32</v>
      </c>
      <c r="B3568" s="1">
        <v>41152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 x14ac:dyDescent="0.3">
      <c r="A3569" t="s">
        <v>32</v>
      </c>
      <c r="B3569" s="1">
        <v>41159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</row>
    <row r="3570" spans="1:8" x14ac:dyDescent="0.3">
      <c r="A3570" t="s">
        <v>32</v>
      </c>
      <c r="B3570" s="1">
        <v>41166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</row>
    <row r="3571" spans="1:8" x14ac:dyDescent="0.3">
      <c r="A3571" t="s">
        <v>32</v>
      </c>
      <c r="B3571" s="1">
        <v>41173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</row>
    <row r="3572" spans="1:8" x14ac:dyDescent="0.3">
      <c r="A3572" t="s">
        <v>32</v>
      </c>
      <c r="B3572" s="1">
        <v>41180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</row>
    <row r="3573" spans="1:8" x14ac:dyDescent="0.3">
      <c r="A3573" t="s">
        <v>32</v>
      </c>
      <c r="B3573" s="1">
        <v>41187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</row>
    <row r="3574" spans="1:8" x14ac:dyDescent="0.3">
      <c r="A3574" t="s">
        <v>32</v>
      </c>
      <c r="B3574" s="1">
        <v>41194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</row>
    <row r="3575" spans="1:8" x14ac:dyDescent="0.3">
      <c r="A3575" t="s">
        <v>32</v>
      </c>
      <c r="B3575" s="1">
        <v>41201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</row>
    <row r="3576" spans="1:8" x14ac:dyDescent="0.3">
      <c r="A3576" t="s">
        <v>32</v>
      </c>
      <c r="B3576" s="1">
        <v>41208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</row>
    <row r="3577" spans="1:8" x14ac:dyDescent="0.3">
      <c r="A3577" t="s">
        <v>33</v>
      </c>
      <c r="B3577" s="1">
        <v>40214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</row>
    <row r="3578" spans="1:8" x14ac:dyDescent="0.3">
      <c r="A3578" t="s">
        <v>33</v>
      </c>
      <c r="B3578" s="1">
        <v>40221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</row>
    <row r="3579" spans="1:8" x14ac:dyDescent="0.3">
      <c r="A3579" t="s">
        <v>33</v>
      </c>
      <c r="B3579" s="1">
        <v>40228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</row>
    <row r="3580" spans="1:8" x14ac:dyDescent="0.3">
      <c r="A3580" t="s">
        <v>33</v>
      </c>
      <c r="B3580" s="1">
        <v>40235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</row>
    <row r="3581" spans="1:8" x14ac:dyDescent="0.3">
      <c r="A3581" t="s">
        <v>33</v>
      </c>
      <c r="B3581" s="1">
        <v>40242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</row>
    <row r="3582" spans="1:8" x14ac:dyDescent="0.3">
      <c r="A3582" t="s">
        <v>33</v>
      </c>
      <c r="B3582" s="1">
        <v>40249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</row>
    <row r="3583" spans="1:8" x14ac:dyDescent="0.3">
      <c r="A3583" t="s">
        <v>33</v>
      </c>
      <c r="B3583" s="1">
        <v>40256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</row>
    <row r="3584" spans="1:8" x14ac:dyDescent="0.3">
      <c r="A3584" t="s">
        <v>33</v>
      </c>
      <c r="B3584" s="1">
        <v>40263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</row>
    <row r="3585" spans="1:8" x14ac:dyDescent="0.3">
      <c r="A3585" t="s">
        <v>33</v>
      </c>
      <c r="B3585" s="1">
        <v>40270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</row>
    <row r="3586" spans="1:8" x14ac:dyDescent="0.3">
      <c r="A3586" t="s">
        <v>33</v>
      </c>
      <c r="B3586" s="1">
        <v>40277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</row>
    <row r="3587" spans="1:8" x14ac:dyDescent="0.3">
      <c r="A3587" t="s">
        <v>33</v>
      </c>
      <c r="B3587" s="1">
        <v>40284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</row>
    <row r="3588" spans="1:8" x14ac:dyDescent="0.3">
      <c r="A3588" t="s">
        <v>33</v>
      </c>
      <c r="B3588" s="1">
        <v>40291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</row>
    <row r="3589" spans="1:8" x14ac:dyDescent="0.3">
      <c r="A3589" t="s">
        <v>33</v>
      </c>
      <c r="B3589" s="1">
        <v>40298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</row>
    <row r="3590" spans="1:8" x14ac:dyDescent="0.3">
      <c r="A3590" t="s">
        <v>33</v>
      </c>
      <c r="B3590" s="1">
        <v>40305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</row>
    <row r="3591" spans="1:8" x14ac:dyDescent="0.3">
      <c r="A3591" t="s">
        <v>33</v>
      </c>
      <c r="B3591" s="1">
        <v>40312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</row>
    <row r="3592" spans="1:8" x14ac:dyDescent="0.3">
      <c r="A3592" t="s">
        <v>33</v>
      </c>
      <c r="B3592" s="1">
        <v>40319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</row>
    <row r="3593" spans="1:8" x14ac:dyDescent="0.3">
      <c r="A3593" t="s">
        <v>33</v>
      </c>
      <c r="B3593" s="1">
        <v>40326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</row>
    <row r="3594" spans="1:8" x14ac:dyDescent="0.3">
      <c r="A3594" t="s">
        <v>33</v>
      </c>
      <c r="B3594" s="1">
        <v>40333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</row>
    <row r="3595" spans="1:8" x14ac:dyDescent="0.3">
      <c r="A3595" t="s">
        <v>33</v>
      </c>
      <c r="B3595" s="1">
        <v>40340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</row>
    <row r="3596" spans="1:8" x14ac:dyDescent="0.3">
      <c r="A3596" t="s">
        <v>33</v>
      </c>
      <c r="B3596" s="1">
        <v>40347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</row>
    <row r="3597" spans="1:8" x14ac:dyDescent="0.3">
      <c r="A3597" t="s">
        <v>33</v>
      </c>
      <c r="B3597" s="1">
        <v>40354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</row>
    <row r="3598" spans="1:8" x14ac:dyDescent="0.3">
      <c r="A3598" t="s">
        <v>33</v>
      </c>
      <c r="B3598" s="1">
        <v>40361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</row>
    <row r="3599" spans="1:8" x14ac:dyDescent="0.3">
      <c r="A3599" t="s">
        <v>33</v>
      </c>
      <c r="B3599" s="1">
        <v>40368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</row>
    <row r="3600" spans="1:8" x14ac:dyDescent="0.3">
      <c r="A3600" t="s">
        <v>33</v>
      </c>
      <c r="B3600" s="1">
        <v>40375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</row>
    <row r="3601" spans="1:8" x14ac:dyDescent="0.3">
      <c r="A3601" t="s">
        <v>33</v>
      </c>
      <c r="B3601" s="1">
        <v>40382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</row>
    <row r="3602" spans="1:8" x14ac:dyDescent="0.3">
      <c r="A3602" t="s">
        <v>33</v>
      </c>
      <c r="B3602" s="1">
        <v>40389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</row>
    <row r="3603" spans="1:8" x14ac:dyDescent="0.3">
      <c r="A3603" t="s">
        <v>33</v>
      </c>
      <c r="B3603" s="1">
        <v>40396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</row>
    <row r="3604" spans="1:8" x14ac:dyDescent="0.3">
      <c r="A3604" t="s">
        <v>33</v>
      </c>
      <c r="B3604" s="1">
        <v>40403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</row>
    <row r="3605" spans="1:8" x14ac:dyDescent="0.3">
      <c r="A3605" t="s">
        <v>33</v>
      </c>
      <c r="B3605" s="1">
        <v>40410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</row>
    <row r="3606" spans="1:8" x14ac:dyDescent="0.3">
      <c r="A3606" t="s">
        <v>33</v>
      </c>
      <c r="B3606" s="1">
        <v>40417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</row>
    <row r="3607" spans="1:8" x14ac:dyDescent="0.3">
      <c r="A3607" t="s">
        <v>33</v>
      </c>
      <c r="B3607" s="1">
        <v>40424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</row>
    <row r="3608" spans="1:8" x14ac:dyDescent="0.3">
      <c r="A3608" t="s">
        <v>33</v>
      </c>
      <c r="B3608" s="1">
        <v>40431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</row>
    <row r="3609" spans="1:8" x14ac:dyDescent="0.3">
      <c r="A3609" t="s">
        <v>33</v>
      </c>
      <c r="B3609" s="1">
        <v>40438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</row>
    <row r="3610" spans="1:8" x14ac:dyDescent="0.3">
      <c r="A3610" t="s">
        <v>33</v>
      </c>
      <c r="B3610" s="1">
        <v>40445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</row>
    <row r="3611" spans="1:8" x14ac:dyDescent="0.3">
      <c r="A3611" t="s">
        <v>33</v>
      </c>
      <c r="B3611" s="1">
        <v>40452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</row>
    <row r="3612" spans="1:8" x14ac:dyDescent="0.3">
      <c r="A3612" t="s">
        <v>33</v>
      </c>
      <c r="B3612" s="1">
        <v>40459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</row>
    <row r="3613" spans="1:8" x14ac:dyDescent="0.3">
      <c r="A3613" t="s">
        <v>33</v>
      </c>
      <c r="B3613" s="1">
        <v>40466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</row>
    <row r="3614" spans="1:8" x14ac:dyDescent="0.3">
      <c r="A3614" t="s">
        <v>33</v>
      </c>
      <c r="B3614" s="1">
        <v>40473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</row>
    <row r="3615" spans="1:8" x14ac:dyDescent="0.3">
      <c r="A3615" t="s">
        <v>33</v>
      </c>
      <c r="B3615" s="1">
        <v>40480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</row>
    <row r="3616" spans="1:8" x14ac:dyDescent="0.3">
      <c r="A3616" t="s">
        <v>33</v>
      </c>
      <c r="B3616" s="1">
        <v>40487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</row>
    <row r="3617" spans="1:8" x14ac:dyDescent="0.3">
      <c r="A3617" t="s">
        <v>33</v>
      </c>
      <c r="B3617" s="1">
        <v>40494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</row>
    <row r="3618" spans="1:8" x14ac:dyDescent="0.3">
      <c r="A3618" t="s">
        <v>33</v>
      </c>
      <c r="B3618" s="1">
        <v>40501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</row>
    <row r="3619" spans="1:8" x14ac:dyDescent="0.3">
      <c r="A3619" t="s">
        <v>33</v>
      </c>
      <c r="B3619" s="1">
        <v>40508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</row>
    <row r="3620" spans="1:8" x14ac:dyDescent="0.3">
      <c r="A3620" t="s">
        <v>33</v>
      </c>
      <c r="B3620" s="1">
        <v>40515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</row>
    <row r="3621" spans="1:8" x14ac:dyDescent="0.3">
      <c r="A3621" t="s">
        <v>33</v>
      </c>
      <c r="B3621" s="1">
        <v>40522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</row>
    <row r="3622" spans="1:8" x14ac:dyDescent="0.3">
      <c r="A3622" t="s">
        <v>33</v>
      </c>
      <c r="B3622" s="1">
        <v>40529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</row>
    <row r="3623" spans="1:8" x14ac:dyDescent="0.3">
      <c r="A3623" t="s">
        <v>33</v>
      </c>
      <c r="B3623" s="1">
        <v>40536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</row>
    <row r="3624" spans="1:8" x14ac:dyDescent="0.3">
      <c r="A3624" t="s">
        <v>33</v>
      </c>
      <c r="B3624" s="1">
        <v>40543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</row>
    <row r="3625" spans="1:8" x14ac:dyDescent="0.3">
      <c r="A3625" t="s">
        <v>33</v>
      </c>
      <c r="B3625" s="1">
        <v>40550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</row>
    <row r="3626" spans="1:8" x14ac:dyDescent="0.3">
      <c r="A3626" t="s">
        <v>33</v>
      </c>
      <c r="B3626" s="1">
        <v>40557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</row>
    <row r="3627" spans="1:8" x14ac:dyDescent="0.3">
      <c r="A3627" t="s">
        <v>33</v>
      </c>
      <c r="B3627" s="1">
        <v>40564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</row>
    <row r="3628" spans="1:8" x14ac:dyDescent="0.3">
      <c r="A3628" t="s">
        <v>33</v>
      </c>
      <c r="B3628" s="1">
        <v>40571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</row>
    <row r="3629" spans="1:8" x14ac:dyDescent="0.3">
      <c r="A3629" t="s">
        <v>33</v>
      </c>
      <c r="B3629" s="1">
        <v>40578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</row>
    <row r="3630" spans="1:8" x14ac:dyDescent="0.3">
      <c r="A3630" t="s">
        <v>33</v>
      </c>
      <c r="B3630" s="1">
        <v>40585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</row>
    <row r="3631" spans="1:8" x14ac:dyDescent="0.3">
      <c r="A3631" t="s">
        <v>33</v>
      </c>
      <c r="B3631" s="1">
        <v>40592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</row>
    <row r="3632" spans="1:8" x14ac:dyDescent="0.3">
      <c r="A3632" t="s">
        <v>33</v>
      </c>
      <c r="B3632" s="1">
        <v>40599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</row>
    <row r="3633" spans="1:8" x14ac:dyDescent="0.3">
      <c r="A3633" t="s">
        <v>33</v>
      </c>
      <c r="B3633" s="1">
        <v>40606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</row>
    <row r="3634" spans="1:8" x14ac:dyDescent="0.3">
      <c r="A3634" t="s">
        <v>33</v>
      </c>
      <c r="B3634" s="1">
        <v>40613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 x14ac:dyDescent="0.3">
      <c r="A3635" t="s">
        <v>33</v>
      </c>
      <c r="B3635" s="1">
        <v>40620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</row>
    <row r="3636" spans="1:8" x14ac:dyDescent="0.3">
      <c r="A3636" t="s">
        <v>33</v>
      </c>
      <c r="B3636" s="1">
        <v>40627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</row>
    <row r="3637" spans="1:8" x14ac:dyDescent="0.3">
      <c r="A3637" t="s">
        <v>33</v>
      </c>
      <c r="B3637" s="1">
        <v>40634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</row>
    <row r="3638" spans="1:8" x14ac:dyDescent="0.3">
      <c r="A3638" t="s">
        <v>33</v>
      </c>
      <c r="B3638" s="1">
        <v>40641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</row>
    <row r="3639" spans="1:8" x14ac:dyDescent="0.3">
      <c r="A3639" t="s">
        <v>33</v>
      </c>
      <c r="B3639" s="1">
        <v>40648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</row>
    <row r="3640" spans="1:8" x14ac:dyDescent="0.3">
      <c r="A3640" t="s">
        <v>33</v>
      </c>
      <c r="B3640" s="1">
        <v>40655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</row>
    <row r="3641" spans="1:8" x14ac:dyDescent="0.3">
      <c r="A3641" t="s">
        <v>33</v>
      </c>
      <c r="B3641" s="1">
        <v>40662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</row>
    <row r="3642" spans="1:8" x14ac:dyDescent="0.3">
      <c r="A3642" t="s">
        <v>33</v>
      </c>
      <c r="B3642" s="1">
        <v>40669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</row>
    <row r="3643" spans="1:8" x14ac:dyDescent="0.3">
      <c r="A3643" t="s">
        <v>33</v>
      </c>
      <c r="B3643" s="1">
        <v>40676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</row>
    <row r="3644" spans="1:8" x14ac:dyDescent="0.3">
      <c r="A3644" t="s">
        <v>33</v>
      </c>
      <c r="B3644" s="1">
        <v>40683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</row>
    <row r="3645" spans="1:8" x14ac:dyDescent="0.3">
      <c r="A3645" t="s">
        <v>33</v>
      </c>
      <c r="B3645" s="1">
        <v>40690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</row>
    <row r="3646" spans="1:8" x14ac:dyDescent="0.3">
      <c r="A3646" t="s">
        <v>33</v>
      </c>
      <c r="B3646" s="1">
        <v>40697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</row>
    <row r="3647" spans="1:8" x14ac:dyDescent="0.3">
      <c r="A3647" t="s">
        <v>33</v>
      </c>
      <c r="B3647" s="1">
        <v>40704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</row>
    <row r="3648" spans="1:8" x14ac:dyDescent="0.3">
      <c r="A3648" t="s">
        <v>33</v>
      </c>
      <c r="B3648" s="1">
        <v>40711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</row>
    <row r="3649" spans="1:8" x14ac:dyDescent="0.3">
      <c r="A3649" t="s">
        <v>33</v>
      </c>
      <c r="B3649" s="1">
        <v>40718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</row>
    <row r="3650" spans="1:8" x14ac:dyDescent="0.3">
      <c r="A3650" t="s">
        <v>33</v>
      </c>
      <c r="B3650" s="1">
        <v>40725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</row>
    <row r="3651" spans="1:8" x14ac:dyDescent="0.3">
      <c r="A3651" t="s">
        <v>33</v>
      </c>
      <c r="B3651" s="1">
        <v>40732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</row>
    <row r="3652" spans="1:8" x14ac:dyDescent="0.3">
      <c r="A3652" t="s">
        <v>33</v>
      </c>
      <c r="B3652" s="1">
        <v>40739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</row>
    <row r="3653" spans="1:8" x14ac:dyDescent="0.3">
      <c r="A3653" t="s">
        <v>33</v>
      </c>
      <c r="B3653" s="1">
        <v>40746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</row>
    <row r="3654" spans="1:8" x14ac:dyDescent="0.3">
      <c r="A3654" t="s">
        <v>33</v>
      </c>
      <c r="B3654" s="1">
        <v>40753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</row>
    <row r="3655" spans="1:8" x14ac:dyDescent="0.3">
      <c r="A3655" t="s">
        <v>33</v>
      </c>
      <c r="B3655" s="1">
        <v>40760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</row>
    <row r="3656" spans="1:8" x14ac:dyDescent="0.3">
      <c r="A3656" t="s">
        <v>33</v>
      </c>
      <c r="B3656" s="1">
        <v>40767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</row>
    <row r="3657" spans="1:8" x14ac:dyDescent="0.3">
      <c r="A3657" t="s">
        <v>33</v>
      </c>
      <c r="B3657" s="1">
        <v>40774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</row>
    <row r="3658" spans="1:8" x14ac:dyDescent="0.3">
      <c r="A3658" t="s">
        <v>33</v>
      </c>
      <c r="B3658" s="1">
        <v>40781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</row>
    <row r="3659" spans="1:8" x14ac:dyDescent="0.3">
      <c r="A3659" t="s">
        <v>33</v>
      </c>
      <c r="B3659" s="1">
        <v>40788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</row>
    <row r="3660" spans="1:8" x14ac:dyDescent="0.3">
      <c r="A3660" t="s">
        <v>33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</row>
    <row r="3661" spans="1:8" x14ac:dyDescent="0.3">
      <c r="A3661" t="s">
        <v>33</v>
      </c>
      <c r="B3661" s="1">
        <v>40802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</row>
    <row r="3662" spans="1:8" x14ac:dyDescent="0.3">
      <c r="A3662" t="s">
        <v>33</v>
      </c>
      <c r="B3662" s="1">
        <v>40809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</row>
    <row r="3663" spans="1:8" x14ac:dyDescent="0.3">
      <c r="A3663" t="s">
        <v>33</v>
      </c>
      <c r="B3663" s="1">
        <v>40816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</row>
    <row r="3664" spans="1:8" x14ac:dyDescent="0.3">
      <c r="A3664" t="s">
        <v>33</v>
      </c>
      <c r="B3664" s="1">
        <v>40823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</row>
    <row r="3665" spans="1:8" x14ac:dyDescent="0.3">
      <c r="A3665" t="s">
        <v>33</v>
      </c>
      <c r="B3665" s="1">
        <v>40830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</row>
    <row r="3666" spans="1:8" x14ac:dyDescent="0.3">
      <c r="A3666" t="s">
        <v>33</v>
      </c>
      <c r="B3666" s="1">
        <v>40837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</row>
    <row r="3667" spans="1:8" x14ac:dyDescent="0.3">
      <c r="A3667" t="s">
        <v>33</v>
      </c>
      <c r="B3667" s="1">
        <v>40844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</row>
    <row r="3668" spans="1:8" x14ac:dyDescent="0.3">
      <c r="A3668" t="s">
        <v>33</v>
      </c>
      <c r="B3668" s="1">
        <v>40851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</row>
    <row r="3669" spans="1:8" x14ac:dyDescent="0.3">
      <c r="A3669" t="s">
        <v>33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</row>
    <row r="3670" spans="1:8" x14ac:dyDescent="0.3">
      <c r="A3670" t="s">
        <v>33</v>
      </c>
      <c r="B3670" s="1">
        <v>40865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</row>
    <row r="3671" spans="1:8" x14ac:dyDescent="0.3">
      <c r="A3671" t="s">
        <v>33</v>
      </c>
      <c r="B3671" s="1">
        <v>40872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</row>
    <row r="3672" spans="1:8" x14ac:dyDescent="0.3">
      <c r="A3672" t="s">
        <v>33</v>
      </c>
      <c r="B3672" s="1">
        <v>40879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</row>
    <row r="3673" spans="1:8" x14ac:dyDescent="0.3">
      <c r="A3673" t="s">
        <v>33</v>
      </c>
      <c r="B3673" s="1">
        <v>40886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</row>
    <row r="3674" spans="1:8" x14ac:dyDescent="0.3">
      <c r="A3674" t="s">
        <v>33</v>
      </c>
      <c r="B3674" s="1">
        <v>40893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</row>
    <row r="3675" spans="1:8" x14ac:dyDescent="0.3">
      <c r="A3675" t="s">
        <v>33</v>
      </c>
      <c r="B3675" s="1">
        <v>40900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</row>
    <row r="3676" spans="1:8" x14ac:dyDescent="0.3">
      <c r="A3676" t="s">
        <v>33</v>
      </c>
      <c r="B3676" s="1">
        <v>40907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</row>
    <row r="3677" spans="1:8" x14ac:dyDescent="0.3">
      <c r="A3677" t="s">
        <v>33</v>
      </c>
      <c r="B3677" s="1">
        <v>40914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</row>
    <row r="3678" spans="1:8" x14ac:dyDescent="0.3">
      <c r="A3678" t="s">
        <v>33</v>
      </c>
      <c r="B3678" s="1">
        <v>40921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</row>
    <row r="3679" spans="1:8" x14ac:dyDescent="0.3">
      <c r="A3679" t="s">
        <v>33</v>
      </c>
      <c r="B3679" s="1">
        <v>40928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</row>
    <row r="3680" spans="1:8" x14ac:dyDescent="0.3">
      <c r="A3680" t="s">
        <v>33</v>
      </c>
      <c r="B3680" s="1">
        <v>40935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</row>
    <row r="3681" spans="1:8" x14ac:dyDescent="0.3">
      <c r="A3681" t="s">
        <v>33</v>
      </c>
      <c r="B3681" s="1">
        <v>40942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</row>
    <row r="3682" spans="1:8" x14ac:dyDescent="0.3">
      <c r="A3682" t="s">
        <v>33</v>
      </c>
      <c r="B3682" s="1">
        <v>40949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</row>
    <row r="3683" spans="1:8" x14ac:dyDescent="0.3">
      <c r="A3683" t="s">
        <v>33</v>
      </c>
      <c r="B3683" s="1">
        <v>40956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</row>
    <row r="3684" spans="1:8" x14ac:dyDescent="0.3">
      <c r="A3684" t="s">
        <v>33</v>
      </c>
      <c r="B3684" s="1">
        <v>40963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</row>
    <row r="3685" spans="1:8" x14ac:dyDescent="0.3">
      <c r="A3685" t="s">
        <v>33</v>
      </c>
      <c r="B3685" s="1">
        <v>40970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</row>
    <row r="3686" spans="1:8" x14ac:dyDescent="0.3">
      <c r="A3686" t="s">
        <v>33</v>
      </c>
      <c r="B3686" s="1">
        <v>40977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</row>
    <row r="3687" spans="1:8" x14ac:dyDescent="0.3">
      <c r="A3687" t="s">
        <v>33</v>
      </c>
      <c r="B3687" s="1">
        <v>40984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</row>
    <row r="3688" spans="1:8" x14ac:dyDescent="0.3">
      <c r="A3688" t="s">
        <v>33</v>
      </c>
      <c r="B3688" s="1">
        <v>40991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</row>
    <row r="3689" spans="1:8" x14ac:dyDescent="0.3">
      <c r="A3689" t="s">
        <v>33</v>
      </c>
      <c r="B3689" s="1">
        <v>40998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</row>
    <row r="3690" spans="1:8" x14ac:dyDescent="0.3">
      <c r="A3690" t="s">
        <v>33</v>
      </c>
      <c r="B3690" s="1">
        <v>41005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</row>
    <row r="3691" spans="1:8" x14ac:dyDescent="0.3">
      <c r="A3691" t="s">
        <v>33</v>
      </c>
      <c r="B3691" s="1">
        <v>41012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</row>
    <row r="3692" spans="1:8" x14ac:dyDescent="0.3">
      <c r="A3692" t="s">
        <v>33</v>
      </c>
      <c r="B3692" s="1">
        <v>41019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</row>
    <row r="3693" spans="1:8" x14ac:dyDescent="0.3">
      <c r="A3693" t="s">
        <v>33</v>
      </c>
      <c r="B3693" s="1">
        <v>41026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</row>
    <row r="3694" spans="1:8" x14ac:dyDescent="0.3">
      <c r="A3694" t="s">
        <v>33</v>
      </c>
      <c r="B3694" s="1">
        <v>41033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</row>
    <row r="3695" spans="1:8" x14ac:dyDescent="0.3">
      <c r="A3695" t="s">
        <v>33</v>
      </c>
      <c r="B3695" s="1">
        <v>41040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</row>
    <row r="3696" spans="1:8" x14ac:dyDescent="0.3">
      <c r="A3696" t="s">
        <v>33</v>
      </c>
      <c r="B3696" s="1">
        <v>41047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</row>
    <row r="3697" spans="1:8" x14ac:dyDescent="0.3">
      <c r="A3697" t="s">
        <v>33</v>
      </c>
      <c r="B3697" s="1">
        <v>41054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</row>
    <row r="3698" spans="1:8" x14ac:dyDescent="0.3">
      <c r="A3698" t="s">
        <v>33</v>
      </c>
      <c r="B3698" s="1">
        <v>41061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</row>
    <row r="3699" spans="1:8" x14ac:dyDescent="0.3">
      <c r="A3699" t="s">
        <v>33</v>
      </c>
      <c r="B3699" s="1">
        <v>41068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</row>
    <row r="3700" spans="1:8" x14ac:dyDescent="0.3">
      <c r="A3700" t="s">
        <v>33</v>
      </c>
      <c r="B3700" s="1">
        <v>41075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</row>
    <row r="3701" spans="1:8" x14ac:dyDescent="0.3">
      <c r="A3701" t="s">
        <v>33</v>
      </c>
      <c r="B3701" s="1">
        <v>41082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</row>
    <row r="3702" spans="1:8" x14ac:dyDescent="0.3">
      <c r="A3702" t="s">
        <v>33</v>
      </c>
      <c r="B3702" s="1">
        <v>41089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</row>
    <row r="3703" spans="1:8" x14ac:dyDescent="0.3">
      <c r="A3703" t="s">
        <v>33</v>
      </c>
      <c r="B3703" s="1">
        <v>41096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</row>
    <row r="3704" spans="1:8" x14ac:dyDescent="0.3">
      <c r="A3704" t="s">
        <v>33</v>
      </c>
      <c r="B3704" s="1">
        <v>41103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</row>
    <row r="3705" spans="1:8" x14ac:dyDescent="0.3">
      <c r="A3705" t="s">
        <v>33</v>
      </c>
      <c r="B3705" s="1">
        <v>41110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</row>
    <row r="3706" spans="1:8" x14ac:dyDescent="0.3">
      <c r="A3706" t="s">
        <v>33</v>
      </c>
      <c r="B3706" s="1">
        <v>41117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</row>
    <row r="3707" spans="1:8" x14ac:dyDescent="0.3">
      <c r="A3707" t="s">
        <v>33</v>
      </c>
      <c r="B3707" s="1">
        <v>41124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</row>
    <row r="3708" spans="1:8" x14ac:dyDescent="0.3">
      <c r="A3708" t="s">
        <v>33</v>
      </c>
      <c r="B3708" s="1">
        <v>41131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</row>
    <row r="3709" spans="1:8" x14ac:dyDescent="0.3">
      <c r="A3709" t="s">
        <v>33</v>
      </c>
      <c r="B3709" s="1">
        <v>41138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</row>
    <row r="3710" spans="1:8" x14ac:dyDescent="0.3">
      <c r="A3710" t="s">
        <v>33</v>
      </c>
      <c r="B3710" s="1">
        <v>41145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</row>
    <row r="3711" spans="1:8" x14ac:dyDescent="0.3">
      <c r="A3711" t="s">
        <v>33</v>
      </c>
      <c r="B3711" s="1">
        <v>41152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</row>
    <row r="3712" spans="1:8" x14ac:dyDescent="0.3">
      <c r="A3712" t="s">
        <v>33</v>
      </c>
      <c r="B3712" s="1">
        <v>41159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</row>
    <row r="3713" spans="1:8" x14ac:dyDescent="0.3">
      <c r="A3713" t="s">
        <v>33</v>
      </c>
      <c r="B3713" s="1">
        <v>41166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</row>
    <row r="3714" spans="1:8" x14ac:dyDescent="0.3">
      <c r="A3714" t="s">
        <v>33</v>
      </c>
      <c r="B3714" s="1">
        <v>41173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</row>
    <row r="3715" spans="1:8" x14ac:dyDescent="0.3">
      <c r="A3715" t="s">
        <v>33</v>
      </c>
      <c r="B3715" s="1">
        <v>41180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</row>
    <row r="3716" spans="1:8" x14ac:dyDescent="0.3">
      <c r="A3716" t="s">
        <v>33</v>
      </c>
      <c r="B3716" s="1">
        <v>41187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</row>
    <row r="3717" spans="1:8" x14ac:dyDescent="0.3">
      <c r="A3717" t="s">
        <v>33</v>
      </c>
      <c r="B3717" s="1">
        <v>41194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</row>
    <row r="3718" spans="1:8" x14ac:dyDescent="0.3">
      <c r="A3718" t="s">
        <v>33</v>
      </c>
      <c r="B3718" s="1">
        <v>41201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</row>
    <row r="3719" spans="1:8" x14ac:dyDescent="0.3">
      <c r="A3719" t="s">
        <v>33</v>
      </c>
      <c r="B3719" s="1">
        <v>41208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</row>
    <row r="3720" spans="1:8" x14ac:dyDescent="0.3">
      <c r="A3720" t="s">
        <v>34</v>
      </c>
      <c r="B3720" s="1">
        <v>40214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</row>
    <row r="3721" spans="1:8" x14ac:dyDescent="0.3">
      <c r="A3721" t="s">
        <v>34</v>
      </c>
      <c r="B3721" s="1">
        <v>40221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</row>
    <row r="3722" spans="1:8" x14ac:dyDescent="0.3">
      <c r="A3722" t="s">
        <v>34</v>
      </c>
      <c r="B3722" s="1">
        <v>40228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</row>
    <row r="3723" spans="1:8" x14ac:dyDescent="0.3">
      <c r="A3723" t="s">
        <v>34</v>
      </c>
      <c r="B3723" s="1">
        <v>40235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</row>
    <row r="3724" spans="1:8" x14ac:dyDescent="0.3">
      <c r="A3724" t="s">
        <v>34</v>
      </c>
      <c r="B3724" s="1">
        <v>40242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</row>
    <row r="3725" spans="1:8" x14ac:dyDescent="0.3">
      <c r="A3725" t="s">
        <v>34</v>
      </c>
      <c r="B3725" s="1">
        <v>40249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</row>
    <row r="3726" spans="1:8" x14ac:dyDescent="0.3">
      <c r="A3726" t="s">
        <v>34</v>
      </c>
      <c r="B3726" s="1">
        <v>40256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</row>
    <row r="3727" spans="1:8" x14ac:dyDescent="0.3">
      <c r="A3727" t="s">
        <v>34</v>
      </c>
      <c r="B3727" s="1">
        <v>40263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</row>
    <row r="3728" spans="1:8" x14ac:dyDescent="0.3">
      <c r="A3728" t="s">
        <v>34</v>
      </c>
      <c r="B3728" s="1">
        <v>40270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</row>
    <row r="3729" spans="1:8" x14ac:dyDescent="0.3">
      <c r="A3729" t="s">
        <v>34</v>
      </c>
      <c r="B3729" s="1">
        <v>40277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</row>
    <row r="3730" spans="1:8" x14ac:dyDescent="0.3">
      <c r="A3730" t="s">
        <v>34</v>
      </c>
      <c r="B3730" s="1">
        <v>40284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</row>
    <row r="3731" spans="1:8" x14ac:dyDescent="0.3">
      <c r="A3731" t="s">
        <v>34</v>
      </c>
      <c r="B3731" s="1">
        <v>40291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</row>
    <row r="3732" spans="1:8" x14ac:dyDescent="0.3">
      <c r="A3732" t="s">
        <v>34</v>
      </c>
      <c r="B3732" s="1">
        <v>40298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</row>
    <row r="3733" spans="1:8" x14ac:dyDescent="0.3">
      <c r="A3733" t="s">
        <v>34</v>
      </c>
      <c r="B3733" s="1">
        <v>40305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</row>
    <row r="3734" spans="1:8" x14ac:dyDescent="0.3">
      <c r="A3734" t="s">
        <v>34</v>
      </c>
      <c r="B3734" s="1">
        <v>40312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</row>
    <row r="3735" spans="1:8" x14ac:dyDescent="0.3">
      <c r="A3735" t="s">
        <v>34</v>
      </c>
      <c r="B3735" s="1">
        <v>40319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</row>
    <row r="3736" spans="1:8" x14ac:dyDescent="0.3">
      <c r="A3736" t="s">
        <v>34</v>
      </c>
      <c r="B3736" s="1">
        <v>40326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</row>
    <row r="3737" spans="1:8" x14ac:dyDescent="0.3">
      <c r="A3737" t="s">
        <v>34</v>
      </c>
      <c r="B3737" s="1">
        <v>40333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</row>
    <row r="3738" spans="1:8" x14ac:dyDescent="0.3">
      <c r="A3738" t="s">
        <v>34</v>
      </c>
      <c r="B3738" s="1">
        <v>40340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</row>
    <row r="3739" spans="1:8" x14ac:dyDescent="0.3">
      <c r="A3739" t="s">
        <v>34</v>
      </c>
      <c r="B3739" s="1">
        <v>40347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</row>
    <row r="3740" spans="1:8" x14ac:dyDescent="0.3">
      <c r="A3740" t="s">
        <v>34</v>
      </c>
      <c r="B3740" s="1">
        <v>40354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</row>
    <row r="3741" spans="1:8" x14ac:dyDescent="0.3">
      <c r="A3741" t="s">
        <v>34</v>
      </c>
      <c r="B3741" s="1">
        <v>40361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</row>
    <row r="3742" spans="1:8" x14ac:dyDescent="0.3">
      <c r="A3742" t="s">
        <v>34</v>
      </c>
      <c r="B3742" s="1">
        <v>40368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</row>
    <row r="3743" spans="1:8" x14ac:dyDescent="0.3">
      <c r="A3743" t="s">
        <v>34</v>
      </c>
      <c r="B3743" s="1">
        <v>40375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</row>
    <row r="3744" spans="1:8" x14ac:dyDescent="0.3">
      <c r="A3744" t="s">
        <v>34</v>
      </c>
      <c r="B3744" s="1">
        <v>40382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</row>
    <row r="3745" spans="1:8" x14ac:dyDescent="0.3">
      <c r="A3745" t="s">
        <v>34</v>
      </c>
      <c r="B3745" s="1">
        <v>40389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</row>
    <row r="3746" spans="1:8" x14ac:dyDescent="0.3">
      <c r="A3746" t="s">
        <v>34</v>
      </c>
      <c r="B3746" s="1">
        <v>40396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</row>
    <row r="3747" spans="1:8" x14ac:dyDescent="0.3">
      <c r="A3747" t="s">
        <v>34</v>
      </c>
      <c r="B3747" s="1">
        <v>40403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</row>
    <row r="3748" spans="1:8" x14ac:dyDescent="0.3">
      <c r="A3748" t="s">
        <v>34</v>
      </c>
      <c r="B3748" s="1">
        <v>40410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</row>
    <row r="3749" spans="1:8" x14ac:dyDescent="0.3">
      <c r="A3749" t="s">
        <v>34</v>
      </c>
      <c r="B3749" s="1">
        <v>40417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</row>
    <row r="3750" spans="1:8" x14ac:dyDescent="0.3">
      <c r="A3750" t="s">
        <v>34</v>
      </c>
      <c r="B3750" s="1">
        <v>40424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</row>
    <row r="3751" spans="1:8" x14ac:dyDescent="0.3">
      <c r="A3751" t="s">
        <v>34</v>
      </c>
      <c r="B3751" s="1">
        <v>40431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</row>
    <row r="3752" spans="1:8" x14ac:dyDescent="0.3">
      <c r="A3752" t="s">
        <v>34</v>
      </c>
      <c r="B3752" s="1">
        <v>40438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</row>
    <row r="3753" spans="1:8" x14ac:dyDescent="0.3">
      <c r="A3753" t="s">
        <v>34</v>
      </c>
      <c r="B3753" s="1">
        <v>40445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</row>
    <row r="3754" spans="1:8" x14ac:dyDescent="0.3">
      <c r="A3754" t="s">
        <v>34</v>
      </c>
      <c r="B3754" s="1">
        <v>40452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</row>
    <row r="3755" spans="1:8" x14ac:dyDescent="0.3">
      <c r="A3755" t="s">
        <v>34</v>
      </c>
      <c r="B3755" s="1">
        <v>40459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</row>
    <row r="3756" spans="1:8" x14ac:dyDescent="0.3">
      <c r="A3756" t="s">
        <v>34</v>
      </c>
      <c r="B3756" s="1">
        <v>40466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</row>
    <row r="3757" spans="1:8" x14ac:dyDescent="0.3">
      <c r="A3757" t="s">
        <v>34</v>
      </c>
      <c r="B3757" s="1">
        <v>40473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</row>
    <row r="3758" spans="1:8" x14ac:dyDescent="0.3">
      <c r="A3758" t="s">
        <v>34</v>
      </c>
      <c r="B3758" s="1">
        <v>40480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</row>
    <row r="3759" spans="1:8" x14ac:dyDescent="0.3">
      <c r="A3759" t="s">
        <v>34</v>
      </c>
      <c r="B3759" s="1">
        <v>40487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</row>
    <row r="3760" spans="1:8" x14ac:dyDescent="0.3">
      <c r="A3760" t="s">
        <v>34</v>
      </c>
      <c r="B3760" s="1">
        <v>40494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</row>
    <row r="3761" spans="1:8" x14ac:dyDescent="0.3">
      <c r="A3761" t="s">
        <v>34</v>
      </c>
      <c r="B3761" s="1">
        <v>40501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</row>
    <row r="3762" spans="1:8" x14ac:dyDescent="0.3">
      <c r="A3762" t="s">
        <v>34</v>
      </c>
      <c r="B3762" s="1">
        <v>40508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</row>
    <row r="3763" spans="1:8" x14ac:dyDescent="0.3">
      <c r="A3763" t="s">
        <v>34</v>
      </c>
      <c r="B3763" s="1">
        <v>40515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</row>
    <row r="3764" spans="1:8" x14ac:dyDescent="0.3">
      <c r="A3764" t="s">
        <v>34</v>
      </c>
      <c r="B3764" s="1">
        <v>40522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</row>
    <row r="3765" spans="1:8" x14ac:dyDescent="0.3">
      <c r="A3765" t="s">
        <v>34</v>
      </c>
      <c r="B3765" s="1">
        <v>40529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</row>
    <row r="3766" spans="1:8" x14ac:dyDescent="0.3">
      <c r="A3766" t="s">
        <v>34</v>
      </c>
      <c r="B3766" s="1">
        <v>40536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</row>
    <row r="3767" spans="1:8" x14ac:dyDescent="0.3">
      <c r="A3767" t="s">
        <v>34</v>
      </c>
      <c r="B3767" s="1">
        <v>40543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</row>
    <row r="3768" spans="1:8" x14ac:dyDescent="0.3">
      <c r="A3768" t="s">
        <v>34</v>
      </c>
      <c r="B3768" s="1">
        <v>40550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</row>
    <row r="3769" spans="1:8" x14ac:dyDescent="0.3">
      <c r="A3769" t="s">
        <v>34</v>
      </c>
      <c r="B3769" s="1">
        <v>40557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</row>
    <row r="3770" spans="1:8" x14ac:dyDescent="0.3">
      <c r="A3770" t="s">
        <v>34</v>
      </c>
      <c r="B3770" s="1">
        <v>40564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</row>
    <row r="3771" spans="1:8" x14ac:dyDescent="0.3">
      <c r="A3771" t="s">
        <v>34</v>
      </c>
      <c r="B3771" s="1">
        <v>40571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</row>
    <row r="3772" spans="1:8" x14ac:dyDescent="0.3">
      <c r="A3772" t="s">
        <v>34</v>
      </c>
      <c r="B3772" s="1">
        <v>40578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</row>
    <row r="3773" spans="1:8" x14ac:dyDescent="0.3">
      <c r="A3773" t="s">
        <v>34</v>
      </c>
      <c r="B3773" s="1">
        <v>40585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</row>
    <row r="3774" spans="1:8" x14ac:dyDescent="0.3">
      <c r="A3774" t="s">
        <v>34</v>
      </c>
      <c r="B3774" s="1">
        <v>40592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 x14ac:dyDescent="0.3">
      <c r="A3775" t="s">
        <v>34</v>
      </c>
      <c r="B3775" s="1">
        <v>40599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</row>
    <row r="3776" spans="1:8" x14ac:dyDescent="0.3">
      <c r="A3776" t="s">
        <v>34</v>
      </c>
      <c r="B3776" s="1">
        <v>40606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 x14ac:dyDescent="0.3">
      <c r="A3777" t="s">
        <v>34</v>
      </c>
      <c r="B3777" s="1">
        <v>40613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</row>
    <row r="3778" spans="1:8" x14ac:dyDescent="0.3">
      <c r="A3778" t="s">
        <v>34</v>
      </c>
      <c r="B3778" s="1">
        <v>40620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</row>
    <row r="3779" spans="1:8" x14ac:dyDescent="0.3">
      <c r="A3779" t="s">
        <v>34</v>
      </c>
      <c r="B3779" s="1">
        <v>40627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</row>
    <row r="3780" spans="1:8" x14ac:dyDescent="0.3">
      <c r="A3780" t="s">
        <v>34</v>
      </c>
      <c r="B3780" s="1">
        <v>40634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</row>
    <row r="3781" spans="1:8" x14ac:dyDescent="0.3">
      <c r="A3781" t="s">
        <v>34</v>
      </c>
      <c r="B3781" s="1">
        <v>40641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</row>
    <row r="3782" spans="1:8" x14ac:dyDescent="0.3">
      <c r="A3782" t="s">
        <v>34</v>
      </c>
      <c r="B3782" s="1">
        <v>40648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</row>
    <row r="3783" spans="1:8" x14ac:dyDescent="0.3">
      <c r="A3783" t="s">
        <v>34</v>
      </c>
      <c r="B3783" s="1">
        <v>40655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</row>
    <row r="3784" spans="1:8" x14ac:dyDescent="0.3">
      <c r="A3784" t="s">
        <v>34</v>
      </c>
      <c r="B3784" s="1">
        <v>40662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</row>
    <row r="3785" spans="1:8" x14ac:dyDescent="0.3">
      <c r="A3785" t="s">
        <v>34</v>
      </c>
      <c r="B3785" s="1">
        <v>40669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</row>
    <row r="3786" spans="1:8" x14ac:dyDescent="0.3">
      <c r="A3786" t="s">
        <v>34</v>
      </c>
      <c r="B3786" s="1">
        <v>40676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</row>
    <row r="3787" spans="1:8" x14ac:dyDescent="0.3">
      <c r="A3787" t="s">
        <v>34</v>
      </c>
      <c r="B3787" s="1">
        <v>40683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</row>
    <row r="3788" spans="1:8" x14ac:dyDescent="0.3">
      <c r="A3788" t="s">
        <v>34</v>
      </c>
      <c r="B3788" s="1">
        <v>40690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</row>
    <row r="3789" spans="1:8" x14ac:dyDescent="0.3">
      <c r="A3789" t="s">
        <v>34</v>
      </c>
      <c r="B3789" s="1">
        <v>40697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</row>
    <row r="3790" spans="1:8" x14ac:dyDescent="0.3">
      <c r="A3790" t="s">
        <v>34</v>
      </c>
      <c r="B3790" s="1">
        <v>40704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</row>
    <row r="3791" spans="1:8" x14ac:dyDescent="0.3">
      <c r="A3791" t="s">
        <v>34</v>
      </c>
      <c r="B3791" s="1">
        <v>40711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</row>
    <row r="3792" spans="1:8" x14ac:dyDescent="0.3">
      <c r="A3792" t="s">
        <v>34</v>
      </c>
      <c r="B3792" s="1">
        <v>40718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</row>
    <row r="3793" spans="1:8" x14ac:dyDescent="0.3">
      <c r="A3793" t="s">
        <v>34</v>
      </c>
      <c r="B3793" s="1">
        <v>40725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</row>
    <row r="3794" spans="1:8" x14ac:dyDescent="0.3">
      <c r="A3794" t="s">
        <v>34</v>
      </c>
      <c r="B3794" s="1">
        <v>40732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</row>
    <row r="3795" spans="1:8" x14ac:dyDescent="0.3">
      <c r="A3795" t="s">
        <v>34</v>
      </c>
      <c r="B3795" s="1">
        <v>40739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</row>
    <row r="3796" spans="1:8" x14ac:dyDescent="0.3">
      <c r="A3796" t="s">
        <v>34</v>
      </c>
      <c r="B3796" s="1">
        <v>40746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 x14ac:dyDescent="0.3">
      <c r="A3797" t="s">
        <v>34</v>
      </c>
      <c r="B3797" s="1">
        <v>40753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</row>
    <row r="3798" spans="1:8" x14ac:dyDescent="0.3">
      <c r="A3798" t="s">
        <v>34</v>
      </c>
      <c r="B3798" s="1">
        <v>40760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</row>
    <row r="3799" spans="1:8" x14ac:dyDescent="0.3">
      <c r="A3799" t="s">
        <v>34</v>
      </c>
      <c r="B3799" s="1">
        <v>40767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</row>
    <row r="3800" spans="1:8" x14ac:dyDescent="0.3">
      <c r="A3800" t="s">
        <v>34</v>
      </c>
      <c r="B3800" s="1">
        <v>40774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</row>
    <row r="3801" spans="1:8" x14ac:dyDescent="0.3">
      <c r="A3801" t="s">
        <v>34</v>
      </c>
      <c r="B3801" s="1">
        <v>40781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</row>
    <row r="3802" spans="1:8" x14ac:dyDescent="0.3">
      <c r="A3802" t="s">
        <v>34</v>
      </c>
      <c r="B3802" s="1">
        <v>40788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</row>
    <row r="3803" spans="1:8" x14ac:dyDescent="0.3">
      <c r="A3803" t="s">
        <v>34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</row>
    <row r="3804" spans="1:8" x14ac:dyDescent="0.3">
      <c r="A3804" t="s">
        <v>34</v>
      </c>
      <c r="B3804" s="1">
        <v>40802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</row>
    <row r="3805" spans="1:8" x14ac:dyDescent="0.3">
      <c r="A3805" t="s">
        <v>34</v>
      </c>
      <c r="B3805" s="1">
        <v>40809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</row>
    <row r="3806" spans="1:8" x14ac:dyDescent="0.3">
      <c r="A3806" t="s">
        <v>34</v>
      </c>
      <c r="B3806" s="1">
        <v>40816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</row>
    <row r="3807" spans="1:8" x14ac:dyDescent="0.3">
      <c r="A3807" t="s">
        <v>34</v>
      </c>
      <c r="B3807" s="1">
        <v>40823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</row>
    <row r="3808" spans="1:8" x14ac:dyDescent="0.3">
      <c r="A3808" t="s">
        <v>34</v>
      </c>
      <c r="B3808" s="1">
        <v>40830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</row>
    <row r="3809" spans="1:8" x14ac:dyDescent="0.3">
      <c r="A3809" t="s">
        <v>34</v>
      </c>
      <c r="B3809" s="1">
        <v>40837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</row>
    <row r="3810" spans="1:8" x14ac:dyDescent="0.3">
      <c r="A3810" t="s">
        <v>34</v>
      </c>
      <c r="B3810" s="1">
        <v>40844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</row>
    <row r="3811" spans="1:8" x14ac:dyDescent="0.3">
      <c r="A3811" t="s">
        <v>34</v>
      </c>
      <c r="B3811" s="1">
        <v>40851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</row>
    <row r="3812" spans="1:8" x14ac:dyDescent="0.3">
      <c r="A3812" t="s">
        <v>34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</row>
    <row r="3813" spans="1:8" x14ac:dyDescent="0.3">
      <c r="A3813" t="s">
        <v>34</v>
      </c>
      <c r="B3813" s="1">
        <v>40865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</row>
    <row r="3814" spans="1:8" x14ac:dyDescent="0.3">
      <c r="A3814" t="s">
        <v>34</v>
      </c>
      <c r="B3814" s="1">
        <v>40872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</row>
    <row r="3815" spans="1:8" x14ac:dyDescent="0.3">
      <c r="A3815" t="s">
        <v>34</v>
      </c>
      <c r="B3815" s="1">
        <v>40879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</row>
    <row r="3816" spans="1:8" x14ac:dyDescent="0.3">
      <c r="A3816" t="s">
        <v>34</v>
      </c>
      <c r="B3816" s="1">
        <v>40886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</row>
    <row r="3817" spans="1:8" x14ac:dyDescent="0.3">
      <c r="A3817" t="s">
        <v>34</v>
      </c>
      <c r="B3817" s="1">
        <v>40893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</row>
    <row r="3818" spans="1:8" x14ac:dyDescent="0.3">
      <c r="A3818" t="s">
        <v>34</v>
      </c>
      <c r="B3818" s="1">
        <v>40900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</row>
    <row r="3819" spans="1:8" x14ac:dyDescent="0.3">
      <c r="A3819" t="s">
        <v>34</v>
      </c>
      <c r="B3819" s="1">
        <v>40907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</row>
    <row r="3820" spans="1:8" x14ac:dyDescent="0.3">
      <c r="A3820" t="s">
        <v>34</v>
      </c>
      <c r="B3820" s="1">
        <v>40914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</row>
    <row r="3821" spans="1:8" x14ac:dyDescent="0.3">
      <c r="A3821" t="s">
        <v>34</v>
      </c>
      <c r="B3821" s="1">
        <v>40921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</row>
    <row r="3822" spans="1:8" x14ac:dyDescent="0.3">
      <c r="A3822" t="s">
        <v>34</v>
      </c>
      <c r="B3822" s="1">
        <v>40928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</row>
    <row r="3823" spans="1:8" x14ac:dyDescent="0.3">
      <c r="A3823" t="s">
        <v>34</v>
      </c>
      <c r="B3823" s="1">
        <v>40935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</row>
    <row r="3824" spans="1:8" x14ac:dyDescent="0.3">
      <c r="A3824" t="s">
        <v>34</v>
      </c>
      <c r="B3824" s="1">
        <v>40942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</row>
    <row r="3825" spans="1:8" x14ac:dyDescent="0.3">
      <c r="A3825" t="s">
        <v>34</v>
      </c>
      <c r="B3825" s="1">
        <v>40949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</row>
    <row r="3826" spans="1:8" x14ac:dyDescent="0.3">
      <c r="A3826" t="s">
        <v>34</v>
      </c>
      <c r="B3826" s="1">
        <v>40956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</row>
    <row r="3827" spans="1:8" x14ac:dyDescent="0.3">
      <c r="A3827" t="s">
        <v>34</v>
      </c>
      <c r="B3827" s="1">
        <v>40963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</row>
    <row r="3828" spans="1:8" x14ac:dyDescent="0.3">
      <c r="A3828" t="s">
        <v>34</v>
      </c>
      <c r="B3828" s="1">
        <v>40970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</row>
    <row r="3829" spans="1:8" x14ac:dyDescent="0.3">
      <c r="A3829" t="s">
        <v>34</v>
      </c>
      <c r="B3829" s="1">
        <v>40977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</row>
    <row r="3830" spans="1:8" x14ac:dyDescent="0.3">
      <c r="A3830" t="s">
        <v>34</v>
      </c>
      <c r="B3830" s="1">
        <v>40984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</row>
    <row r="3831" spans="1:8" x14ac:dyDescent="0.3">
      <c r="A3831" t="s">
        <v>34</v>
      </c>
      <c r="B3831" s="1">
        <v>40991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</row>
    <row r="3832" spans="1:8" x14ac:dyDescent="0.3">
      <c r="A3832" t="s">
        <v>34</v>
      </c>
      <c r="B3832" s="1">
        <v>40998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</row>
    <row r="3833" spans="1:8" x14ac:dyDescent="0.3">
      <c r="A3833" t="s">
        <v>34</v>
      </c>
      <c r="B3833" s="1">
        <v>41005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</row>
    <row r="3834" spans="1:8" x14ac:dyDescent="0.3">
      <c r="A3834" t="s">
        <v>34</v>
      </c>
      <c r="B3834" s="1">
        <v>41012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</row>
    <row r="3835" spans="1:8" x14ac:dyDescent="0.3">
      <c r="A3835" t="s">
        <v>34</v>
      </c>
      <c r="B3835" s="1">
        <v>41019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</row>
    <row r="3836" spans="1:8" x14ac:dyDescent="0.3">
      <c r="A3836" t="s">
        <v>34</v>
      </c>
      <c r="B3836" s="1">
        <v>41026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</row>
    <row r="3837" spans="1:8" x14ac:dyDescent="0.3">
      <c r="A3837" t="s">
        <v>34</v>
      </c>
      <c r="B3837" s="1">
        <v>41033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</row>
    <row r="3838" spans="1:8" x14ac:dyDescent="0.3">
      <c r="A3838" t="s">
        <v>34</v>
      </c>
      <c r="B3838" s="1">
        <v>41040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</row>
    <row r="3839" spans="1:8" x14ac:dyDescent="0.3">
      <c r="A3839" t="s">
        <v>34</v>
      </c>
      <c r="B3839" s="1">
        <v>41047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</row>
    <row r="3840" spans="1:8" x14ac:dyDescent="0.3">
      <c r="A3840" t="s">
        <v>34</v>
      </c>
      <c r="B3840" s="1">
        <v>41054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</row>
    <row r="3841" spans="1:8" x14ac:dyDescent="0.3">
      <c r="A3841" t="s">
        <v>34</v>
      </c>
      <c r="B3841" s="1">
        <v>41061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</row>
    <row r="3842" spans="1:8" x14ac:dyDescent="0.3">
      <c r="A3842" t="s">
        <v>34</v>
      </c>
      <c r="B3842" s="1">
        <v>41068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</row>
    <row r="3843" spans="1:8" x14ac:dyDescent="0.3">
      <c r="A3843" t="s">
        <v>34</v>
      </c>
      <c r="B3843" s="1">
        <v>41075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</row>
    <row r="3844" spans="1:8" x14ac:dyDescent="0.3">
      <c r="A3844" t="s">
        <v>34</v>
      </c>
      <c r="B3844" s="1">
        <v>41082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</row>
    <row r="3845" spans="1:8" x14ac:dyDescent="0.3">
      <c r="A3845" t="s">
        <v>34</v>
      </c>
      <c r="B3845" s="1">
        <v>41089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</row>
    <row r="3846" spans="1:8" x14ac:dyDescent="0.3">
      <c r="A3846" t="s">
        <v>34</v>
      </c>
      <c r="B3846" s="1">
        <v>41096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</row>
    <row r="3847" spans="1:8" x14ac:dyDescent="0.3">
      <c r="A3847" t="s">
        <v>34</v>
      </c>
      <c r="B3847" s="1">
        <v>41103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</row>
    <row r="3848" spans="1:8" x14ac:dyDescent="0.3">
      <c r="A3848" t="s">
        <v>34</v>
      </c>
      <c r="B3848" s="1">
        <v>41110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</row>
    <row r="3849" spans="1:8" x14ac:dyDescent="0.3">
      <c r="A3849" t="s">
        <v>34</v>
      </c>
      <c r="B3849" s="1">
        <v>41117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</row>
    <row r="3850" spans="1:8" x14ac:dyDescent="0.3">
      <c r="A3850" t="s">
        <v>34</v>
      </c>
      <c r="B3850" s="1">
        <v>41124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</row>
    <row r="3851" spans="1:8" x14ac:dyDescent="0.3">
      <c r="A3851" t="s">
        <v>34</v>
      </c>
      <c r="B3851" s="1">
        <v>41131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</row>
    <row r="3852" spans="1:8" x14ac:dyDescent="0.3">
      <c r="A3852" t="s">
        <v>34</v>
      </c>
      <c r="B3852" s="1">
        <v>41138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</row>
    <row r="3853" spans="1:8" x14ac:dyDescent="0.3">
      <c r="A3853" t="s">
        <v>34</v>
      </c>
      <c r="B3853" s="1">
        <v>41145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</row>
    <row r="3854" spans="1:8" x14ac:dyDescent="0.3">
      <c r="A3854" t="s">
        <v>34</v>
      </c>
      <c r="B3854" s="1">
        <v>41152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</row>
    <row r="3855" spans="1:8" x14ac:dyDescent="0.3">
      <c r="A3855" t="s">
        <v>34</v>
      </c>
      <c r="B3855" s="1">
        <v>41159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</row>
    <row r="3856" spans="1:8" x14ac:dyDescent="0.3">
      <c r="A3856" t="s">
        <v>34</v>
      </c>
      <c r="B3856" s="1">
        <v>41166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</row>
    <row r="3857" spans="1:8" x14ac:dyDescent="0.3">
      <c r="A3857" t="s">
        <v>34</v>
      </c>
      <c r="B3857" s="1">
        <v>41173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</row>
    <row r="3858" spans="1:8" x14ac:dyDescent="0.3">
      <c r="A3858" t="s">
        <v>34</v>
      </c>
      <c r="B3858" s="1">
        <v>41180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</row>
    <row r="3859" spans="1:8" x14ac:dyDescent="0.3">
      <c r="A3859" t="s">
        <v>34</v>
      </c>
      <c r="B3859" s="1">
        <v>41187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</row>
    <row r="3860" spans="1:8" x14ac:dyDescent="0.3">
      <c r="A3860" t="s">
        <v>34</v>
      </c>
      <c r="B3860" s="1">
        <v>41194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</row>
    <row r="3861" spans="1:8" x14ac:dyDescent="0.3">
      <c r="A3861" t="s">
        <v>34</v>
      </c>
      <c r="B3861" s="1">
        <v>41201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</row>
    <row r="3862" spans="1:8" x14ac:dyDescent="0.3">
      <c r="A3862" t="s">
        <v>34</v>
      </c>
      <c r="B3862" s="1">
        <v>41208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</row>
    <row r="3863" spans="1:8" x14ac:dyDescent="0.3">
      <c r="A3863" t="s">
        <v>35</v>
      </c>
      <c r="B3863" s="1">
        <v>40214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</row>
    <row r="3864" spans="1:8" x14ac:dyDescent="0.3">
      <c r="A3864" t="s">
        <v>35</v>
      </c>
      <c r="B3864" s="1">
        <v>40221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</row>
    <row r="3865" spans="1:8" x14ac:dyDescent="0.3">
      <c r="A3865" t="s">
        <v>35</v>
      </c>
      <c r="B3865" s="1">
        <v>40228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 x14ac:dyDescent="0.3">
      <c r="A3866" t="s">
        <v>35</v>
      </c>
      <c r="B3866" s="1">
        <v>40235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</row>
    <row r="3867" spans="1:8" x14ac:dyDescent="0.3">
      <c r="A3867" t="s">
        <v>35</v>
      </c>
      <c r="B3867" s="1">
        <v>40242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</row>
    <row r="3868" spans="1:8" x14ac:dyDescent="0.3">
      <c r="A3868" t="s">
        <v>35</v>
      </c>
      <c r="B3868" s="1">
        <v>40249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</row>
    <row r="3869" spans="1:8" x14ac:dyDescent="0.3">
      <c r="A3869" t="s">
        <v>35</v>
      </c>
      <c r="B3869" s="1">
        <v>40256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</row>
    <row r="3870" spans="1:8" x14ac:dyDescent="0.3">
      <c r="A3870" t="s">
        <v>35</v>
      </c>
      <c r="B3870" s="1">
        <v>40263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</row>
    <row r="3871" spans="1:8" x14ac:dyDescent="0.3">
      <c r="A3871" t="s">
        <v>35</v>
      </c>
      <c r="B3871" s="1">
        <v>40270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</row>
    <row r="3872" spans="1:8" x14ac:dyDescent="0.3">
      <c r="A3872" t="s">
        <v>35</v>
      </c>
      <c r="B3872" s="1">
        <v>40277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 x14ac:dyDescent="0.3">
      <c r="A3873" t="s">
        <v>35</v>
      </c>
      <c r="B3873" s="1">
        <v>40284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 x14ac:dyDescent="0.3">
      <c r="A3874" t="s">
        <v>35</v>
      </c>
      <c r="B3874" s="1">
        <v>40291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 x14ac:dyDescent="0.3">
      <c r="A3875" t="s">
        <v>35</v>
      </c>
      <c r="B3875" s="1">
        <v>40298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 x14ac:dyDescent="0.3">
      <c r="A3876" t="s">
        <v>35</v>
      </c>
      <c r="B3876" s="1">
        <v>40305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</row>
    <row r="3877" spans="1:8" x14ac:dyDescent="0.3">
      <c r="A3877" t="s">
        <v>35</v>
      </c>
      <c r="B3877" s="1">
        <v>40312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 x14ac:dyDescent="0.3">
      <c r="A3878" t="s">
        <v>35</v>
      </c>
      <c r="B3878" s="1">
        <v>40319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 x14ac:dyDescent="0.3">
      <c r="A3879" t="s">
        <v>35</v>
      </c>
      <c r="B3879" s="1">
        <v>40326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</row>
    <row r="3880" spans="1:8" x14ac:dyDescent="0.3">
      <c r="A3880" t="s">
        <v>35</v>
      </c>
      <c r="B3880" s="1">
        <v>40333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</row>
    <row r="3881" spans="1:8" x14ac:dyDescent="0.3">
      <c r="A3881" t="s">
        <v>35</v>
      </c>
      <c r="B3881" s="1">
        <v>40340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</row>
    <row r="3882" spans="1:8" x14ac:dyDescent="0.3">
      <c r="A3882" t="s">
        <v>35</v>
      </c>
      <c r="B3882" s="1">
        <v>40347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</row>
    <row r="3883" spans="1:8" x14ac:dyDescent="0.3">
      <c r="A3883" t="s">
        <v>35</v>
      </c>
      <c r="B3883" s="1">
        <v>40354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</row>
    <row r="3884" spans="1:8" x14ac:dyDescent="0.3">
      <c r="A3884" t="s">
        <v>35</v>
      </c>
      <c r="B3884" s="1">
        <v>40361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 x14ac:dyDescent="0.3">
      <c r="A3885" t="s">
        <v>35</v>
      </c>
      <c r="B3885" s="1">
        <v>40368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</row>
    <row r="3886" spans="1:8" x14ac:dyDescent="0.3">
      <c r="A3886" t="s">
        <v>35</v>
      </c>
      <c r="B3886" s="1">
        <v>40375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</row>
    <row r="3887" spans="1:8" x14ac:dyDescent="0.3">
      <c r="A3887" t="s">
        <v>35</v>
      </c>
      <c r="B3887" s="1">
        <v>40382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</row>
    <row r="3888" spans="1:8" x14ac:dyDescent="0.3">
      <c r="A3888" t="s">
        <v>35</v>
      </c>
      <c r="B3888" s="1">
        <v>40389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</row>
    <row r="3889" spans="1:8" x14ac:dyDescent="0.3">
      <c r="A3889" t="s">
        <v>35</v>
      </c>
      <c r="B3889" s="1">
        <v>40396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</row>
    <row r="3890" spans="1:8" x14ac:dyDescent="0.3">
      <c r="A3890" t="s">
        <v>35</v>
      </c>
      <c r="B3890" s="1">
        <v>40403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</row>
    <row r="3891" spans="1:8" x14ac:dyDescent="0.3">
      <c r="A3891" t="s">
        <v>35</v>
      </c>
      <c r="B3891" s="1">
        <v>40410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</row>
    <row r="3892" spans="1:8" x14ac:dyDescent="0.3">
      <c r="A3892" t="s">
        <v>35</v>
      </c>
      <c r="B3892" s="1">
        <v>40417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 x14ac:dyDescent="0.3">
      <c r="A3893" t="s">
        <v>35</v>
      </c>
      <c r="B3893" s="1">
        <v>40424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</row>
    <row r="3894" spans="1:8" x14ac:dyDescent="0.3">
      <c r="A3894" t="s">
        <v>35</v>
      </c>
      <c r="B3894" s="1">
        <v>40431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 x14ac:dyDescent="0.3">
      <c r="A3895" t="s">
        <v>35</v>
      </c>
      <c r="B3895" s="1">
        <v>40438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 x14ac:dyDescent="0.3">
      <c r="A3896" t="s">
        <v>35</v>
      </c>
      <c r="B3896" s="1">
        <v>40445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</row>
    <row r="3897" spans="1:8" x14ac:dyDescent="0.3">
      <c r="A3897" t="s">
        <v>35</v>
      </c>
      <c r="B3897" s="1">
        <v>40452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</row>
    <row r="3898" spans="1:8" x14ac:dyDescent="0.3">
      <c r="A3898" t="s">
        <v>35</v>
      </c>
      <c r="B3898" s="1">
        <v>40459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</row>
    <row r="3899" spans="1:8" x14ac:dyDescent="0.3">
      <c r="A3899" t="s">
        <v>35</v>
      </c>
      <c r="B3899" s="1">
        <v>40466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</row>
    <row r="3900" spans="1:8" x14ac:dyDescent="0.3">
      <c r="A3900" t="s">
        <v>35</v>
      </c>
      <c r="B3900" s="1">
        <v>40473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</row>
    <row r="3901" spans="1:8" x14ac:dyDescent="0.3">
      <c r="A3901" t="s">
        <v>35</v>
      </c>
      <c r="B3901" s="1">
        <v>40480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</row>
    <row r="3902" spans="1:8" x14ac:dyDescent="0.3">
      <c r="A3902" t="s">
        <v>35</v>
      </c>
      <c r="B3902" s="1">
        <v>40487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</row>
    <row r="3903" spans="1:8" x14ac:dyDescent="0.3">
      <c r="A3903" t="s">
        <v>35</v>
      </c>
      <c r="B3903" s="1">
        <v>40494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</row>
    <row r="3904" spans="1:8" x14ac:dyDescent="0.3">
      <c r="A3904" t="s">
        <v>35</v>
      </c>
      <c r="B3904" s="1">
        <v>40501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</row>
    <row r="3905" spans="1:8" x14ac:dyDescent="0.3">
      <c r="A3905" t="s">
        <v>35</v>
      </c>
      <c r="B3905" s="1">
        <v>40508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</row>
    <row r="3906" spans="1:8" x14ac:dyDescent="0.3">
      <c r="A3906" t="s">
        <v>35</v>
      </c>
      <c r="B3906" s="1">
        <v>40515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</row>
    <row r="3907" spans="1:8" x14ac:dyDescent="0.3">
      <c r="A3907" t="s">
        <v>35</v>
      </c>
      <c r="B3907" s="1">
        <v>40522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</row>
    <row r="3908" spans="1:8" x14ac:dyDescent="0.3">
      <c r="A3908" t="s">
        <v>35</v>
      </c>
      <c r="B3908" s="1">
        <v>40529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</row>
    <row r="3909" spans="1:8" x14ac:dyDescent="0.3">
      <c r="A3909" t="s">
        <v>35</v>
      </c>
      <c r="B3909" s="1">
        <v>40536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</row>
    <row r="3910" spans="1:8" x14ac:dyDescent="0.3">
      <c r="A3910" t="s">
        <v>35</v>
      </c>
      <c r="B3910" s="1">
        <v>40543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</row>
    <row r="3911" spans="1:8" x14ac:dyDescent="0.3">
      <c r="A3911" t="s">
        <v>35</v>
      </c>
      <c r="B3911" s="1">
        <v>40550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</row>
    <row r="3912" spans="1:8" x14ac:dyDescent="0.3">
      <c r="A3912" t="s">
        <v>35</v>
      </c>
      <c r="B3912" s="1">
        <v>40557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</row>
    <row r="3913" spans="1:8" x14ac:dyDescent="0.3">
      <c r="A3913" t="s">
        <v>35</v>
      </c>
      <c r="B3913" s="1">
        <v>40564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</row>
    <row r="3914" spans="1:8" x14ac:dyDescent="0.3">
      <c r="A3914" t="s">
        <v>35</v>
      </c>
      <c r="B3914" s="1">
        <v>40571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</row>
    <row r="3915" spans="1:8" x14ac:dyDescent="0.3">
      <c r="A3915" t="s">
        <v>35</v>
      </c>
      <c r="B3915" s="1">
        <v>40578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</row>
    <row r="3916" spans="1:8" x14ac:dyDescent="0.3">
      <c r="A3916" t="s">
        <v>35</v>
      </c>
      <c r="B3916" s="1">
        <v>40585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</row>
    <row r="3917" spans="1:8" x14ac:dyDescent="0.3">
      <c r="A3917" t="s">
        <v>35</v>
      </c>
      <c r="B3917" s="1">
        <v>40592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</row>
    <row r="3918" spans="1:8" x14ac:dyDescent="0.3">
      <c r="A3918" t="s">
        <v>35</v>
      </c>
      <c r="B3918" s="1">
        <v>40599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</row>
    <row r="3919" spans="1:8" x14ac:dyDescent="0.3">
      <c r="A3919" t="s">
        <v>35</v>
      </c>
      <c r="B3919" s="1">
        <v>40606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</row>
    <row r="3920" spans="1:8" x14ac:dyDescent="0.3">
      <c r="A3920" t="s">
        <v>35</v>
      </c>
      <c r="B3920" s="1">
        <v>40613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</row>
    <row r="3921" spans="1:8" x14ac:dyDescent="0.3">
      <c r="A3921" t="s">
        <v>35</v>
      </c>
      <c r="B3921" s="1">
        <v>40620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</row>
    <row r="3922" spans="1:8" x14ac:dyDescent="0.3">
      <c r="A3922" t="s">
        <v>35</v>
      </c>
      <c r="B3922" s="1">
        <v>40627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</row>
    <row r="3923" spans="1:8" x14ac:dyDescent="0.3">
      <c r="A3923" t="s">
        <v>35</v>
      </c>
      <c r="B3923" s="1">
        <v>40634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</row>
    <row r="3924" spans="1:8" x14ac:dyDescent="0.3">
      <c r="A3924" t="s">
        <v>35</v>
      </c>
      <c r="B3924" s="1">
        <v>40641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</row>
    <row r="3925" spans="1:8" x14ac:dyDescent="0.3">
      <c r="A3925" t="s">
        <v>35</v>
      </c>
      <c r="B3925" s="1">
        <v>40648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</row>
    <row r="3926" spans="1:8" x14ac:dyDescent="0.3">
      <c r="A3926" t="s">
        <v>35</v>
      </c>
      <c r="B3926" s="1">
        <v>40655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</row>
    <row r="3927" spans="1:8" x14ac:dyDescent="0.3">
      <c r="A3927" t="s">
        <v>35</v>
      </c>
      <c r="B3927" s="1">
        <v>40662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</row>
    <row r="3928" spans="1:8" x14ac:dyDescent="0.3">
      <c r="A3928" t="s">
        <v>35</v>
      </c>
      <c r="B3928" s="1">
        <v>40669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</row>
    <row r="3929" spans="1:8" x14ac:dyDescent="0.3">
      <c r="A3929" t="s">
        <v>35</v>
      </c>
      <c r="B3929" s="1">
        <v>40676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</row>
    <row r="3930" spans="1:8" x14ac:dyDescent="0.3">
      <c r="A3930" t="s">
        <v>35</v>
      </c>
      <c r="B3930" s="1">
        <v>40683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</row>
    <row r="3931" spans="1:8" x14ac:dyDescent="0.3">
      <c r="A3931" t="s">
        <v>35</v>
      </c>
      <c r="B3931" s="1">
        <v>40690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</row>
    <row r="3932" spans="1:8" x14ac:dyDescent="0.3">
      <c r="A3932" t="s">
        <v>35</v>
      </c>
      <c r="B3932" s="1">
        <v>40697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</row>
    <row r="3933" spans="1:8" x14ac:dyDescent="0.3">
      <c r="A3933" t="s">
        <v>35</v>
      </c>
      <c r="B3933" s="1">
        <v>40704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</row>
    <row r="3934" spans="1:8" x14ac:dyDescent="0.3">
      <c r="A3934" t="s">
        <v>35</v>
      </c>
      <c r="B3934" s="1">
        <v>40711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</row>
    <row r="3935" spans="1:8" x14ac:dyDescent="0.3">
      <c r="A3935" t="s">
        <v>35</v>
      </c>
      <c r="B3935" s="1">
        <v>40718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</row>
    <row r="3936" spans="1:8" x14ac:dyDescent="0.3">
      <c r="A3936" t="s">
        <v>35</v>
      </c>
      <c r="B3936" s="1">
        <v>40725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</row>
    <row r="3937" spans="1:8" x14ac:dyDescent="0.3">
      <c r="A3937" t="s">
        <v>35</v>
      </c>
      <c r="B3937" s="1">
        <v>40732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</row>
    <row r="3938" spans="1:8" x14ac:dyDescent="0.3">
      <c r="A3938" t="s">
        <v>35</v>
      </c>
      <c r="B3938" s="1">
        <v>40739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</row>
    <row r="3939" spans="1:8" x14ac:dyDescent="0.3">
      <c r="A3939" t="s">
        <v>35</v>
      </c>
      <c r="B3939" s="1">
        <v>40746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 x14ac:dyDescent="0.3">
      <c r="A3940" t="s">
        <v>35</v>
      </c>
      <c r="B3940" s="1">
        <v>40753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</row>
    <row r="3941" spans="1:8" x14ac:dyDescent="0.3">
      <c r="A3941" t="s">
        <v>35</v>
      </c>
      <c r="B3941" s="1">
        <v>40760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</row>
    <row r="3942" spans="1:8" x14ac:dyDescent="0.3">
      <c r="A3942" t="s">
        <v>35</v>
      </c>
      <c r="B3942" s="1">
        <v>40767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</row>
    <row r="3943" spans="1:8" x14ac:dyDescent="0.3">
      <c r="A3943" t="s">
        <v>35</v>
      </c>
      <c r="B3943" s="1">
        <v>40774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</row>
    <row r="3944" spans="1:8" x14ac:dyDescent="0.3">
      <c r="A3944" t="s">
        <v>35</v>
      </c>
      <c r="B3944" s="1">
        <v>40781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</row>
    <row r="3945" spans="1:8" x14ac:dyDescent="0.3">
      <c r="A3945" t="s">
        <v>35</v>
      </c>
      <c r="B3945" s="1">
        <v>40788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</row>
    <row r="3946" spans="1:8" x14ac:dyDescent="0.3">
      <c r="A3946" t="s">
        <v>35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</row>
    <row r="3947" spans="1:8" x14ac:dyDescent="0.3">
      <c r="A3947" t="s">
        <v>35</v>
      </c>
      <c r="B3947" s="1">
        <v>40802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</row>
    <row r="3948" spans="1:8" x14ac:dyDescent="0.3">
      <c r="A3948" t="s">
        <v>35</v>
      </c>
      <c r="B3948" s="1">
        <v>40809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</row>
    <row r="3949" spans="1:8" x14ac:dyDescent="0.3">
      <c r="A3949" t="s">
        <v>35</v>
      </c>
      <c r="B3949" s="1">
        <v>40816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</row>
    <row r="3950" spans="1:8" x14ac:dyDescent="0.3">
      <c r="A3950" t="s">
        <v>35</v>
      </c>
      <c r="B3950" s="1">
        <v>40823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</row>
    <row r="3951" spans="1:8" x14ac:dyDescent="0.3">
      <c r="A3951" t="s">
        <v>35</v>
      </c>
      <c r="B3951" s="1">
        <v>40830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</row>
    <row r="3952" spans="1:8" x14ac:dyDescent="0.3">
      <c r="A3952" t="s">
        <v>35</v>
      </c>
      <c r="B3952" s="1">
        <v>40837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</row>
    <row r="3953" spans="1:8" x14ac:dyDescent="0.3">
      <c r="A3953" t="s">
        <v>35</v>
      </c>
      <c r="B3953" s="1">
        <v>40844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</row>
    <row r="3954" spans="1:8" x14ac:dyDescent="0.3">
      <c r="A3954" t="s">
        <v>35</v>
      </c>
      <c r="B3954" s="1">
        <v>40851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</row>
    <row r="3955" spans="1:8" x14ac:dyDescent="0.3">
      <c r="A3955" t="s">
        <v>35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</row>
    <row r="3956" spans="1:8" x14ac:dyDescent="0.3">
      <c r="A3956" t="s">
        <v>35</v>
      </c>
      <c r="B3956" s="1">
        <v>40865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</row>
    <row r="3957" spans="1:8" x14ac:dyDescent="0.3">
      <c r="A3957" t="s">
        <v>35</v>
      </c>
      <c r="B3957" s="1">
        <v>40872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</row>
    <row r="3958" spans="1:8" x14ac:dyDescent="0.3">
      <c r="A3958" t="s">
        <v>35</v>
      </c>
      <c r="B3958" s="1">
        <v>40879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</row>
    <row r="3959" spans="1:8" x14ac:dyDescent="0.3">
      <c r="A3959" t="s">
        <v>35</v>
      </c>
      <c r="B3959" s="1">
        <v>40886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</row>
    <row r="3960" spans="1:8" x14ac:dyDescent="0.3">
      <c r="A3960" t="s">
        <v>35</v>
      </c>
      <c r="B3960" s="1">
        <v>40893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 x14ac:dyDescent="0.3">
      <c r="A3961" t="s">
        <v>35</v>
      </c>
      <c r="B3961" s="1">
        <v>40900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</row>
    <row r="3962" spans="1:8" x14ac:dyDescent="0.3">
      <c r="A3962" t="s">
        <v>35</v>
      </c>
      <c r="B3962" s="1">
        <v>40907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</row>
    <row r="3963" spans="1:8" x14ac:dyDescent="0.3">
      <c r="A3963" t="s">
        <v>35</v>
      </c>
      <c r="B3963" s="1">
        <v>40914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</row>
    <row r="3964" spans="1:8" x14ac:dyDescent="0.3">
      <c r="A3964" t="s">
        <v>35</v>
      </c>
      <c r="B3964" s="1">
        <v>40921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</row>
    <row r="3965" spans="1:8" x14ac:dyDescent="0.3">
      <c r="A3965" t="s">
        <v>35</v>
      </c>
      <c r="B3965" s="1">
        <v>40928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</row>
    <row r="3966" spans="1:8" x14ac:dyDescent="0.3">
      <c r="A3966" t="s">
        <v>35</v>
      </c>
      <c r="B3966" s="1">
        <v>40935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</row>
    <row r="3967" spans="1:8" x14ac:dyDescent="0.3">
      <c r="A3967" t="s">
        <v>35</v>
      </c>
      <c r="B3967" s="1">
        <v>40942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</row>
    <row r="3968" spans="1:8" x14ac:dyDescent="0.3">
      <c r="A3968" t="s">
        <v>35</v>
      </c>
      <c r="B3968" s="1">
        <v>40949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</row>
    <row r="3969" spans="1:8" x14ac:dyDescent="0.3">
      <c r="A3969" t="s">
        <v>35</v>
      </c>
      <c r="B3969" s="1">
        <v>40956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</row>
    <row r="3970" spans="1:8" x14ac:dyDescent="0.3">
      <c r="A3970" t="s">
        <v>35</v>
      </c>
      <c r="B3970" s="1">
        <v>40963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</row>
    <row r="3971" spans="1:8" x14ac:dyDescent="0.3">
      <c r="A3971" t="s">
        <v>35</v>
      </c>
      <c r="B3971" s="1">
        <v>40970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</row>
    <row r="3972" spans="1:8" x14ac:dyDescent="0.3">
      <c r="A3972" t="s">
        <v>35</v>
      </c>
      <c r="B3972" s="1">
        <v>40977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</row>
    <row r="3973" spans="1:8" x14ac:dyDescent="0.3">
      <c r="A3973" t="s">
        <v>35</v>
      </c>
      <c r="B3973" s="1">
        <v>40984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</row>
    <row r="3974" spans="1:8" x14ac:dyDescent="0.3">
      <c r="A3974" t="s">
        <v>35</v>
      </c>
      <c r="B3974" s="1">
        <v>40991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</row>
    <row r="3975" spans="1:8" x14ac:dyDescent="0.3">
      <c r="A3975" t="s">
        <v>35</v>
      </c>
      <c r="B3975" s="1">
        <v>40998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</row>
    <row r="3976" spans="1:8" x14ac:dyDescent="0.3">
      <c r="A3976" t="s">
        <v>35</v>
      </c>
      <c r="B3976" s="1">
        <v>41005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</row>
    <row r="3977" spans="1:8" x14ac:dyDescent="0.3">
      <c r="A3977" t="s">
        <v>35</v>
      </c>
      <c r="B3977" s="1">
        <v>41012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</row>
    <row r="3978" spans="1:8" x14ac:dyDescent="0.3">
      <c r="A3978" t="s">
        <v>35</v>
      </c>
      <c r="B3978" s="1">
        <v>41019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</row>
    <row r="3979" spans="1:8" x14ac:dyDescent="0.3">
      <c r="A3979" t="s">
        <v>35</v>
      </c>
      <c r="B3979" s="1">
        <v>41026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</row>
    <row r="3980" spans="1:8" x14ac:dyDescent="0.3">
      <c r="A3980" t="s">
        <v>35</v>
      </c>
      <c r="B3980" s="1">
        <v>41033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</row>
    <row r="3981" spans="1:8" x14ac:dyDescent="0.3">
      <c r="A3981" t="s">
        <v>35</v>
      </c>
      <c r="B3981" s="1">
        <v>41040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</row>
    <row r="3982" spans="1:8" x14ac:dyDescent="0.3">
      <c r="A3982" t="s">
        <v>35</v>
      </c>
      <c r="B3982" s="1">
        <v>41047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</row>
    <row r="3983" spans="1:8" x14ac:dyDescent="0.3">
      <c r="A3983" t="s">
        <v>35</v>
      </c>
      <c r="B3983" s="1">
        <v>41054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</row>
    <row r="3984" spans="1:8" x14ac:dyDescent="0.3">
      <c r="A3984" t="s">
        <v>35</v>
      </c>
      <c r="B3984" s="1">
        <v>41061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</row>
    <row r="3985" spans="1:8" x14ac:dyDescent="0.3">
      <c r="A3985" t="s">
        <v>35</v>
      </c>
      <c r="B3985" s="1">
        <v>41068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</row>
    <row r="3986" spans="1:8" x14ac:dyDescent="0.3">
      <c r="A3986" t="s">
        <v>35</v>
      </c>
      <c r="B3986" s="1">
        <v>41075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</row>
    <row r="3987" spans="1:8" x14ac:dyDescent="0.3">
      <c r="A3987" t="s">
        <v>35</v>
      </c>
      <c r="B3987" s="1">
        <v>41082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</row>
    <row r="3988" spans="1:8" x14ac:dyDescent="0.3">
      <c r="A3988" t="s">
        <v>35</v>
      </c>
      <c r="B3988" s="1">
        <v>41089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</row>
    <row r="3989" spans="1:8" x14ac:dyDescent="0.3">
      <c r="A3989" t="s">
        <v>35</v>
      </c>
      <c r="B3989" s="1">
        <v>41096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</row>
    <row r="3990" spans="1:8" x14ac:dyDescent="0.3">
      <c r="A3990" t="s">
        <v>35</v>
      </c>
      <c r="B3990" s="1">
        <v>41103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</row>
    <row r="3991" spans="1:8" x14ac:dyDescent="0.3">
      <c r="A3991" t="s">
        <v>35</v>
      </c>
      <c r="B3991" s="1">
        <v>41110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</row>
    <row r="3992" spans="1:8" x14ac:dyDescent="0.3">
      <c r="A3992" t="s">
        <v>35</v>
      </c>
      <c r="B3992" s="1">
        <v>41117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</row>
    <row r="3993" spans="1:8" x14ac:dyDescent="0.3">
      <c r="A3993" t="s">
        <v>35</v>
      </c>
      <c r="B3993" s="1">
        <v>41124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</row>
    <row r="3994" spans="1:8" x14ac:dyDescent="0.3">
      <c r="A3994" t="s">
        <v>35</v>
      </c>
      <c r="B3994" s="1">
        <v>41131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</row>
    <row r="3995" spans="1:8" x14ac:dyDescent="0.3">
      <c r="A3995" t="s">
        <v>35</v>
      </c>
      <c r="B3995" s="1">
        <v>41138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</row>
    <row r="3996" spans="1:8" x14ac:dyDescent="0.3">
      <c r="A3996" t="s">
        <v>35</v>
      </c>
      <c r="B3996" s="1">
        <v>41145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</row>
    <row r="3997" spans="1:8" x14ac:dyDescent="0.3">
      <c r="A3997" t="s">
        <v>35</v>
      </c>
      <c r="B3997" s="1">
        <v>41152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</row>
    <row r="3998" spans="1:8" x14ac:dyDescent="0.3">
      <c r="A3998" t="s">
        <v>35</v>
      </c>
      <c r="B3998" s="1">
        <v>41159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</row>
    <row r="3999" spans="1:8" x14ac:dyDescent="0.3">
      <c r="A3999" t="s">
        <v>35</v>
      </c>
      <c r="B3999" s="1">
        <v>41166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</row>
    <row r="4000" spans="1:8" x14ac:dyDescent="0.3">
      <c r="A4000" t="s">
        <v>35</v>
      </c>
      <c r="B4000" s="1">
        <v>41173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</row>
    <row r="4001" spans="1:8" x14ac:dyDescent="0.3">
      <c r="A4001" t="s">
        <v>35</v>
      </c>
      <c r="B4001" s="1">
        <v>41180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</row>
    <row r="4002" spans="1:8" x14ac:dyDescent="0.3">
      <c r="A4002" t="s">
        <v>35</v>
      </c>
      <c r="B4002" s="1">
        <v>41187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</row>
    <row r="4003" spans="1:8" x14ac:dyDescent="0.3">
      <c r="A4003" t="s">
        <v>35</v>
      </c>
      <c r="B4003" s="1">
        <v>41194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</row>
    <row r="4004" spans="1:8" x14ac:dyDescent="0.3">
      <c r="A4004" t="s">
        <v>35</v>
      </c>
      <c r="B4004" s="1">
        <v>41201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</row>
    <row r="4005" spans="1:8" x14ac:dyDescent="0.3">
      <c r="A4005" t="s">
        <v>35</v>
      </c>
      <c r="B4005" s="1">
        <v>41208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</row>
    <row r="4006" spans="1:8" x14ac:dyDescent="0.3">
      <c r="A4006" t="s">
        <v>36</v>
      </c>
      <c r="B4006" s="1">
        <v>40214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</row>
    <row r="4007" spans="1:8" x14ac:dyDescent="0.3">
      <c r="A4007" t="s">
        <v>36</v>
      </c>
      <c r="B4007" s="1">
        <v>40221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</row>
    <row r="4008" spans="1:8" x14ac:dyDescent="0.3">
      <c r="A4008" t="s">
        <v>36</v>
      </c>
      <c r="B4008" s="1">
        <v>40228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</row>
    <row r="4009" spans="1:8" x14ac:dyDescent="0.3">
      <c r="A4009" t="s">
        <v>36</v>
      </c>
      <c r="B4009" s="1">
        <v>40235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</row>
    <row r="4010" spans="1:8" x14ac:dyDescent="0.3">
      <c r="A4010" t="s">
        <v>36</v>
      </c>
      <c r="B4010" s="1">
        <v>40242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</row>
    <row r="4011" spans="1:8" x14ac:dyDescent="0.3">
      <c r="A4011" t="s">
        <v>36</v>
      </c>
      <c r="B4011" s="1">
        <v>40249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</row>
    <row r="4012" spans="1:8" x14ac:dyDescent="0.3">
      <c r="A4012" t="s">
        <v>36</v>
      </c>
      <c r="B4012" s="1">
        <v>40256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</row>
    <row r="4013" spans="1:8" x14ac:dyDescent="0.3">
      <c r="A4013" t="s">
        <v>36</v>
      </c>
      <c r="B4013" s="1">
        <v>40263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</row>
    <row r="4014" spans="1:8" x14ac:dyDescent="0.3">
      <c r="A4014" t="s">
        <v>36</v>
      </c>
      <c r="B4014" s="1">
        <v>40270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</row>
    <row r="4015" spans="1:8" x14ac:dyDescent="0.3">
      <c r="A4015" t="s">
        <v>36</v>
      </c>
      <c r="B4015" s="1">
        <v>40277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</row>
    <row r="4016" spans="1:8" x14ac:dyDescent="0.3">
      <c r="A4016" t="s">
        <v>36</v>
      </c>
      <c r="B4016" s="1">
        <v>40284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</row>
    <row r="4017" spans="1:8" x14ac:dyDescent="0.3">
      <c r="A4017" t="s">
        <v>36</v>
      </c>
      <c r="B4017" s="1">
        <v>40291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 x14ac:dyDescent="0.3">
      <c r="A4018" t="s">
        <v>36</v>
      </c>
      <c r="B4018" s="1">
        <v>40298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</row>
    <row r="4019" spans="1:8" x14ac:dyDescent="0.3">
      <c r="A4019" t="s">
        <v>36</v>
      </c>
      <c r="B4019" s="1">
        <v>40305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</row>
    <row r="4020" spans="1:8" x14ac:dyDescent="0.3">
      <c r="A4020" t="s">
        <v>36</v>
      </c>
      <c r="B4020" s="1">
        <v>40312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</row>
    <row r="4021" spans="1:8" x14ac:dyDescent="0.3">
      <c r="A4021" t="s">
        <v>36</v>
      </c>
      <c r="B4021" s="1">
        <v>40319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</row>
    <row r="4022" spans="1:8" x14ac:dyDescent="0.3">
      <c r="A4022" t="s">
        <v>36</v>
      </c>
      <c r="B4022" s="1">
        <v>40326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</row>
    <row r="4023" spans="1:8" x14ac:dyDescent="0.3">
      <c r="A4023" t="s">
        <v>36</v>
      </c>
      <c r="B4023" s="1">
        <v>40333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</row>
    <row r="4024" spans="1:8" x14ac:dyDescent="0.3">
      <c r="A4024" t="s">
        <v>36</v>
      </c>
      <c r="B4024" s="1">
        <v>40340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</row>
    <row r="4025" spans="1:8" x14ac:dyDescent="0.3">
      <c r="A4025" t="s">
        <v>36</v>
      </c>
      <c r="B4025" s="1">
        <v>40347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</row>
    <row r="4026" spans="1:8" x14ac:dyDescent="0.3">
      <c r="A4026" t="s">
        <v>36</v>
      </c>
      <c r="B4026" s="1">
        <v>40354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</row>
    <row r="4027" spans="1:8" x14ac:dyDescent="0.3">
      <c r="A4027" t="s">
        <v>36</v>
      </c>
      <c r="B4027" s="1">
        <v>40361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</row>
    <row r="4028" spans="1:8" x14ac:dyDescent="0.3">
      <c r="A4028" t="s">
        <v>36</v>
      </c>
      <c r="B4028" s="1">
        <v>40368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</row>
    <row r="4029" spans="1:8" x14ac:dyDescent="0.3">
      <c r="A4029" t="s">
        <v>36</v>
      </c>
      <c r="B4029" s="1">
        <v>40375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</row>
    <row r="4030" spans="1:8" x14ac:dyDescent="0.3">
      <c r="A4030" t="s">
        <v>36</v>
      </c>
      <c r="B4030" s="1">
        <v>40382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</row>
    <row r="4031" spans="1:8" x14ac:dyDescent="0.3">
      <c r="A4031" t="s">
        <v>36</v>
      </c>
      <c r="B4031" s="1">
        <v>40389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</row>
    <row r="4032" spans="1:8" x14ac:dyDescent="0.3">
      <c r="A4032" t="s">
        <v>36</v>
      </c>
      <c r="B4032" s="1">
        <v>40396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</row>
    <row r="4033" spans="1:8" x14ac:dyDescent="0.3">
      <c r="A4033" t="s">
        <v>36</v>
      </c>
      <c r="B4033" s="1">
        <v>40403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</row>
    <row r="4034" spans="1:8" x14ac:dyDescent="0.3">
      <c r="A4034" t="s">
        <v>36</v>
      </c>
      <c r="B4034" s="1">
        <v>40410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</row>
    <row r="4035" spans="1:8" x14ac:dyDescent="0.3">
      <c r="A4035" t="s">
        <v>36</v>
      </c>
      <c r="B4035" s="1">
        <v>40417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</row>
    <row r="4036" spans="1:8" x14ac:dyDescent="0.3">
      <c r="A4036" t="s">
        <v>36</v>
      </c>
      <c r="B4036" s="1">
        <v>40424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</row>
    <row r="4037" spans="1:8" x14ac:dyDescent="0.3">
      <c r="A4037" t="s">
        <v>36</v>
      </c>
      <c r="B4037" s="1">
        <v>40431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</row>
    <row r="4038" spans="1:8" x14ac:dyDescent="0.3">
      <c r="A4038" t="s">
        <v>36</v>
      </c>
      <c r="B4038" s="1">
        <v>40438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</row>
    <row r="4039" spans="1:8" x14ac:dyDescent="0.3">
      <c r="A4039" t="s">
        <v>36</v>
      </c>
      <c r="B4039" s="1">
        <v>40445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</row>
    <row r="4040" spans="1:8" x14ac:dyDescent="0.3">
      <c r="A4040" t="s">
        <v>36</v>
      </c>
      <c r="B4040" s="1">
        <v>40452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</row>
    <row r="4041" spans="1:8" x14ac:dyDescent="0.3">
      <c r="A4041" t="s">
        <v>36</v>
      </c>
      <c r="B4041" s="1">
        <v>40459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</row>
    <row r="4042" spans="1:8" x14ac:dyDescent="0.3">
      <c r="A4042" t="s">
        <v>36</v>
      </c>
      <c r="B4042" s="1">
        <v>40466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</row>
    <row r="4043" spans="1:8" x14ac:dyDescent="0.3">
      <c r="A4043" t="s">
        <v>36</v>
      </c>
      <c r="B4043" s="1">
        <v>40473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</row>
    <row r="4044" spans="1:8" x14ac:dyDescent="0.3">
      <c r="A4044" t="s">
        <v>36</v>
      </c>
      <c r="B4044" s="1">
        <v>40480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</row>
    <row r="4045" spans="1:8" x14ac:dyDescent="0.3">
      <c r="A4045" t="s">
        <v>36</v>
      </c>
      <c r="B4045" s="1">
        <v>40487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</row>
    <row r="4046" spans="1:8" x14ac:dyDescent="0.3">
      <c r="A4046" t="s">
        <v>36</v>
      </c>
      <c r="B4046" s="1">
        <v>40494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</row>
    <row r="4047" spans="1:8" x14ac:dyDescent="0.3">
      <c r="A4047" t="s">
        <v>36</v>
      </c>
      <c r="B4047" s="1">
        <v>40501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</row>
    <row r="4048" spans="1:8" x14ac:dyDescent="0.3">
      <c r="A4048" t="s">
        <v>36</v>
      </c>
      <c r="B4048" s="1">
        <v>40508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</row>
    <row r="4049" spans="1:8" x14ac:dyDescent="0.3">
      <c r="A4049" t="s">
        <v>36</v>
      </c>
      <c r="B4049" s="1">
        <v>40515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</row>
    <row r="4050" spans="1:8" x14ac:dyDescent="0.3">
      <c r="A4050" t="s">
        <v>36</v>
      </c>
      <c r="B4050" s="1">
        <v>40522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</row>
    <row r="4051" spans="1:8" x14ac:dyDescent="0.3">
      <c r="A4051" t="s">
        <v>36</v>
      </c>
      <c r="B4051" s="1">
        <v>40529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</row>
    <row r="4052" spans="1:8" x14ac:dyDescent="0.3">
      <c r="A4052" t="s">
        <v>36</v>
      </c>
      <c r="B4052" s="1">
        <v>40536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</row>
    <row r="4053" spans="1:8" x14ac:dyDescent="0.3">
      <c r="A4053" t="s">
        <v>36</v>
      </c>
      <c r="B4053" s="1">
        <v>40543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</row>
    <row r="4054" spans="1:8" x14ac:dyDescent="0.3">
      <c r="A4054" t="s">
        <v>36</v>
      </c>
      <c r="B4054" s="1">
        <v>40550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</row>
    <row r="4055" spans="1:8" x14ac:dyDescent="0.3">
      <c r="A4055" t="s">
        <v>36</v>
      </c>
      <c r="B4055" s="1">
        <v>40557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</row>
    <row r="4056" spans="1:8" x14ac:dyDescent="0.3">
      <c r="A4056" t="s">
        <v>36</v>
      </c>
      <c r="B4056" s="1">
        <v>40564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</row>
    <row r="4057" spans="1:8" x14ac:dyDescent="0.3">
      <c r="A4057" t="s">
        <v>36</v>
      </c>
      <c r="B4057" s="1">
        <v>40571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</row>
    <row r="4058" spans="1:8" x14ac:dyDescent="0.3">
      <c r="A4058" t="s">
        <v>36</v>
      </c>
      <c r="B4058" s="1">
        <v>40578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</row>
    <row r="4059" spans="1:8" x14ac:dyDescent="0.3">
      <c r="A4059" t="s">
        <v>36</v>
      </c>
      <c r="B4059" s="1">
        <v>40585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</row>
    <row r="4060" spans="1:8" x14ac:dyDescent="0.3">
      <c r="A4060" t="s">
        <v>36</v>
      </c>
      <c r="B4060" s="1">
        <v>40592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</row>
    <row r="4061" spans="1:8" x14ac:dyDescent="0.3">
      <c r="A4061" t="s">
        <v>36</v>
      </c>
      <c r="B4061" s="1">
        <v>40599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</row>
    <row r="4062" spans="1:8" x14ac:dyDescent="0.3">
      <c r="A4062" t="s">
        <v>36</v>
      </c>
      <c r="B4062" s="1">
        <v>40606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</row>
    <row r="4063" spans="1:8" x14ac:dyDescent="0.3">
      <c r="A4063" t="s">
        <v>36</v>
      </c>
      <c r="B4063" s="1">
        <v>40613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 x14ac:dyDescent="0.3">
      <c r="A4064" t="s">
        <v>36</v>
      </c>
      <c r="B4064" s="1">
        <v>40620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</row>
    <row r="4065" spans="1:8" x14ac:dyDescent="0.3">
      <c r="A4065" t="s">
        <v>36</v>
      </c>
      <c r="B4065" s="1">
        <v>40627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</row>
    <row r="4066" spans="1:8" x14ac:dyDescent="0.3">
      <c r="A4066" t="s">
        <v>36</v>
      </c>
      <c r="B4066" s="1">
        <v>40634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</row>
    <row r="4067" spans="1:8" x14ac:dyDescent="0.3">
      <c r="A4067" t="s">
        <v>36</v>
      </c>
      <c r="B4067" s="1">
        <v>40641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</row>
    <row r="4068" spans="1:8" x14ac:dyDescent="0.3">
      <c r="A4068" t="s">
        <v>36</v>
      </c>
      <c r="B4068" s="1">
        <v>40648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</row>
    <row r="4069" spans="1:8" x14ac:dyDescent="0.3">
      <c r="A4069" t="s">
        <v>36</v>
      </c>
      <c r="B4069" s="1">
        <v>40655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</row>
    <row r="4070" spans="1:8" x14ac:dyDescent="0.3">
      <c r="A4070" t="s">
        <v>36</v>
      </c>
      <c r="B4070" s="1">
        <v>40662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</row>
    <row r="4071" spans="1:8" x14ac:dyDescent="0.3">
      <c r="A4071" t="s">
        <v>36</v>
      </c>
      <c r="B4071" s="1">
        <v>40669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</row>
    <row r="4072" spans="1:8" x14ac:dyDescent="0.3">
      <c r="A4072" t="s">
        <v>36</v>
      </c>
      <c r="B4072" s="1">
        <v>40676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</row>
    <row r="4073" spans="1:8" x14ac:dyDescent="0.3">
      <c r="A4073" t="s">
        <v>36</v>
      </c>
      <c r="B4073" s="1">
        <v>40683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</row>
    <row r="4074" spans="1:8" x14ac:dyDescent="0.3">
      <c r="A4074" t="s">
        <v>36</v>
      </c>
      <c r="B4074" s="1">
        <v>40690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</row>
    <row r="4075" spans="1:8" x14ac:dyDescent="0.3">
      <c r="A4075" t="s">
        <v>36</v>
      </c>
      <c r="B4075" s="1">
        <v>40697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</row>
    <row r="4076" spans="1:8" x14ac:dyDescent="0.3">
      <c r="A4076" t="s">
        <v>36</v>
      </c>
      <c r="B4076" s="1">
        <v>40704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</row>
    <row r="4077" spans="1:8" x14ac:dyDescent="0.3">
      <c r="A4077" t="s">
        <v>36</v>
      </c>
      <c r="B4077" s="1">
        <v>40711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</row>
    <row r="4078" spans="1:8" x14ac:dyDescent="0.3">
      <c r="A4078" t="s">
        <v>36</v>
      </c>
      <c r="B4078" s="1">
        <v>40718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</row>
    <row r="4079" spans="1:8" x14ac:dyDescent="0.3">
      <c r="A4079" t="s">
        <v>36</v>
      </c>
      <c r="B4079" s="1">
        <v>40725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</row>
    <row r="4080" spans="1:8" x14ac:dyDescent="0.3">
      <c r="A4080" t="s">
        <v>36</v>
      </c>
      <c r="B4080" s="1">
        <v>40732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</row>
    <row r="4081" spans="1:8" x14ac:dyDescent="0.3">
      <c r="A4081" t="s">
        <v>36</v>
      </c>
      <c r="B4081" s="1">
        <v>40739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</row>
    <row r="4082" spans="1:8" x14ac:dyDescent="0.3">
      <c r="A4082" t="s">
        <v>36</v>
      </c>
      <c r="B4082" s="1">
        <v>40746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</row>
    <row r="4083" spans="1:8" x14ac:dyDescent="0.3">
      <c r="A4083" t="s">
        <v>36</v>
      </c>
      <c r="B4083" s="1">
        <v>40753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</row>
    <row r="4084" spans="1:8" x14ac:dyDescent="0.3">
      <c r="A4084" t="s">
        <v>36</v>
      </c>
      <c r="B4084" s="1">
        <v>40760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</row>
    <row r="4085" spans="1:8" x14ac:dyDescent="0.3">
      <c r="A4085" t="s">
        <v>36</v>
      </c>
      <c r="B4085" s="1">
        <v>40767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</row>
    <row r="4086" spans="1:8" x14ac:dyDescent="0.3">
      <c r="A4086" t="s">
        <v>36</v>
      </c>
      <c r="B4086" s="1">
        <v>40774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</row>
    <row r="4087" spans="1:8" x14ac:dyDescent="0.3">
      <c r="A4087" t="s">
        <v>36</v>
      </c>
      <c r="B4087" s="1">
        <v>40781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</row>
    <row r="4088" spans="1:8" x14ac:dyDescent="0.3">
      <c r="A4088" t="s">
        <v>36</v>
      </c>
      <c r="B4088" s="1">
        <v>40788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</row>
    <row r="4089" spans="1:8" x14ac:dyDescent="0.3">
      <c r="A4089" t="s">
        <v>36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</row>
    <row r="4090" spans="1:8" x14ac:dyDescent="0.3">
      <c r="A4090" t="s">
        <v>36</v>
      </c>
      <c r="B4090" s="1">
        <v>40802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</row>
    <row r="4091" spans="1:8" x14ac:dyDescent="0.3">
      <c r="A4091" t="s">
        <v>36</v>
      </c>
      <c r="B4091" s="1">
        <v>40809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</row>
    <row r="4092" spans="1:8" x14ac:dyDescent="0.3">
      <c r="A4092" t="s">
        <v>36</v>
      </c>
      <c r="B4092" s="1">
        <v>40816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</row>
    <row r="4093" spans="1:8" x14ac:dyDescent="0.3">
      <c r="A4093" t="s">
        <v>36</v>
      </c>
      <c r="B4093" s="1">
        <v>40823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</row>
    <row r="4094" spans="1:8" x14ac:dyDescent="0.3">
      <c r="A4094" t="s">
        <v>36</v>
      </c>
      <c r="B4094" s="1">
        <v>40830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</row>
    <row r="4095" spans="1:8" x14ac:dyDescent="0.3">
      <c r="A4095" t="s">
        <v>36</v>
      </c>
      <c r="B4095" s="1">
        <v>40837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</row>
    <row r="4096" spans="1:8" x14ac:dyDescent="0.3">
      <c r="A4096" t="s">
        <v>36</v>
      </c>
      <c r="B4096" s="1">
        <v>40844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</row>
    <row r="4097" spans="1:8" x14ac:dyDescent="0.3">
      <c r="A4097" t="s">
        <v>36</v>
      </c>
      <c r="B4097" s="1">
        <v>40851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</row>
    <row r="4098" spans="1:8" x14ac:dyDescent="0.3">
      <c r="A4098" t="s">
        <v>36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</row>
    <row r="4099" spans="1:8" x14ac:dyDescent="0.3">
      <c r="A4099" t="s">
        <v>36</v>
      </c>
      <c r="B4099" s="1">
        <v>40865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</row>
    <row r="4100" spans="1:8" x14ac:dyDescent="0.3">
      <c r="A4100" t="s">
        <v>36</v>
      </c>
      <c r="B4100" s="1">
        <v>40872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</row>
    <row r="4101" spans="1:8" x14ac:dyDescent="0.3">
      <c r="A4101" t="s">
        <v>36</v>
      </c>
      <c r="B4101" s="1">
        <v>40879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</row>
    <row r="4102" spans="1:8" x14ac:dyDescent="0.3">
      <c r="A4102" t="s">
        <v>36</v>
      </c>
      <c r="B4102" s="1">
        <v>40886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</row>
    <row r="4103" spans="1:8" x14ac:dyDescent="0.3">
      <c r="A4103" t="s">
        <v>36</v>
      </c>
      <c r="B4103" s="1">
        <v>40893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</row>
    <row r="4104" spans="1:8" x14ac:dyDescent="0.3">
      <c r="A4104" t="s">
        <v>36</v>
      </c>
      <c r="B4104" s="1">
        <v>40900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</row>
    <row r="4105" spans="1:8" x14ac:dyDescent="0.3">
      <c r="A4105" t="s">
        <v>36</v>
      </c>
      <c r="B4105" s="1">
        <v>40907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</row>
    <row r="4106" spans="1:8" x14ac:dyDescent="0.3">
      <c r="A4106" t="s">
        <v>36</v>
      </c>
      <c r="B4106" s="1">
        <v>40914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</row>
    <row r="4107" spans="1:8" x14ac:dyDescent="0.3">
      <c r="A4107" t="s">
        <v>36</v>
      </c>
      <c r="B4107" s="1">
        <v>40921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</row>
    <row r="4108" spans="1:8" x14ac:dyDescent="0.3">
      <c r="A4108" t="s">
        <v>36</v>
      </c>
      <c r="B4108" s="1">
        <v>40928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</row>
    <row r="4109" spans="1:8" x14ac:dyDescent="0.3">
      <c r="A4109" t="s">
        <v>36</v>
      </c>
      <c r="B4109" s="1">
        <v>40935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</row>
    <row r="4110" spans="1:8" x14ac:dyDescent="0.3">
      <c r="A4110" t="s">
        <v>36</v>
      </c>
      <c r="B4110" s="1">
        <v>40942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</row>
    <row r="4111" spans="1:8" x14ac:dyDescent="0.3">
      <c r="A4111" t="s">
        <v>36</v>
      </c>
      <c r="B4111" s="1">
        <v>40949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</row>
    <row r="4112" spans="1:8" x14ac:dyDescent="0.3">
      <c r="A4112" t="s">
        <v>36</v>
      </c>
      <c r="B4112" s="1">
        <v>40956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</row>
    <row r="4113" spans="1:8" x14ac:dyDescent="0.3">
      <c r="A4113" t="s">
        <v>36</v>
      </c>
      <c r="B4113" s="1">
        <v>40963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</row>
    <row r="4114" spans="1:8" x14ac:dyDescent="0.3">
      <c r="A4114" t="s">
        <v>36</v>
      </c>
      <c r="B4114" s="1">
        <v>40970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</row>
    <row r="4115" spans="1:8" x14ac:dyDescent="0.3">
      <c r="A4115" t="s">
        <v>36</v>
      </c>
      <c r="B4115" s="1">
        <v>40977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</row>
    <row r="4116" spans="1:8" x14ac:dyDescent="0.3">
      <c r="A4116" t="s">
        <v>36</v>
      </c>
      <c r="B4116" s="1">
        <v>40984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</row>
    <row r="4117" spans="1:8" x14ac:dyDescent="0.3">
      <c r="A4117" t="s">
        <v>36</v>
      </c>
      <c r="B4117" s="1">
        <v>40991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</row>
    <row r="4118" spans="1:8" x14ac:dyDescent="0.3">
      <c r="A4118" t="s">
        <v>36</v>
      </c>
      <c r="B4118" s="1">
        <v>40998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</row>
    <row r="4119" spans="1:8" x14ac:dyDescent="0.3">
      <c r="A4119" t="s">
        <v>36</v>
      </c>
      <c r="B4119" s="1">
        <v>41005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</row>
    <row r="4120" spans="1:8" x14ac:dyDescent="0.3">
      <c r="A4120" t="s">
        <v>36</v>
      </c>
      <c r="B4120" s="1">
        <v>41012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</row>
    <row r="4121" spans="1:8" x14ac:dyDescent="0.3">
      <c r="A4121" t="s">
        <v>36</v>
      </c>
      <c r="B4121" s="1">
        <v>41019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</row>
    <row r="4122" spans="1:8" x14ac:dyDescent="0.3">
      <c r="A4122" t="s">
        <v>36</v>
      </c>
      <c r="B4122" s="1">
        <v>41026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</row>
    <row r="4123" spans="1:8" x14ac:dyDescent="0.3">
      <c r="A4123" t="s">
        <v>36</v>
      </c>
      <c r="B4123" s="1">
        <v>41033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</row>
    <row r="4124" spans="1:8" x14ac:dyDescent="0.3">
      <c r="A4124" t="s">
        <v>36</v>
      </c>
      <c r="B4124" s="1">
        <v>41040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</row>
    <row r="4125" spans="1:8" x14ac:dyDescent="0.3">
      <c r="A4125" t="s">
        <v>36</v>
      </c>
      <c r="B4125" s="1">
        <v>41047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</row>
    <row r="4126" spans="1:8" x14ac:dyDescent="0.3">
      <c r="A4126" t="s">
        <v>36</v>
      </c>
      <c r="B4126" s="1">
        <v>41054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</row>
    <row r="4127" spans="1:8" x14ac:dyDescent="0.3">
      <c r="A4127" t="s">
        <v>36</v>
      </c>
      <c r="B4127" s="1">
        <v>41061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</row>
    <row r="4128" spans="1:8" x14ac:dyDescent="0.3">
      <c r="A4128" t="s">
        <v>36</v>
      </c>
      <c r="B4128" s="1">
        <v>41068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</row>
    <row r="4129" spans="1:8" x14ac:dyDescent="0.3">
      <c r="A4129" t="s">
        <v>36</v>
      </c>
      <c r="B4129" s="1">
        <v>41075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</row>
    <row r="4130" spans="1:8" x14ac:dyDescent="0.3">
      <c r="A4130" t="s">
        <v>36</v>
      </c>
      <c r="B4130" s="1">
        <v>41082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</row>
    <row r="4131" spans="1:8" x14ac:dyDescent="0.3">
      <c r="A4131" t="s">
        <v>36</v>
      </c>
      <c r="B4131" s="1">
        <v>41089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</row>
    <row r="4132" spans="1:8" x14ac:dyDescent="0.3">
      <c r="A4132" t="s">
        <v>36</v>
      </c>
      <c r="B4132" s="1">
        <v>41096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</row>
    <row r="4133" spans="1:8" x14ac:dyDescent="0.3">
      <c r="A4133" t="s">
        <v>36</v>
      </c>
      <c r="B4133" s="1">
        <v>41103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</row>
    <row r="4134" spans="1:8" x14ac:dyDescent="0.3">
      <c r="A4134" t="s">
        <v>36</v>
      </c>
      <c r="B4134" s="1">
        <v>41110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</row>
    <row r="4135" spans="1:8" x14ac:dyDescent="0.3">
      <c r="A4135" t="s">
        <v>36</v>
      </c>
      <c r="B4135" s="1">
        <v>41117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</row>
    <row r="4136" spans="1:8" x14ac:dyDescent="0.3">
      <c r="A4136" t="s">
        <v>36</v>
      </c>
      <c r="B4136" s="1">
        <v>41124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</row>
    <row r="4137" spans="1:8" x14ac:dyDescent="0.3">
      <c r="A4137" t="s">
        <v>36</v>
      </c>
      <c r="B4137" s="1">
        <v>41131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</row>
    <row r="4138" spans="1:8" x14ac:dyDescent="0.3">
      <c r="A4138" t="s">
        <v>36</v>
      </c>
      <c r="B4138" s="1">
        <v>41138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</row>
    <row r="4139" spans="1:8" x14ac:dyDescent="0.3">
      <c r="A4139" t="s">
        <v>36</v>
      </c>
      <c r="B4139" s="1">
        <v>41145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</row>
    <row r="4140" spans="1:8" x14ac:dyDescent="0.3">
      <c r="A4140" t="s">
        <v>36</v>
      </c>
      <c r="B4140" s="1">
        <v>41152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</row>
    <row r="4141" spans="1:8" x14ac:dyDescent="0.3">
      <c r="A4141" t="s">
        <v>36</v>
      </c>
      <c r="B4141" s="1">
        <v>41159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</row>
    <row r="4142" spans="1:8" x14ac:dyDescent="0.3">
      <c r="A4142" t="s">
        <v>36</v>
      </c>
      <c r="B4142" s="1">
        <v>41166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</row>
    <row r="4143" spans="1:8" x14ac:dyDescent="0.3">
      <c r="A4143" t="s">
        <v>36</v>
      </c>
      <c r="B4143" s="1">
        <v>41173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</row>
    <row r="4144" spans="1:8" x14ac:dyDescent="0.3">
      <c r="A4144" t="s">
        <v>36</v>
      </c>
      <c r="B4144" s="1">
        <v>41180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</row>
    <row r="4145" spans="1:8" x14ac:dyDescent="0.3">
      <c r="A4145" t="s">
        <v>36</v>
      </c>
      <c r="B4145" s="1">
        <v>41187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</row>
    <row r="4146" spans="1:8" x14ac:dyDescent="0.3">
      <c r="A4146" t="s">
        <v>36</v>
      </c>
      <c r="B4146" s="1">
        <v>41194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</row>
    <row r="4147" spans="1:8" x14ac:dyDescent="0.3">
      <c r="A4147" t="s">
        <v>36</v>
      </c>
      <c r="B4147" s="1">
        <v>41201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</row>
    <row r="4148" spans="1:8" x14ac:dyDescent="0.3">
      <c r="A4148" t="s">
        <v>36</v>
      </c>
      <c r="B4148" s="1">
        <v>41208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</row>
    <row r="4149" spans="1:8" x14ac:dyDescent="0.3">
      <c r="A4149" t="s">
        <v>37</v>
      </c>
      <c r="B4149" s="1">
        <v>40214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</row>
    <row r="4150" spans="1:8" x14ac:dyDescent="0.3">
      <c r="A4150" t="s">
        <v>37</v>
      </c>
      <c r="B4150" s="1">
        <v>40221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</row>
    <row r="4151" spans="1:8" x14ac:dyDescent="0.3">
      <c r="A4151" t="s">
        <v>37</v>
      </c>
      <c r="B4151" s="1">
        <v>40228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</row>
    <row r="4152" spans="1:8" x14ac:dyDescent="0.3">
      <c r="A4152" t="s">
        <v>37</v>
      </c>
      <c r="B4152" s="1">
        <v>40235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</row>
    <row r="4153" spans="1:8" x14ac:dyDescent="0.3">
      <c r="A4153" t="s">
        <v>37</v>
      </c>
      <c r="B4153" s="1">
        <v>40242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</row>
    <row r="4154" spans="1:8" x14ac:dyDescent="0.3">
      <c r="A4154" t="s">
        <v>37</v>
      </c>
      <c r="B4154" s="1">
        <v>40249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</row>
    <row r="4155" spans="1:8" x14ac:dyDescent="0.3">
      <c r="A4155" t="s">
        <v>37</v>
      </c>
      <c r="B4155" s="1">
        <v>40256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</row>
    <row r="4156" spans="1:8" x14ac:dyDescent="0.3">
      <c r="A4156" t="s">
        <v>37</v>
      </c>
      <c r="B4156" s="1">
        <v>40263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</row>
    <row r="4157" spans="1:8" x14ac:dyDescent="0.3">
      <c r="A4157" t="s">
        <v>37</v>
      </c>
      <c r="B4157" s="1">
        <v>40270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</row>
    <row r="4158" spans="1:8" x14ac:dyDescent="0.3">
      <c r="A4158" t="s">
        <v>37</v>
      </c>
      <c r="B4158" s="1">
        <v>40277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</row>
    <row r="4159" spans="1:8" x14ac:dyDescent="0.3">
      <c r="A4159" t="s">
        <v>37</v>
      </c>
      <c r="B4159" s="1">
        <v>40284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</row>
    <row r="4160" spans="1:8" x14ac:dyDescent="0.3">
      <c r="A4160" t="s">
        <v>37</v>
      </c>
      <c r="B4160" s="1">
        <v>40291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</row>
    <row r="4161" spans="1:8" x14ac:dyDescent="0.3">
      <c r="A4161" t="s">
        <v>37</v>
      </c>
      <c r="B4161" s="1">
        <v>40298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</row>
    <row r="4162" spans="1:8" x14ac:dyDescent="0.3">
      <c r="A4162" t="s">
        <v>37</v>
      </c>
      <c r="B4162" s="1">
        <v>40305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</row>
    <row r="4163" spans="1:8" x14ac:dyDescent="0.3">
      <c r="A4163" t="s">
        <v>37</v>
      </c>
      <c r="B4163" s="1">
        <v>40312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</row>
    <row r="4164" spans="1:8" x14ac:dyDescent="0.3">
      <c r="A4164" t="s">
        <v>37</v>
      </c>
      <c r="B4164" s="1">
        <v>40319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</row>
    <row r="4165" spans="1:8" x14ac:dyDescent="0.3">
      <c r="A4165" t="s">
        <v>37</v>
      </c>
      <c r="B4165" s="1">
        <v>40326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</row>
    <row r="4166" spans="1:8" x14ac:dyDescent="0.3">
      <c r="A4166" t="s">
        <v>37</v>
      </c>
      <c r="B4166" s="1">
        <v>40333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</row>
    <row r="4167" spans="1:8" x14ac:dyDescent="0.3">
      <c r="A4167" t="s">
        <v>37</v>
      </c>
      <c r="B4167" s="1">
        <v>40340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</row>
    <row r="4168" spans="1:8" x14ac:dyDescent="0.3">
      <c r="A4168" t="s">
        <v>37</v>
      </c>
      <c r="B4168" s="1">
        <v>40347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</row>
    <row r="4169" spans="1:8" x14ac:dyDescent="0.3">
      <c r="A4169" t="s">
        <v>37</v>
      </c>
      <c r="B4169" s="1">
        <v>40354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</row>
    <row r="4170" spans="1:8" x14ac:dyDescent="0.3">
      <c r="A4170" t="s">
        <v>37</v>
      </c>
      <c r="B4170" s="1">
        <v>40361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</row>
    <row r="4171" spans="1:8" x14ac:dyDescent="0.3">
      <c r="A4171" t="s">
        <v>37</v>
      </c>
      <c r="B4171" s="1">
        <v>40368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</row>
    <row r="4172" spans="1:8" x14ac:dyDescent="0.3">
      <c r="A4172" t="s">
        <v>37</v>
      </c>
      <c r="B4172" s="1">
        <v>40375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</row>
    <row r="4173" spans="1:8" x14ac:dyDescent="0.3">
      <c r="A4173" t="s">
        <v>37</v>
      </c>
      <c r="B4173" s="1">
        <v>40382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</row>
    <row r="4174" spans="1:8" x14ac:dyDescent="0.3">
      <c r="A4174" t="s">
        <v>37</v>
      </c>
      <c r="B4174" s="1">
        <v>40389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</row>
    <row r="4175" spans="1:8" x14ac:dyDescent="0.3">
      <c r="A4175" t="s">
        <v>37</v>
      </c>
      <c r="B4175" s="1">
        <v>40396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</row>
    <row r="4176" spans="1:8" x14ac:dyDescent="0.3">
      <c r="A4176" t="s">
        <v>37</v>
      </c>
      <c r="B4176" s="1">
        <v>40403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</row>
    <row r="4177" spans="1:8" x14ac:dyDescent="0.3">
      <c r="A4177" t="s">
        <v>37</v>
      </c>
      <c r="B4177" s="1">
        <v>40410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</row>
    <row r="4178" spans="1:8" x14ac:dyDescent="0.3">
      <c r="A4178" t="s">
        <v>37</v>
      </c>
      <c r="B4178" s="1">
        <v>40417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</row>
    <row r="4179" spans="1:8" x14ac:dyDescent="0.3">
      <c r="A4179" t="s">
        <v>37</v>
      </c>
      <c r="B4179" s="1">
        <v>40424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</row>
    <row r="4180" spans="1:8" x14ac:dyDescent="0.3">
      <c r="A4180" t="s">
        <v>37</v>
      </c>
      <c r="B4180" s="1">
        <v>40431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</row>
    <row r="4181" spans="1:8" x14ac:dyDescent="0.3">
      <c r="A4181" t="s">
        <v>37</v>
      </c>
      <c r="B4181" s="1">
        <v>40438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</row>
    <row r="4182" spans="1:8" x14ac:dyDescent="0.3">
      <c r="A4182" t="s">
        <v>37</v>
      </c>
      <c r="B4182" s="1">
        <v>40445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</row>
    <row r="4183" spans="1:8" x14ac:dyDescent="0.3">
      <c r="A4183" t="s">
        <v>37</v>
      </c>
      <c r="B4183" s="1">
        <v>40452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</row>
    <row r="4184" spans="1:8" x14ac:dyDescent="0.3">
      <c r="A4184" t="s">
        <v>37</v>
      </c>
      <c r="B4184" s="1">
        <v>40459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</row>
    <row r="4185" spans="1:8" x14ac:dyDescent="0.3">
      <c r="A4185" t="s">
        <v>37</v>
      </c>
      <c r="B4185" s="1">
        <v>40466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</row>
    <row r="4186" spans="1:8" x14ac:dyDescent="0.3">
      <c r="A4186" t="s">
        <v>37</v>
      </c>
      <c r="B4186" s="1">
        <v>40473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</row>
    <row r="4187" spans="1:8" x14ac:dyDescent="0.3">
      <c r="A4187" t="s">
        <v>37</v>
      </c>
      <c r="B4187" s="1">
        <v>40480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</row>
    <row r="4188" spans="1:8" x14ac:dyDescent="0.3">
      <c r="A4188" t="s">
        <v>37</v>
      </c>
      <c r="B4188" s="1">
        <v>40487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</row>
    <row r="4189" spans="1:8" x14ac:dyDescent="0.3">
      <c r="A4189" t="s">
        <v>37</v>
      </c>
      <c r="B4189" s="1">
        <v>40494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</row>
    <row r="4190" spans="1:8" x14ac:dyDescent="0.3">
      <c r="A4190" t="s">
        <v>37</v>
      </c>
      <c r="B4190" s="1">
        <v>40501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</row>
    <row r="4191" spans="1:8" x14ac:dyDescent="0.3">
      <c r="A4191" t="s">
        <v>37</v>
      </c>
      <c r="B4191" s="1">
        <v>40508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</row>
    <row r="4192" spans="1:8" x14ac:dyDescent="0.3">
      <c r="A4192" t="s">
        <v>37</v>
      </c>
      <c r="B4192" s="1">
        <v>40515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</row>
    <row r="4193" spans="1:8" x14ac:dyDescent="0.3">
      <c r="A4193" t="s">
        <v>37</v>
      </c>
      <c r="B4193" s="1">
        <v>40522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</row>
    <row r="4194" spans="1:8" x14ac:dyDescent="0.3">
      <c r="A4194" t="s">
        <v>37</v>
      </c>
      <c r="B4194" s="1">
        <v>40529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</row>
    <row r="4195" spans="1:8" x14ac:dyDescent="0.3">
      <c r="A4195" t="s">
        <v>37</v>
      </c>
      <c r="B4195" s="1">
        <v>40536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</row>
    <row r="4196" spans="1:8" x14ac:dyDescent="0.3">
      <c r="A4196" t="s">
        <v>37</v>
      </c>
      <c r="B4196" s="1">
        <v>40543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</row>
    <row r="4197" spans="1:8" x14ac:dyDescent="0.3">
      <c r="A4197" t="s">
        <v>37</v>
      </c>
      <c r="B4197" s="1">
        <v>40550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</row>
    <row r="4198" spans="1:8" x14ac:dyDescent="0.3">
      <c r="A4198" t="s">
        <v>37</v>
      </c>
      <c r="B4198" s="1">
        <v>40557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</row>
    <row r="4199" spans="1:8" x14ac:dyDescent="0.3">
      <c r="A4199" t="s">
        <v>37</v>
      </c>
      <c r="B4199" s="1">
        <v>40564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</row>
    <row r="4200" spans="1:8" x14ac:dyDescent="0.3">
      <c r="A4200" t="s">
        <v>37</v>
      </c>
      <c r="B4200" s="1">
        <v>40571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</row>
    <row r="4201" spans="1:8" x14ac:dyDescent="0.3">
      <c r="A4201" t="s">
        <v>37</v>
      </c>
      <c r="B4201" s="1">
        <v>40578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</row>
    <row r="4202" spans="1:8" x14ac:dyDescent="0.3">
      <c r="A4202" t="s">
        <v>37</v>
      </c>
      <c r="B4202" s="1">
        <v>40585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</row>
    <row r="4203" spans="1:8" x14ac:dyDescent="0.3">
      <c r="A4203" t="s">
        <v>37</v>
      </c>
      <c r="B4203" s="1">
        <v>40592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</row>
    <row r="4204" spans="1:8" x14ac:dyDescent="0.3">
      <c r="A4204" t="s">
        <v>37</v>
      </c>
      <c r="B4204" s="1">
        <v>40599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</row>
    <row r="4205" spans="1:8" x14ac:dyDescent="0.3">
      <c r="A4205" t="s">
        <v>37</v>
      </c>
      <c r="B4205" s="1">
        <v>40606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</row>
    <row r="4206" spans="1:8" x14ac:dyDescent="0.3">
      <c r="A4206" t="s">
        <v>37</v>
      </c>
      <c r="B4206" s="1">
        <v>40613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</row>
    <row r="4207" spans="1:8" x14ac:dyDescent="0.3">
      <c r="A4207" t="s">
        <v>37</v>
      </c>
      <c r="B4207" s="1">
        <v>40620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</row>
    <row r="4208" spans="1:8" x14ac:dyDescent="0.3">
      <c r="A4208" t="s">
        <v>37</v>
      </c>
      <c r="B4208" s="1">
        <v>40627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</row>
    <row r="4209" spans="1:8" x14ac:dyDescent="0.3">
      <c r="A4209" t="s">
        <v>37</v>
      </c>
      <c r="B4209" s="1">
        <v>40634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 x14ac:dyDescent="0.3">
      <c r="A4210" t="s">
        <v>37</v>
      </c>
      <c r="B4210" s="1">
        <v>40641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</row>
    <row r="4211" spans="1:8" x14ac:dyDescent="0.3">
      <c r="A4211" t="s">
        <v>37</v>
      </c>
      <c r="B4211" s="1">
        <v>40648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</row>
    <row r="4212" spans="1:8" x14ac:dyDescent="0.3">
      <c r="A4212" t="s">
        <v>37</v>
      </c>
      <c r="B4212" s="1">
        <v>40655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</row>
    <row r="4213" spans="1:8" x14ac:dyDescent="0.3">
      <c r="A4213" t="s">
        <v>37</v>
      </c>
      <c r="B4213" s="1">
        <v>40662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 x14ac:dyDescent="0.3">
      <c r="A4214" t="s">
        <v>37</v>
      </c>
      <c r="B4214" s="1">
        <v>40669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</row>
    <row r="4215" spans="1:8" x14ac:dyDescent="0.3">
      <c r="A4215" t="s">
        <v>37</v>
      </c>
      <c r="B4215" s="1">
        <v>40676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</row>
    <row r="4216" spans="1:8" x14ac:dyDescent="0.3">
      <c r="A4216" t="s">
        <v>37</v>
      </c>
      <c r="B4216" s="1">
        <v>40683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</row>
    <row r="4217" spans="1:8" x14ac:dyDescent="0.3">
      <c r="A4217" t="s">
        <v>37</v>
      </c>
      <c r="B4217" s="1">
        <v>40690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</row>
    <row r="4218" spans="1:8" x14ac:dyDescent="0.3">
      <c r="A4218" t="s">
        <v>37</v>
      </c>
      <c r="B4218" s="1">
        <v>40697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</row>
    <row r="4219" spans="1:8" x14ac:dyDescent="0.3">
      <c r="A4219" t="s">
        <v>37</v>
      </c>
      <c r="B4219" s="1">
        <v>40704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</row>
    <row r="4220" spans="1:8" x14ac:dyDescent="0.3">
      <c r="A4220" t="s">
        <v>37</v>
      </c>
      <c r="B4220" s="1">
        <v>40711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</row>
    <row r="4221" spans="1:8" x14ac:dyDescent="0.3">
      <c r="A4221" t="s">
        <v>37</v>
      </c>
      <c r="B4221" s="1">
        <v>40718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</row>
    <row r="4222" spans="1:8" x14ac:dyDescent="0.3">
      <c r="A4222" t="s">
        <v>37</v>
      </c>
      <c r="B4222" s="1">
        <v>40725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</row>
    <row r="4223" spans="1:8" x14ac:dyDescent="0.3">
      <c r="A4223" t="s">
        <v>37</v>
      </c>
      <c r="B4223" s="1">
        <v>40732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</row>
    <row r="4224" spans="1:8" x14ac:dyDescent="0.3">
      <c r="A4224" t="s">
        <v>37</v>
      </c>
      <c r="B4224" s="1">
        <v>40739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</row>
    <row r="4225" spans="1:8" x14ac:dyDescent="0.3">
      <c r="A4225" t="s">
        <v>37</v>
      </c>
      <c r="B4225" s="1">
        <v>40746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</row>
    <row r="4226" spans="1:8" x14ac:dyDescent="0.3">
      <c r="A4226" t="s">
        <v>37</v>
      </c>
      <c r="B4226" s="1">
        <v>40753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</row>
    <row r="4227" spans="1:8" x14ac:dyDescent="0.3">
      <c r="A4227" t="s">
        <v>37</v>
      </c>
      <c r="B4227" s="1">
        <v>40760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</row>
    <row r="4228" spans="1:8" x14ac:dyDescent="0.3">
      <c r="A4228" t="s">
        <v>37</v>
      </c>
      <c r="B4228" s="1">
        <v>40767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</row>
    <row r="4229" spans="1:8" x14ac:dyDescent="0.3">
      <c r="A4229" t="s">
        <v>37</v>
      </c>
      <c r="B4229" s="1">
        <v>40774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</row>
    <row r="4230" spans="1:8" x14ac:dyDescent="0.3">
      <c r="A4230" t="s">
        <v>37</v>
      </c>
      <c r="B4230" s="1">
        <v>40781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</row>
    <row r="4231" spans="1:8" x14ac:dyDescent="0.3">
      <c r="A4231" t="s">
        <v>37</v>
      </c>
      <c r="B4231" s="1">
        <v>40788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</row>
    <row r="4232" spans="1:8" x14ac:dyDescent="0.3">
      <c r="A4232" t="s">
        <v>37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</row>
    <row r="4233" spans="1:8" x14ac:dyDescent="0.3">
      <c r="A4233" t="s">
        <v>37</v>
      </c>
      <c r="B4233" s="1">
        <v>40802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</row>
    <row r="4234" spans="1:8" x14ac:dyDescent="0.3">
      <c r="A4234" t="s">
        <v>37</v>
      </c>
      <c r="B4234" s="1">
        <v>40809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</row>
    <row r="4235" spans="1:8" x14ac:dyDescent="0.3">
      <c r="A4235" t="s">
        <v>37</v>
      </c>
      <c r="B4235" s="1">
        <v>40816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</row>
    <row r="4236" spans="1:8" x14ac:dyDescent="0.3">
      <c r="A4236" t="s">
        <v>37</v>
      </c>
      <c r="B4236" s="1">
        <v>40823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</row>
    <row r="4237" spans="1:8" x14ac:dyDescent="0.3">
      <c r="A4237" t="s">
        <v>37</v>
      </c>
      <c r="B4237" s="1">
        <v>40830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</row>
    <row r="4238" spans="1:8" x14ac:dyDescent="0.3">
      <c r="A4238" t="s">
        <v>37</v>
      </c>
      <c r="B4238" s="1">
        <v>40837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</row>
    <row r="4239" spans="1:8" x14ac:dyDescent="0.3">
      <c r="A4239" t="s">
        <v>37</v>
      </c>
      <c r="B4239" s="1">
        <v>40844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</row>
    <row r="4240" spans="1:8" x14ac:dyDescent="0.3">
      <c r="A4240" t="s">
        <v>37</v>
      </c>
      <c r="B4240" s="1">
        <v>40851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</row>
    <row r="4241" spans="1:8" x14ac:dyDescent="0.3">
      <c r="A4241" t="s">
        <v>37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</row>
    <row r="4242" spans="1:8" x14ac:dyDescent="0.3">
      <c r="A4242" t="s">
        <v>37</v>
      </c>
      <c r="B4242" s="1">
        <v>40865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</row>
    <row r="4243" spans="1:8" x14ac:dyDescent="0.3">
      <c r="A4243" t="s">
        <v>37</v>
      </c>
      <c r="B4243" s="1">
        <v>40872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</row>
    <row r="4244" spans="1:8" x14ac:dyDescent="0.3">
      <c r="A4244" t="s">
        <v>37</v>
      </c>
      <c r="B4244" s="1">
        <v>40879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</row>
    <row r="4245" spans="1:8" x14ac:dyDescent="0.3">
      <c r="A4245" t="s">
        <v>37</v>
      </c>
      <c r="B4245" s="1">
        <v>40886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</row>
    <row r="4246" spans="1:8" x14ac:dyDescent="0.3">
      <c r="A4246" t="s">
        <v>37</v>
      </c>
      <c r="B4246" s="1">
        <v>40893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</row>
    <row r="4247" spans="1:8" x14ac:dyDescent="0.3">
      <c r="A4247" t="s">
        <v>37</v>
      </c>
      <c r="B4247" s="1">
        <v>40900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</row>
    <row r="4248" spans="1:8" x14ac:dyDescent="0.3">
      <c r="A4248" t="s">
        <v>37</v>
      </c>
      <c r="B4248" s="1">
        <v>40907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</row>
    <row r="4249" spans="1:8" x14ac:dyDescent="0.3">
      <c r="A4249" t="s">
        <v>37</v>
      </c>
      <c r="B4249" s="1">
        <v>40914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</row>
    <row r="4250" spans="1:8" x14ac:dyDescent="0.3">
      <c r="A4250" t="s">
        <v>37</v>
      </c>
      <c r="B4250" s="1">
        <v>40921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</row>
    <row r="4251" spans="1:8" x14ac:dyDescent="0.3">
      <c r="A4251" t="s">
        <v>37</v>
      </c>
      <c r="B4251" s="1">
        <v>40928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</row>
    <row r="4252" spans="1:8" x14ac:dyDescent="0.3">
      <c r="A4252" t="s">
        <v>37</v>
      </c>
      <c r="B4252" s="1">
        <v>40935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</row>
    <row r="4253" spans="1:8" x14ac:dyDescent="0.3">
      <c r="A4253" t="s">
        <v>37</v>
      </c>
      <c r="B4253" s="1">
        <v>40942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</row>
    <row r="4254" spans="1:8" x14ac:dyDescent="0.3">
      <c r="A4254" t="s">
        <v>37</v>
      </c>
      <c r="B4254" s="1">
        <v>40949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</row>
    <row r="4255" spans="1:8" x14ac:dyDescent="0.3">
      <c r="A4255" t="s">
        <v>37</v>
      </c>
      <c r="B4255" s="1">
        <v>40956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</row>
    <row r="4256" spans="1:8" x14ac:dyDescent="0.3">
      <c r="A4256" t="s">
        <v>37</v>
      </c>
      <c r="B4256" s="1">
        <v>40963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</row>
    <row r="4257" spans="1:8" x14ac:dyDescent="0.3">
      <c r="A4257" t="s">
        <v>37</v>
      </c>
      <c r="B4257" s="1">
        <v>40970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</row>
    <row r="4258" spans="1:8" x14ac:dyDescent="0.3">
      <c r="A4258" t="s">
        <v>37</v>
      </c>
      <c r="B4258" s="1">
        <v>40977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</row>
    <row r="4259" spans="1:8" x14ac:dyDescent="0.3">
      <c r="A4259" t="s">
        <v>37</v>
      </c>
      <c r="B4259" s="1">
        <v>40984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</row>
    <row r="4260" spans="1:8" x14ac:dyDescent="0.3">
      <c r="A4260" t="s">
        <v>37</v>
      </c>
      <c r="B4260" s="1">
        <v>40991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</row>
    <row r="4261" spans="1:8" x14ac:dyDescent="0.3">
      <c r="A4261" t="s">
        <v>37</v>
      </c>
      <c r="B4261" s="1">
        <v>40998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</row>
    <row r="4262" spans="1:8" x14ac:dyDescent="0.3">
      <c r="A4262" t="s">
        <v>37</v>
      </c>
      <c r="B4262" s="1">
        <v>41005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</row>
    <row r="4263" spans="1:8" x14ac:dyDescent="0.3">
      <c r="A4263" t="s">
        <v>37</v>
      </c>
      <c r="B4263" s="1">
        <v>41012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</row>
    <row r="4264" spans="1:8" x14ac:dyDescent="0.3">
      <c r="A4264" t="s">
        <v>37</v>
      </c>
      <c r="B4264" s="1">
        <v>41019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</row>
    <row r="4265" spans="1:8" x14ac:dyDescent="0.3">
      <c r="A4265" t="s">
        <v>37</v>
      </c>
      <c r="B4265" s="1">
        <v>41026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</row>
    <row r="4266" spans="1:8" x14ac:dyDescent="0.3">
      <c r="A4266" t="s">
        <v>37</v>
      </c>
      <c r="B4266" s="1">
        <v>41033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</row>
    <row r="4267" spans="1:8" x14ac:dyDescent="0.3">
      <c r="A4267" t="s">
        <v>37</v>
      </c>
      <c r="B4267" s="1">
        <v>41040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</row>
    <row r="4268" spans="1:8" x14ac:dyDescent="0.3">
      <c r="A4268" t="s">
        <v>37</v>
      </c>
      <c r="B4268" s="1">
        <v>41047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</row>
    <row r="4269" spans="1:8" x14ac:dyDescent="0.3">
      <c r="A4269" t="s">
        <v>37</v>
      </c>
      <c r="B4269" s="1">
        <v>41054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</row>
    <row r="4270" spans="1:8" x14ac:dyDescent="0.3">
      <c r="A4270" t="s">
        <v>37</v>
      </c>
      <c r="B4270" s="1">
        <v>41061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</row>
    <row r="4271" spans="1:8" x14ac:dyDescent="0.3">
      <c r="A4271" t="s">
        <v>37</v>
      </c>
      <c r="B4271" s="1">
        <v>41068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</row>
    <row r="4272" spans="1:8" x14ac:dyDescent="0.3">
      <c r="A4272" t="s">
        <v>37</v>
      </c>
      <c r="B4272" s="1">
        <v>41075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</row>
    <row r="4273" spans="1:8" x14ac:dyDescent="0.3">
      <c r="A4273" t="s">
        <v>37</v>
      </c>
      <c r="B4273" s="1">
        <v>41082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</row>
    <row r="4274" spans="1:8" x14ac:dyDescent="0.3">
      <c r="A4274" t="s">
        <v>37</v>
      </c>
      <c r="B4274" s="1">
        <v>41089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</row>
    <row r="4275" spans="1:8" x14ac:dyDescent="0.3">
      <c r="A4275" t="s">
        <v>37</v>
      </c>
      <c r="B4275" s="1">
        <v>41096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</row>
    <row r="4276" spans="1:8" x14ac:dyDescent="0.3">
      <c r="A4276" t="s">
        <v>37</v>
      </c>
      <c r="B4276" s="1">
        <v>41103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</row>
    <row r="4277" spans="1:8" x14ac:dyDescent="0.3">
      <c r="A4277" t="s">
        <v>37</v>
      </c>
      <c r="B4277" s="1">
        <v>41110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</row>
    <row r="4278" spans="1:8" x14ac:dyDescent="0.3">
      <c r="A4278" t="s">
        <v>37</v>
      </c>
      <c r="B4278" s="1">
        <v>41117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</row>
    <row r="4279" spans="1:8" x14ac:dyDescent="0.3">
      <c r="A4279" t="s">
        <v>37</v>
      </c>
      <c r="B4279" s="1">
        <v>41124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</row>
    <row r="4280" spans="1:8" x14ac:dyDescent="0.3">
      <c r="A4280" t="s">
        <v>37</v>
      </c>
      <c r="B4280" s="1">
        <v>41131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</row>
    <row r="4281" spans="1:8" x14ac:dyDescent="0.3">
      <c r="A4281" t="s">
        <v>37</v>
      </c>
      <c r="B4281" s="1">
        <v>41138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</row>
    <row r="4282" spans="1:8" x14ac:dyDescent="0.3">
      <c r="A4282" t="s">
        <v>37</v>
      </c>
      <c r="B4282" s="1">
        <v>41145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</row>
    <row r="4283" spans="1:8" x14ac:dyDescent="0.3">
      <c r="A4283" t="s">
        <v>37</v>
      </c>
      <c r="B4283" s="1">
        <v>41152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</row>
    <row r="4284" spans="1:8" x14ac:dyDescent="0.3">
      <c r="A4284" t="s">
        <v>37</v>
      </c>
      <c r="B4284" s="1">
        <v>41159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</row>
    <row r="4285" spans="1:8" x14ac:dyDescent="0.3">
      <c r="A4285" t="s">
        <v>37</v>
      </c>
      <c r="B4285" s="1">
        <v>41166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</row>
    <row r="4286" spans="1:8" x14ac:dyDescent="0.3">
      <c r="A4286" t="s">
        <v>37</v>
      </c>
      <c r="B4286" s="1">
        <v>41173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</row>
    <row r="4287" spans="1:8" x14ac:dyDescent="0.3">
      <c r="A4287" t="s">
        <v>37</v>
      </c>
      <c r="B4287" s="1">
        <v>41180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</row>
    <row r="4288" spans="1:8" x14ac:dyDescent="0.3">
      <c r="A4288" t="s">
        <v>37</v>
      </c>
      <c r="B4288" s="1">
        <v>41187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 x14ac:dyDescent="0.3">
      <c r="A4289" t="s">
        <v>37</v>
      </c>
      <c r="B4289" s="1">
        <v>41194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 x14ac:dyDescent="0.3">
      <c r="A4290" t="s">
        <v>37</v>
      </c>
      <c r="B4290" s="1">
        <v>41201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</row>
    <row r="4291" spans="1:8" x14ac:dyDescent="0.3">
      <c r="A4291" t="s">
        <v>37</v>
      </c>
      <c r="B4291" s="1">
        <v>41208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</row>
    <row r="4292" spans="1:8" x14ac:dyDescent="0.3">
      <c r="A4292" t="s">
        <v>38</v>
      </c>
      <c r="B4292" s="1">
        <v>40214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</row>
    <row r="4293" spans="1:8" x14ac:dyDescent="0.3">
      <c r="A4293" t="s">
        <v>38</v>
      </c>
      <c r="B4293" s="1">
        <v>40221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</row>
    <row r="4294" spans="1:8" x14ac:dyDescent="0.3">
      <c r="A4294" t="s">
        <v>38</v>
      </c>
      <c r="B4294" s="1">
        <v>40228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</row>
    <row r="4295" spans="1:8" x14ac:dyDescent="0.3">
      <c r="A4295" t="s">
        <v>38</v>
      </c>
      <c r="B4295" s="1">
        <v>40235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</row>
    <row r="4296" spans="1:8" x14ac:dyDescent="0.3">
      <c r="A4296" t="s">
        <v>38</v>
      </c>
      <c r="B4296" s="1">
        <v>40242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</row>
    <row r="4297" spans="1:8" x14ac:dyDescent="0.3">
      <c r="A4297" t="s">
        <v>38</v>
      </c>
      <c r="B4297" s="1">
        <v>40249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</row>
    <row r="4298" spans="1:8" x14ac:dyDescent="0.3">
      <c r="A4298" t="s">
        <v>38</v>
      </c>
      <c r="B4298" s="1">
        <v>40256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</row>
    <row r="4299" spans="1:8" x14ac:dyDescent="0.3">
      <c r="A4299" t="s">
        <v>38</v>
      </c>
      <c r="B4299" s="1">
        <v>40263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</row>
    <row r="4300" spans="1:8" x14ac:dyDescent="0.3">
      <c r="A4300" t="s">
        <v>38</v>
      </c>
      <c r="B4300" s="1">
        <v>40270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</row>
    <row r="4301" spans="1:8" x14ac:dyDescent="0.3">
      <c r="A4301" t="s">
        <v>38</v>
      </c>
      <c r="B4301" s="1">
        <v>40277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</row>
    <row r="4302" spans="1:8" x14ac:dyDescent="0.3">
      <c r="A4302" t="s">
        <v>38</v>
      </c>
      <c r="B4302" s="1">
        <v>40284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</row>
    <row r="4303" spans="1:8" x14ac:dyDescent="0.3">
      <c r="A4303" t="s">
        <v>38</v>
      </c>
      <c r="B4303" s="1">
        <v>40291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</row>
    <row r="4304" spans="1:8" x14ac:dyDescent="0.3">
      <c r="A4304" t="s">
        <v>38</v>
      </c>
      <c r="B4304" s="1">
        <v>40298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</row>
    <row r="4305" spans="1:8" x14ac:dyDescent="0.3">
      <c r="A4305" t="s">
        <v>38</v>
      </c>
      <c r="B4305" s="1">
        <v>40305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</row>
    <row r="4306" spans="1:8" x14ac:dyDescent="0.3">
      <c r="A4306" t="s">
        <v>38</v>
      </c>
      <c r="B4306" s="1">
        <v>40312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</row>
    <row r="4307" spans="1:8" x14ac:dyDescent="0.3">
      <c r="A4307" t="s">
        <v>38</v>
      </c>
      <c r="B4307" s="1">
        <v>40319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</row>
    <row r="4308" spans="1:8" x14ac:dyDescent="0.3">
      <c r="A4308" t="s">
        <v>38</v>
      </c>
      <c r="B4308" s="1">
        <v>40326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</row>
    <row r="4309" spans="1:8" x14ac:dyDescent="0.3">
      <c r="A4309" t="s">
        <v>38</v>
      </c>
      <c r="B4309" s="1">
        <v>40333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</row>
    <row r="4310" spans="1:8" x14ac:dyDescent="0.3">
      <c r="A4310" t="s">
        <v>38</v>
      </c>
      <c r="B4310" s="1">
        <v>40340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</row>
    <row r="4311" spans="1:8" x14ac:dyDescent="0.3">
      <c r="A4311" t="s">
        <v>38</v>
      </c>
      <c r="B4311" s="1">
        <v>40347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</row>
    <row r="4312" spans="1:8" x14ac:dyDescent="0.3">
      <c r="A4312" t="s">
        <v>38</v>
      </c>
      <c r="B4312" s="1">
        <v>40354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</row>
    <row r="4313" spans="1:8" x14ac:dyDescent="0.3">
      <c r="A4313" t="s">
        <v>38</v>
      </c>
      <c r="B4313" s="1">
        <v>40361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</row>
    <row r="4314" spans="1:8" x14ac:dyDescent="0.3">
      <c r="A4314" t="s">
        <v>38</v>
      </c>
      <c r="B4314" s="1">
        <v>40368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</row>
    <row r="4315" spans="1:8" x14ac:dyDescent="0.3">
      <c r="A4315" t="s">
        <v>38</v>
      </c>
      <c r="B4315" s="1">
        <v>40375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</row>
    <row r="4316" spans="1:8" x14ac:dyDescent="0.3">
      <c r="A4316" t="s">
        <v>38</v>
      </c>
      <c r="B4316" s="1">
        <v>40382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</row>
    <row r="4317" spans="1:8" x14ac:dyDescent="0.3">
      <c r="A4317" t="s">
        <v>38</v>
      </c>
      <c r="B4317" s="1">
        <v>40389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</row>
    <row r="4318" spans="1:8" x14ac:dyDescent="0.3">
      <c r="A4318" t="s">
        <v>38</v>
      </c>
      <c r="B4318" s="1">
        <v>40396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</row>
    <row r="4319" spans="1:8" x14ac:dyDescent="0.3">
      <c r="A4319" t="s">
        <v>38</v>
      </c>
      <c r="B4319" s="1">
        <v>40403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</row>
    <row r="4320" spans="1:8" x14ac:dyDescent="0.3">
      <c r="A4320" t="s">
        <v>38</v>
      </c>
      <c r="B4320" s="1">
        <v>40410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</row>
    <row r="4321" spans="1:8" x14ac:dyDescent="0.3">
      <c r="A4321" t="s">
        <v>38</v>
      </c>
      <c r="B4321" s="1">
        <v>40417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</row>
    <row r="4322" spans="1:8" x14ac:dyDescent="0.3">
      <c r="A4322" t="s">
        <v>38</v>
      </c>
      <c r="B4322" s="1">
        <v>40424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</row>
    <row r="4323" spans="1:8" x14ac:dyDescent="0.3">
      <c r="A4323" t="s">
        <v>38</v>
      </c>
      <c r="B4323" s="1">
        <v>40431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</row>
    <row r="4324" spans="1:8" x14ac:dyDescent="0.3">
      <c r="A4324" t="s">
        <v>38</v>
      </c>
      <c r="B4324" s="1">
        <v>40438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</row>
    <row r="4325" spans="1:8" x14ac:dyDescent="0.3">
      <c r="A4325" t="s">
        <v>38</v>
      </c>
      <c r="B4325" s="1">
        <v>40445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</row>
    <row r="4326" spans="1:8" x14ac:dyDescent="0.3">
      <c r="A4326" t="s">
        <v>38</v>
      </c>
      <c r="B4326" s="1">
        <v>40452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</row>
    <row r="4327" spans="1:8" x14ac:dyDescent="0.3">
      <c r="A4327" t="s">
        <v>38</v>
      </c>
      <c r="B4327" s="1">
        <v>40459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</row>
    <row r="4328" spans="1:8" x14ac:dyDescent="0.3">
      <c r="A4328" t="s">
        <v>38</v>
      </c>
      <c r="B4328" s="1">
        <v>40466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</row>
    <row r="4329" spans="1:8" x14ac:dyDescent="0.3">
      <c r="A4329" t="s">
        <v>38</v>
      </c>
      <c r="B4329" s="1">
        <v>40473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</row>
    <row r="4330" spans="1:8" x14ac:dyDescent="0.3">
      <c r="A4330" t="s">
        <v>38</v>
      </c>
      <c r="B4330" s="1">
        <v>40480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</row>
    <row r="4331" spans="1:8" x14ac:dyDescent="0.3">
      <c r="A4331" t="s">
        <v>38</v>
      </c>
      <c r="B4331" s="1">
        <v>40487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</row>
    <row r="4332" spans="1:8" x14ac:dyDescent="0.3">
      <c r="A4332" t="s">
        <v>38</v>
      </c>
      <c r="B4332" s="1">
        <v>40494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</row>
    <row r="4333" spans="1:8" x14ac:dyDescent="0.3">
      <c r="A4333" t="s">
        <v>38</v>
      </c>
      <c r="B4333" s="1">
        <v>40501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</row>
    <row r="4334" spans="1:8" x14ac:dyDescent="0.3">
      <c r="A4334" t="s">
        <v>38</v>
      </c>
      <c r="B4334" s="1">
        <v>40508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</row>
    <row r="4335" spans="1:8" x14ac:dyDescent="0.3">
      <c r="A4335" t="s">
        <v>38</v>
      </c>
      <c r="B4335" s="1">
        <v>40515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</row>
    <row r="4336" spans="1:8" x14ac:dyDescent="0.3">
      <c r="A4336" t="s">
        <v>38</v>
      </c>
      <c r="B4336" s="1">
        <v>40522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</row>
    <row r="4337" spans="1:8" x14ac:dyDescent="0.3">
      <c r="A4337" t="s">
        <v>38</v>
      </c>
      <c r="B4337" s="1">
        <v>40529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</row>
    <row r="4338" spans="1:8" x14ac:dyDescent="0.3">
      <c r="A4338" t="s">
        <v>38</v>
      </c>
      <c r="B4338" s="1">
        <v>40536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</row>
    <row r="4339" spans="1:8" x14ac:dyDescent="0.3">
      <c r="A4339" t="s">
        <v>38</v>
      </c>
      <c r="B4339" s="1">
        <v>40543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</row>
    <row r="4340" spans="1:8" x14ac:dyDescent="0.3">
      <c r="A4340" t="s">
        <v>38</v>
      </c>
      <c r="B4340" s="1">
        <v>40550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</row>
    <row r="4341" spans="1:8" x14ac:dyDescent="0.3">
      <c r="A4341" t="s">
        <v>38</v>
      </c>
      <c r="B4341" s="1">
        <v>40557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</row>
    <row r="4342" spans="1:8" x14ac:dyDescent="0.3">
      <c r="A4342" t="s">
        <v>38</v>
      </c>
      <c r="B4342" s="1">
        <v>40564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</row>
    <row r="4343" spans="1:8" x14ac:dyDescent="0.3">
      <c r="A4343" t="s">
        <v>38</v>
      </c>
      <c r="B4343" s="1">
        <v>40571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</row>
    <row r="4344" spans="1:8" x14ac:dyDescent="0.3">
      <c r="A4344" t="s">
        <v>38</v>
      </c>
      <c r="B4344" s="1">
        <v>40578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</row>
    <row r="4345" spans="1:8" x14ac:dyDescent="0.3">
      <c r="A4345" t="s">
        <v>38</v>
      </c>
      <c r="B4345" s="1">
        <v>40585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</row>
    <row r="4346" spans="1:8" x14ac:dyDescent="0.3">
      <c r="A4346" t="s">
        <v>38</v>
      </c>
      <c r="B4346" s="1">
        <v>40592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</row>
    <row r="4347" spans="1:8" x14ac:dyDescent="0.3">
      <c r="A4347" t="s">
        <v>38</v>
      </c>
      <c r="B4347" s="1">
        <v>40599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</row>
    <row r="4348" spans="1:8" x14ac:dyDescent="0.3">
      <c r="A4348" t="s">
        <v>38</v>
      </c>
      <c r="B4348" s="1">
        <v>40606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</row>
    <row r="4349" spans="1:8" x14ac:dyDescent="0.3">
      <c r="A4349" t="s">
        <v>38</v>
      </c>
      <c r="B4349" s="1">
        <v>40613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</row>
    <row r="4350" spans="1:8" x14ac:dyDescent="0.3">
      <c r="A4350" t="s">
        <v>38</v>
      </c>
      <c r="B4350" s="1">
        <v>40620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</row>
    <row r="4351" spans="1:8" x14ac:dyDescent="0.3">
      <c r="A4351" t="s">
        <v>38</v>
      </c>
      <c r="B4351" s="1">
        <v>40627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</row>
    <row r="4352" spans="1:8" x14ac:dyDescent="0.3">
      <c r="A4352" t="s">
        <v>38</v>
      </c>
      <c r="B4352" s="1">
        <v>40634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 x14ac:dyDescent="0.3">
      <c r="A4353" t="s">
        <v>38</v>
      </c>
      <c r="B4353" s="1">
        <v>40641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</row>
    <row r="4354" spans="1:8" x14ac:dyDescent="0.3">
      <c r="A4354" t="s">
        <v>38</v>
      </c>
      <c r="B4354" s="1">
        <v>40648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</row>
    <row r="4355" spans="1:8" x14ac:dyDescent="0.3">
      <c r="A4355" t="s">
        <v>38</v>
      </c>
      <c r="B4355" s="1">
        <v>40655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</row>
    <row r="4356" spans="1:8" x14ac:dyDescent="0.3">
      <c r="A4356" t="s">
        <v>38</v>
      </c>
      <c r="B4356" s="1">
        <v>40662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 x14ac:dyDescent="0.3">
      <c r="A4357" t="s">
        <v>38</v>
      </c>
      <c r="B4357" s="1">
        <v>40669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</row>
    <row r="4358" spans="1:8" x14ac:dyDescent="0.3">
      <c r="A4358" t="s">
        <v>38</v>
      </c>
      <c r="B4358" s="1">
        <v>40676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</row>
    <row r="4359" spans="1:8" x14ac:dyDescent="0.3">
      <c r="A4359" t="s">
        <v>38</v>
      </c>
      <c r="B4359" s="1">
        <v>40683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</row>
    <row r="4360" spans="1:8" x14ac:dyDescent="0.3">
      <c r="A4360" t="s">
        <v>38</v>
      </c>
      <c r="B4360" s="1">
        <v>40690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</row>
    <row r="4361" spans="1:8" x14ac:dyDescent="0.3">
      <c r="A4361" t="s">
        <v>38</v>
      </c>
      <c r="B4361" s="1">
        <v>40697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</row>
    <row r="4362" spans="1:8" x14ac:dyDescent="0.3">
      <c r="A4362" t="s">
        <v>38</v>
      </c>
      <c r="B4362" s="1">
        <v>40704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</row>
    <row r="4363" spans="1:8" x14ac:dyDescent="0.3">
      <c r="A4363" t="s">
        <v>38</v>
      </c>
      <c r="B4363" s="1">
        <v>40711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</row>
    <row r="4364" spans="1:8" x14ac:dyDescent="0.3">
      <c r="A4364" t="s">
        <v>38</v>
      </c>
      <c r="B4364" s="1">
        <v>40718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</row>
    <row r="4365" spans="1:8" x14ac:dyDescent="0.3">
      <c r="A4365" t="s">
        <v>38</v>
      </c>
      <c r="B4365" s="1">
        <v>40725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</row>
    <row r="4366" spans="1:8" x14ac:dyDescent="0.3">
      <c r="A4366" t="s">
        <v>38</v>
      </c>
      <c r="B4366" s="1">
        <v>40732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</row>
    <row r="4367" spans="1:8" x14ac:dyDescent="0.3">
      <c r="A4367" t="s">
        <v>38</v>
      </c>
      <c r="B4367" s="1">
        <v>40739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</row>
    <row r="4368" spans="1:8" x14ac:dyDescent="0.3">
      <c r="A4368" t="s">
        <v>38</v>
      </c>
      <c r="B4368" s="1">
        <v>40746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</row>
    <row r="4369" spans="1:8" x14ac:dyDescent="0.3">
      <c r="A4369" t="s">
        <v>38</v>
      </c>
      <c r="B4369" s="1">
        <v>40753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</row>
    <row r="4370" spans="1:8" x14ac:dyDescent="0.3">
      <c r="A4370" t="s">
        <v>38</v>
      </c>
      <c r="B4370" s="1">
        <v>40760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</row>
    <row r="4371" spans="1:8" x14ac:dyDescent="0.3">
      <c r="A4371" t="s">
        <v>38</v>
      </c>
      <c r="B4371" s="1">
        <v>40767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</row>
    <row r="4372" spans="1:8" x14ac:dyDescent="0.3">
      <c r="A4372" t="s">
        <v>38</v>
      </c>
      <c r="B4372" s="1">
        <v>40774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</row>
    <row r="4373" spans="1:8" x14ac:dyDescent="0.3">
      <c r="A4373" t="s">
        <v>38</v>
      </c>
      <c r="B4373" s="1">
        <v>40781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</row>
    <row r="4374" spans="1:8" x14ac:dyDescent="0.3">
      <c r="A4374" t="s">
        <v>38</v>
      </c>
      <c r="B4374" s="1">
        <v>40788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</row>
    <row r="4375" spans="1:8" x14ac:dyDescent="0.3">
      <c r="A4375" t="s">
        <v>38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</row>
    <row r="4376" spans="1:8" x14ac:dyDescent="0.3">
      <c r="A4376" t="s">
        <v>38</v>
      </c>
      <c r="B4376" s="1">
        <v>40802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</row>
    <row r="4377" spans="1:8" x14ac:dyDescent="0.3">
      <c r="A4377" t="s">
        <v>38</v>
      </c>
      <c r="B4377" s="1">
        <v>40809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</row>
    <row r="4378" spans="1:8" x14ac:dyDescent="0.3">
      <c r="A4378" t="s">
        <v>38</v>
      </c>
      <c r="B4378" s="1">
        <v>40816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</row>
    <row r="4379" spans="1:8" x14ac:dyDescent="0.3">
      <c r="A4379" t="s">
        <v>38</v>
      </c>
      <c r="B4379" s="1">
        <v>40823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</row>
    <row r="4380" spans="1:8" x14ac:dyDescent="0.3">
      <c r="A4380" t="s">
        <v>38</v>
      </c>
      <c r="B4380" s="1">
        <v>40830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</row>
    <row r="4381" spans="1:8" x14ac:dyDescent="0.3">
      <c r="A4381" t="s">
        <v>38</v>
      </c>
      <c r="B4381" s="1">
        <v>40837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</row>
    <row r="4382" spans="1:8" x14ac:dyDescent="0.3">
      <c r="A4382" t="s">
        <v>38</v>
      </c>
      <c r="B4382" s="1">
        <v>40844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</row>
    <row r="4383" spans="1:8" x14ac:dyDescent="0.3">
      <c r="A4383" t="s">
        <v>38</v>
      </c>
      <c r="B4383" s="1">
        <v>40851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</row>
    <row r="4384" spans="1:8" x14ac:dyDescent="0.3">
      <c r="A4384" t="s">
        <v>38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</row>
    <row r="4385" spans="1:8" x14ac:dyDescent="0.3">
      <c r="A4385" t="s">
        <v>38</v>
      </c>
      <c r="B4385" s="1">
        <v>40865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</row>
    <row r="4386" spans="1:8" x14ac:dyDescent="0.3">
      <c r="A4386" t="s">
        <v>38</v>
      </c>
      <c r="B4386" s="1">
        <v>40872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</row>
    <row r="4387" spans="1:8" x14ac:dyDescent="0.3">
      <c r="A4387" t="s">
        <v>38</v>
      </c>
      <c r="B4387" s="1">
        <v>40879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</row>
    <row r="4388" spans="1:8" x14ac:dyDescent="0.3">
      <c r="A4388" t="s">
        <v>38</v>
      </c>
      <c r="B4388" s="1">
        <v>40886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</row>
    <row r="4389" spans="1:8" x14ac:dyDescent="0.3">
      <c r="A4389" t="s">
        <v>38</v>
      </c>
      <c r="B4389" s="1">
        <v>40893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</row>
    <row r="4390" spans="1:8" x14ac:dyDescent="0.3">
      <c r="A4390" t="s">
        <v>38</v>
      </c>
      <c r="B4390" s="1">
        <v>40900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</row>
    <row r="4391" spans="1:8" x14ac:dyDescent="0.3">
      <c r="A4391" t="s">
        <v>38</v>
      </c>
      <c r="B4391" s="1">
        <v>40907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</row>
    <row r="4392" spans="1:8" x14ac:dyDescent="0.3">
      <c r="A4392" t="s">
        <v>38</v>
      </c>
      <c r="B4392" s="1">
        <v>40914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</row>
    <row r="4393" spans="1:8" x14ac:dyDescent="0.3">
      <c r="A4393" t="s">
        <v>38</v>
      </c>
      <c r="B4393" s="1">
        <v>40921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</row>
    <row r="4394" spans="1:8" x14ac:dyDescent="0.3">
      <c r="A4394" t="s">
        <v>38</v>
      </c>
      <c r="B4394" s="1">
        <v>40928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</row>
    <row r="4395" spans="1:8" x14ac:dyDescent="0.3">
      <c r="A4395" t="s">
        <v>38</v>
      </c>
      <c r="B4395" s="1">
        <v>40935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</row>
    <row r="4396" spans="1:8" x14ac:dyDescent="0.3">
      <c r="A4396" t="s">
        <v>38</v>
      </c>
      <c r="B4396" s="1">
        <v>40942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</row>
    <row r="4397" spans="1:8" x14ac:dyDescent="0.3">
      <c r="A4397" t="s">
        <v>38</v>
      </c>
      <c r="B4397" s="1">
        <v>40949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</row>
    <row r="4398" spans="1:8" x14ac:dyDescent="0.3">
      <c r="A4398" t="s">
        <v>38</v>
      </c>
      <c r="B4398" s="1">
        <v>40956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</row>
    <row r="4399" spans="1:8" x14ac:dyDescent="0.3">
      <c r="A4399" t="s">
        <v>38</v>
      </c>
      <c r="B4399" s="1">
        <v>40963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</row>
    <row r="4400" spans="1:8" x14ac:dyDescent="0.3">
      <c r="A4400" t="s">
        <v>38</v>
      </c>
      <c r="B4400" s="1">
        <v>40970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</row>
    <row r="4401" spans="1:8" x14ac:dyDescent="0.3">
      <c r="A4401" t="s">
        <v>38</v>
      </c>
      <c r="B4401" s="1">
        <v>40977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</row>
    <row r="4402" spans="1:8" x14ac:dyDescent="0.3">
      <c r="A4402" t="s">
        <v>38</v>
      </c>
      <c r="B4402" s="1">
        <v>40984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</row>
    <row r="4403" spans="1:8" x14ac:dyDescent="0.3">
      <c r="A4403" t="s">
        <v>38</v>
      </c>
      <c r="B4403" s="1">
        <v>40991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</row>
    <row r="4404" spans="1:8" x14ac:dyDescent="0.3">
      <c r="A4404" t="s">
        <v>38</v>
      </c>
      <c r="B4404" s="1">
        <v>40998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</row>
    <row r="4405" spans="1:8" x14ac:dyDescent="0.3">
      <c r="A4405" t="s">
        <v>38</v>
      </c>
      <c r="B4405" s="1">
        <v>41005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</row>
    <row r="4406" spans="1:8" x14ac:dyDescent="0.3">
      <c r="A4406" t="s">
        <v>38</v>
      </c>
      <c r="B4406" s="1">
        <v>41012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</row>
    <row r="4407" spans="1:8" x14ac:dyDescent="0.3">
      <c r="A4407" t="s">
        <v>38</v>
      </c>
      <c r="B4407" s="1">
        <v>41019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</row>
    <row r="4408" spans="1:8" x14ac:dyDescent="0.3">
      <c r="A4408" t="s">
        <v>38</v>
      </c>
      <c r="B4408" s="1">
        <v>41026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</row>
    <row r="4409" spans="1:8" x14ac:dyDescent="0.3">
      <c r="A4409" t="s">
        <v>38</v>
      </c>
      <c r="B4409" s="1">
        <v>41033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</row>
    <row r="4410" spans="1:8" x14ac:dyDescent="0.3">
      <c r="A4410" t="s">
        <v>38</v>
      </c>
      <c r="B4410" s="1">
        <v>41040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</row>
    <row r="4411" spans="1:8" x14ac:dyDescent="0.3">
      <c r="A4411" t="s">
        <v>38</v>
      </c>
      <c r="B4411" s="1">
        <v>41047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</row>
    <row r="4412" spans="1:8" x14ac:dyDescent="0.3">
      <c r="A4412" t="s">
        <v>38</v>
      </c>
      <c r="B4412" s="1">
        <v>41054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</row>
    <row r="4413" spans="1:8" x14ac:dyDescent="0.3">
      <c r="A4413" t="s">
        <v>38</v>
      </c>
      <c r="B4413" s="1">
        <v>41061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</row>
    <row r="4414" spans="1:8" x14ac:dyDescent="0.3">
      <c r="A4414" t="s">
        <v>38</v>
      </c>
      <c r="B4414" s="1">
        <v>41068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</row>
    <row r="4415" spans="1:8" x14ac:dyDescent="0.3">
      <c r="A4415" t="s">
        <v>38</v>
      </c>
      <c r="B4415" s="1">
        <v>41075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</row>
    <row r="4416" spans="1:8" x14ac:dyDescent="0.3">
      <c r="A4416" t="s">
        <v>38</v>
      </c>
      <c r="B4416" s="1">
        <v>41082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</row>
    <row r="4417" spans="1:8" x14ac:dyDescent="0.3">
      <c r="A4417" t="s">
        <v>38</v>
      </c>
      <c r="B4417" s="1">
        <v>41089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</row>
    <row r="4418" spans="1:8" x14ac:dyDescent="0.3">
      <c r="A4418" t="s">
        <v>38</v>
      </c>
      <c r="B4418" s="1">
        <v>41096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</row>
    <row r="4419" spans="1:8" x14ac:dyDescent="0.3">
      <c r="A4419" t="s">
        <v>38</v>
      </c>
      <c r="B4419" s="1">
        <v>41103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</row>
    <row r="4420" spans="1:8" x14ac:dyDescent="0.3">
      <c r="A4420" t="s">
        <v>38</v>
      </c>
      <c r="B4420" s="1">
        <v>41110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</row>
    <row r="4421" spans="1:8" x14ac:dyDescent="0.3">
      <c r="A4421" t="s">
        <v>38</v>
      </c>
      <c r="B4421" s="1">
        <v>41117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</row>
    <row r="4422" spans="1:8" x14ac:dyDescent="0.3">
      <c r="A4422" t="s">
        <v>38</v>
      </c>
      <c r="B4422" s="1">
        <v>41124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</row>
    <row r="4423" spans="1:8" x14ac:dyDescent="0.3">
      <c r="A4423" t="s">
        <v>38</v>
      </c>
      <c r="B4423" s="1">
        <v>41131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</row>
    <row r="4424" spans="1:8" x14ac:dyDescent="0.3">
      <c r="A4424" t="s">
        <v>38</v>
      </c>
      <c r="B4424" s="1">
        <v>41138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</row>
    <row r="4425" spans="1:8" x14ac:dyDescent="0.3">
      <c r="A4425" t="s">
        <v>38</v>
      </c>
      <c r="B4425" s="1">
        <v>41145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</row>
    <row r="4426" spans="1:8" x14ac:dyDescent="0.3">
      <c r="A4426" t="s">
        <v>38</v>
      </c>
      <c r="B4426" s="1">
        <v>41152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</row>
    <row r="4427" spans="1:8" x14ac:dyDescent="0.3">
      <c r="A4427" t="s">
        <v>38</v>
      </c>
      <c r="B4427" s="1">
        <v>41159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</row>
    <row r="4428" spans="1:8" x14ac:dyDescent="0.3">
      <c r="A4428" t="s">
        <v>38</v>
      </c>
      <c r="B4428" s="1">
        <v>41166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</row>
    <row r="4429" spans="1:8" x14ac:dyDescent="0.3">
      <c r="A4429" t="s">
        <v>38</v>
      </c>
      <c r="B4429" s="1">
        <v>41173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</row>
    <row r="4430" spans="1:8" x14ac:dyDescent="0.3">
      <c r="A4430" t="s">
        <v>38</v>
      </c>
      <c r="B4430" s="1">
        <v>41180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</row>
    <row r="4431" spans="1:8" x14ac:dyDescent="0.3">
      <c r="A4431" t="s">
        <v>38</v>
      </c>
      <c r="B4431" s="1">
        <v>41187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 x14ac:dyDescent="0.3">
      <c r="A4432" t="s">
        <v>38</v>
      </c>
      <c r="B4432" s="1">
        <v>41194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 x14ac:dyDescent="0.3">
      <c r="A4433" t="s">
        <v>38</v>
      </c>
      <c r="B4433" s="1">
        <v>41201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</row>
    <row r="4434" spans="1:8" x14ac:dyDescent="0.3">
      <c r="A4434" t="s">
        <v>38</v>
      </c>
      <c r="B4434" s="1">
        <v>41208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</row>
    <row r="4435" spans="1:8" x14ac:dyDescent="0.3">
      <c r="A4435" t="s">
        <v>39</v>
      </c>
      <c r="B4435" s="1">
        <v>40214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</row>
    <row r="4436" spans="1:8" x14ac:dyDescent="0.3">
      <c r="A4436" t="s">
        <v>39</v>
      </c>
      <c r="B4436" s="1">
        <v>40221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</row>
    <row r="4437" spans="1:8" x14ac:dyDescent="0.3">
      <c r="A4437" t="s">
        <v>39</v>
      </c>
      <c r="B4437" s="1">
        <v>40228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</row>
    <row r="4438" spans="1:8" x14ac:dyDescent="0.3">
      <c r="A4438" t="s">
        <v>39</v>
      </c>
      <c r="B4438" s="1">
        <v>40235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</row>
    <row r="4439" spans="1:8" x14ac:dyDescent="0.3">
      <c r="A4439" t="s">
        <v>39</v>
      </c>
      <c r="B4439" s="1">
        <v>40242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</row>
    <row r="4440" spans="1:8" x14ac:dyDescent="0.3">
      <c r="A4440" t="s">
        <v>39</v>
      </c>
      <c r="B4440" s="1">
        <v>40249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</row>
    <row r="4441" spans="1:8" x14ac:dyDescent="0.3">
      <c r="A4441" t="s">
        <v>39</v>
      </c>
      <c r="B4441" s="1">
        <v>40256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</row>
    <row r="4442" spans="1:8" x14ac:dyDescent="0.3">
      <c r="A4442" t="s">
        <v>39</v>
      </c>
      <c r="B4442" s="1">
        <v>40263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</row>
    <row r="4443" spans="1:8" x14ac:dyDescent="0.3">
      <c r="A4443" t="s">
        <v>39</v>
      </c>
      <c r="B4443" s="1">
        <v>40270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</row>
    <row r="4444" spans="1:8" x14ac:dyDescent="0.3">
      <c r="A4444" t="s">
        <v>39</v>
      </c>
      <c r="B4444" s="1">
        <v>40277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</row>
    <row r="4445" spans="1:8" x14ac:dyDescent="0.3">
      <c r="A4445" t="s">
        <v>39</v>
      </c>
      <c r="B4445" s="1">
        <v>40284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</row>
    <row r="4446" spans="1:8" x14ac:dyDescent="0.3">
      <c r="A4446" t="s">
        <v>39</v>
      </c>
      <c r="B4446" s="1">
        <v>40291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</row>
    <row r="4447" spans="1:8" x14ac:dyDescent="0.3">
      <c r="A4447" t="s">
        <v>39</v>
      </c>
      <c r="B4447" s="1">
        <v>40298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</row>
    <row r="4448" spans="1:8" x14ac:dyDescent="0.3">
      <c r="A4448" t="s">
        <v>39</v>
      </c>
      <c r="B4448" s="1">
        <v>40305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</row>
    <row r="4449" spans="1:8" x14ac:dyDescent="0.3">
      <c r="A4449" t="s">
        <v>39</v>
      </c>
      <c r="B4449" s="1">
        <v>40312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</row>
    <row r="4450" spans="1:8" x14ac:dyDescent="0.3">
      <c r="A4450" t="s">
        <v>39</v>
      </c>
      <c r="B4450" s="1">
        <v>40319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</row>
    <row r="4451" spans="1:8" x14ac:dyDescent="0.3">
      <c r="A4451" t="s">
        <v>39</v>
      </c>
      <c r="B4451" s="1">
        <v>40326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</row>
    <row r="4452" spans="1:8" x14ac:dyDescent="0.3">
      <c r="A4452" t="s">
        <v>39</v>
      </c>
      <c r="B4452" s="1">
        <v>40333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</row>
    <row r="4453" spans="1:8" x14ac:dyDescent="0.3">
      <c r="A4453" t="s">
        <v>39</v>
      </c>
      <c r="B4453" s="1">
        <v>40340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</row>
    <row r="4454" spans="1:8" x14ac:dyDescent="0.3">
      <c r="A4454" t="s">
        <v>39</v>
      </c>
      <c r="B4454" s="1">
        <v>40347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</row>
    <row r="4455" spans="1:8" x14ac:dyDescent="0.3">
      <c r="A4455" t="s">
        <v>39</v>
      </c>
      <c r="B4455" s="1">
        <v>40354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</row>
    <row r="4456" spans="1:8" x14ac:dyDescent="0.3">
      <c r="A4456" t="s">
        <v>39</v>
      </c>
      <c r="B4456" s="1">
        <v>40361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</row>
    <row r="4457" spans="1:8" x14ac:dyDescent="0.3">
      <c r="A4457" t="s">
        <v>39</v>
      </c>
      <c r="B4457" s="1">
        <v>40368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</row>
    <row r="4458" spans="1:8" x14ac:dyDescent="0.3">
      <c r="A4458" t="s">
        <v>39</v>
      </c>
      <c r="B4458" s="1">
        <v>40375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</row>
    <row r="4459" spans="1:8" x14ac:dyDescent="0.3">
      <c r="A4459" t="s">
        <v>39</v>
      </c>
      <c r="B4459" s="1">
        <v>40382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</row>
    <row r="4460" spans="1:8" x14ac:dyDescent="0.3">
      <c r="A4460" t="s">
        <v>39</v>
      </c>
      <c r="B4460" s="1">
        <v>40389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</row>
    <row r="4461" spans="1:8" x14ac:dyDescent="0.3">
      <c r="A4461" t="s">
        <v>39</v>
      </c>
      <c r="B4461" s="1">
        <v>40396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</row>
    <row r="4462" spans="1:8" x14ac:dyDescent="0.3">
      <c r="A4462" t="s">
        <v>39</v>
      </c>
      <c r="B4462" s="1">
        <v>40403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</row>
    <row r="4463" spans="1:8" x14ac:dyDescent="0.3">
      <c r="A4463" t="s">
        <v>39</v>
      </c>
      <c r="B4463" s="1">
        <v>40410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</row>
    <row r="4464" spans="1:8" x14ac:dyDescent="0.3">
      <c r="A4464" t="s">
        <v>39</v>
      </c>
      <c r="B4464" s="1">
        <v>40417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</row>
    <row r="4465" spans="1:8" x14ac:dyDescent="0.3">
      <c r="A4465" t="s">
        <v>39</v>
      </c>
      <c r="B4465" s="1">
        <v>40424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</row>
    <row r="4466" spans="1:8" x14ac:dyDescent="0.3">
      <c r="A4466" t="s">
        <v>39</v>
      </c>
      <c r="B4466" s="1">
        <v>40431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</row>
    <row r="4467" spans="1:8" x14ac:dyDescent="0.3">
      <c r="A4467" t="s">
        <v>39</v>
      </c>
      <c r="B4467" s="1">
        <v>40438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</row>
    <row r="4468" spans="1:8" x14ac:dyDescent="0.3">
      <c r="A4468" t="s">
        <v>39</v>
      </c>
      <c r="B4468" s="1">
        <v>40445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</row>
    <row r="4469" spans="1:8" x14ac:dyDescent="0.3">
      <c r="A4469" t="s">
        <v>39</v>
      </c>
      <c r="B4469" s="1">
        <v>40452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</row>
    <row r="4470" spans="1:8" x14ac:dyDescent="0.3">
      <c r="A4470" t="s">
        <v>39</v>
      </c>
      <c r="B4470" s="1">
        <v>40459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</row>
    <row r="4471" spans="1:8" x14ac:dyDescent="0.3">
      <c r="A4471" t="s">
        <v>39</v>
      </c>
      <c r="B4471" s="1">
        <v>40466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</row>
    <row r="4472" spans="1:8" x14ac:dyDescent="0.3">
      <c r="A4472" t="s">
        <v>39</v>
      </c>
      <c r="B4472" s="1">
        <v>40473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</row>
    <row r="4473" spans="1:8" x14ac:dyDescent="0.3">
      <c r="A4473" t="s">
        <v>39</v>
      </c>
      <c r="B4473" s="1">
        <v>40480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</row>
    <row r="4474" spans="1:8" x14ac:dyDescent="0.3">
      <c r="A4474" t="s">
        <v>39</v>
      </c>
      <c r="B4474" s="1">
        <v>40487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</row>
    <row r="4475" spans="1:8" x14ac:dyDescent="0.3">
      <c r="A4475" t="s">
        <v>39</v>
      </c>
      <c r="B4475" s="1">
        <v>40494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</row>
    <row r="4476" spans="1:8" x14ac:dyDescent="0.3">
      <c r="A4476" t="s">
        <v>39</v>
      </c>
      <c r="B4476" s="1">
        <v>40501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</row>
    <row r="4477" spans="1:8" x14ac:dyDescent="0.3">
      <c r="A4477" t="s">
        <v>39</v>
      </c>
      <c r="B4477" s="1">
        <v>40508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</row>
    <row r="4478" spans="1:8" x14ac:dyDescent="0.3">
      <c r="A4478" t="s">
        <v>39</v>
      </c>
      <c r="B4478" s="1">
        <v>40515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</row>
    <row r="4479" spans="1:8" x14ac:dyDescent="0.3">
      <c r="A4479" t="s">
        <v>39</v>
      </c>
      <c r="B4479" s="1">
        <v>40522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</row>
    <row r="4480" spans="1:8" x14ac:dyDescent="0.3">
      <c r="A4480" t="s">
        <v>39</v>
      </c>
      <c r="B4480" s="1">
        <v>40529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</row>
    <row r="4481" spans="1:8" x14ac:dyDescent="0.3">
      <c r="A4481" t="s">
        <v>39</v>
      </c>
      <c r="B4481" s="1">
        <v>40536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</row>
    <row r="4482" spans="1:8" x14ac:dyDescent="0.3">
      <c r="A4482" t="s">
        <v>39</v>
      </c>
      <c r="B4482" s="1">
        <v>40543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</row>
    <row r="4483" spans="1:8" x14ac:dyDescent="0.3">
      <c r="A4483" t="s">
        <v>39</v>
      </c>
      <c r="B4483" s="1">
        <v>40550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</row>
    <row r="4484" spans="1:8" x14ac:dyDescent="0.3">
      <c r="A4484" t="s">
        <v>39</v>
      </c>
      <c r="B4484" s="1">
        <v>40557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</row>
    <row r="4485" spans="1:8" x14ac:dyDescent="0.3">
      <c r="A4485" t="s">
        <v>39</v>
      </c>
      <c r="B4485" s="1">
        <v>40564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</row>
    <row r="4486" spans="1:8" x14ac:dyDescent="0.3">
      <c r="A4486" t="s">
        <v>39</v>
      </c>
      <c r="B4486" s="1">
        <v>40571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</row>
    <row r="4487" spans="1:8" x14ac:dyDescent="0.3">
      <c r="A4487" t="s">
        <v>39</v>
      </c>
      <c r="B4487" s="1">
        <v>40578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</row>
    <row r="4488" spans="1:8" x14ac:dyDescent="0.3">
      <c r="A4488" t="s">
        <v>39</v>
      </c>
      <c r="B4488" s="1">
        <v>40585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</row>
    <row r="4489" spans="1:8" x14ac:dyDescent="0.3">
      <c r="A4489" t="s">
        <v>39</v>
      </c>
      <c r="B4489" s="1">
        <v>40592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</row>
    <row r="4490" spans="1:8" x14ac:dyDescent="0.3">
      <c r="A4490" t="s">
        <v>39</v>
      </c>
      <c r="B4490" s="1">
        <v>40599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</row>
    <row r="4491" spans="1:8" x14ac:dyDescent="0.3">
      <c r="A4491" t="s">
        <v>39</v>
      </c>
      <c r="B4491" s="1">
        <v>40606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</row>
    <row r="4492" spans="1:8" x14ac:dyDescent="0.3">
      <c r="A4492" t="s">
        <v>39</v>
      </c>
      <c r="B4492" s="1">
        <v>40613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</row>
    <row r="4493" spans="1:8" x14ac:dyDescent="0.3">
      <c r="A4493" t="s">
        <v>39</v>
      </c>
      <c r="B4493" s="1">
        <v>40620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</row>
    <row r="4494" spans="1:8" x14ac:dyDescent="0.3">
      <c r="A4494" t="s">
        <v>39</v>
      </c>
      <c r="B4494" s="1">
        <v>40627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</row>
    <row r="4495" spans="1:8" x14ac:dyDescent="0.3">
      <c r="A4495" t="s">
        <v>39</v>
      </c>
      <c r="B4495" s="1">
        <v>40634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</row>
    <row r="4496" spans="1:8" x14ac:dyDescent="0.3">
      <c r="A4496" t="s">
        <v>39</v>
      </c>
      <c r="B4496" s="1">
        <v>40641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</row>
    <row r="4497" spans="1:8" x14ac:dyDescent="0.3">
      <c r="A4497" t="s">
        <v>39</v>
      </c>
      <c r="B4497" s="1">
        <v>40648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</row>
    <row r="4498" spans="1:8" x14ac:dyDescent="0.3">
      <c r="A4498" t="s">
        <v>39</v>
      </c>
      <c r="B4498" s="1">
        <v>40655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</row>
    <row r="4499" spans="1:8" x14ac:dyDescent="0.3">
      <c r="A4499" t="s">
        <v>39</v>
      </c>
      <c r="B4499" s="1">
        <v>40662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</row>
    <row r="4500" spans="1:8" x14ac:dyDescent="0.3">
      <c r="A4500" t="s">
        <v>39</v>
      </c>
      <c r="B4500" s="1">
        <v>40669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</row>
    <row r="4501" spans="1:8" x14ac:dyDescent="0.3">
      <c r="A4501" t="s">
        <v>39</v>
      </c>
      <c r="B4501" s="1">
        <v>40676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</row>
    <row r="4502" spans="1:8" x14ac:dyDescent="0.3">
      <c r="A4502" t="s">
        <v>39</v>
      </c>
      <c r="B4502" s="1">
        <v>40683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</row>
    <row r="4503" spans="1:8" x14ac:dyDescent="0.3">
      <c r="A4503" t="s">
        <v>39</v>
      </c>
      <c r="B4503" s="1">
        <v>40690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</row>
    <row r="4504" spans="1:8" x14ac:dyDescent="0.3">
      <c r="A4504" t="s">
        <v>39</v>
      </c>
      <c r="B4504" s="1">
        <v>40697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</row>
    <row r="4505" spans="1:8" x14ac:dyDescent="0.3">
      <c r="A4505" t="s">
        <v>39</v>
      </c>
      <c r="B4505" s="1">
        <v>40704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</row>
    <row r="4506" spans="1:8" x14ac:dyDescent="0.3">
      <c r="A4506" t="s">
        <v>39</v>
      </c>
      <c r="B4506" s="1">
        <v>40711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</row>
    <row r="4507" spans="1:8" x14ac:dyDescent="0.3">
      <c r="A4507" t="s">
        <v>39</v>
      </c>
      <c r="B4507" s="1">
        <v>40718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</row>
    <row r="4508" spans="1:8" x14ac:dyDescent="0.3">
      <c r="A4508" t="s">
        <v>39</v>
      </c>
      <c r="B4508" s="1">
        <v>40725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</row>
    <row r="4509" spans="1:8" x14ac:dyDescent="0.3">
      <c r="A4509" t="s">
        <v>39</v>
      </c>
      <c r="B4509" s="1">
        <v>40732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</row>
    <row r="4510" spans="1:8" x14ac:dyDescent="0.3">
      <c r="A4510" t="s">
        <v>39</v>
      </c>
      <c r="B4510" s="1">
        <v>40739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</row>
    <row r="4511" spans="1:8" x14ac:dyDescent="0.3">
      <c r="A4511" t="s">
        <v>39</v>
      </c>
      <c r="B4511" s="1">
        <v>40746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</row>
    <row r="4512" spans="1:8" x14ac:dyDescent="0.3">
      <c r="A4512" t="s">
        <v>39</v>
      </c>
      <c r="B4512" s="1">
        <v>40753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</row>
    <row r="4513" spans="1:8" x14ac:dyDescent="0.3">
      <c r="A4513" t="s">
        <v>39</v>
      </c>
      <c r="B4513" s="1">
        <v>40760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</row>
    <row r="4514" spans="1:8" x14ac:dyDescent="0.3">
      <c r="A4514" t="s">
        <v>39</v>
      </c>
      <c r="B4514" s="1">
        <v>40767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</row>
    <row r="4515" spans="1:8" x14ac:dyDescent="0.3">
      <c r="A4515" t="s">
        <v>39</v>
      </c>
      <c r="B4515" s="1">
        <v>40774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</row>
    <row r="4516" spans="1:8" x14ac:dyDescent="0.3">
      <c r="A4516" t="s">
        <v>39</v>
      </c>
      <c r="B4516" s="1">
        <v>40781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</row>
    <row r="4517" spans="1:8" x14ac:dyDescent="0.3">
      <c r="A4517" t="s">
        <v>39</v>
      </c>
      <c r="B4517" s="1">
        <v>40788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</row>
    <row r="4518" spans="1:8" x14ac:dyDescent="0.3">
      <c r="A4518" t="s">
        <v>39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</row>
    <row r="4519" spans="1:8" x14ac:dyDescent="0.3">
      <c r="A4519" t="s">
        <v>39</v>
      </c>
      <c r="B4519" s="1">
        <v>40802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</row>
    <row r="4520" spans="1:8" x14ac:dyDescent="0.3">
      <c r="A4520" t="s">
        <v>39</v>
      </c>
      <c r="B4520" s="1">
        <v>40809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</row>
    <row r="4521" spans="1:8" x14ac:dyDescent="0.3">
      <c r="A4521" t="s">
        <v>39</v>
      </c>
      <c r="B4521" s="1">
        <v>40816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</row>
    <row r="4522" spans="1:8" x14ac:dyDescent="0.3">
      <c r="A4522" t="s">
        <v>39</v>
      </c>
      <c r="B4522" s="1">
        <v>40823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</row>
    <row r="4523" spans="1:8" x14ac:dyDescent="0.3">
      <c r="A4523" t="s">
        <v>39</v>
      </c>
      <c r="B4523" s="1">
        <v>40830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</row>
    <row r="4524" spans="1:8" x14ac:dyDescent="0.3">
      <c r="A4524" t="s">
        <v>39</v>
      </c>
      <c r="B4524" s="1">
        <v>40837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</row>
    <row r="4525" spans="1:8" x14ac:dyDescent="0.3">
      <c r="A4525" t="s">
        <v>39</v>
      </c>
      <c r="B4525" s="1">
        <v>40844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</row>
    <row r="4526" spans="1:8" x14ac:dyDescent="0.3">
      <c r="A4526" t="s">
        <v>39</v>
      </c>
      <c r="B4526" s="1">
        <v>40851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</row>
    <row r="4527" spans="1:8" x14ac:dyDescent="0.3">
      <c r="A4527" t="s">
        <v>39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</row>
    <row r="4528" spans="1:8" x14ac:dyDescent="0.3">
      <c r="A4528" t="s">
        <v>39</v>
      </c>
      <c r="B4528" s="1">
        <v>40865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</row>
    <row r="4529" spans="1:8" x14ac:dyDescent="0.3">
      <c r="A4529" t="s">
        <v>39</v>
      </c>
      <c r="B4529" s="1">
        <v>40872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</row>
    <row r="4530" spans="1:8" x14ac:dyDescent="0.3">
      <c r="A4530" t="s">
        <v>39</v>
      </c>
      <c r="B4530" s="1">
        <v>40879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</row>
    <row r="4531" spans="1:8" x14ac:dyDescent="0.3">
      <c r="A4531" t="s">
        <v>39</v>
      </c>
      <c r="B4531" s="1">
        <v>40886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</row>
    <row r="4532" spans="1:8" x14ac:dyDescent="0.3">
      <c r="A4532" t="s">
        <v>39</v>
      </c>
      <c r="B4532" s="1">
        <v>40893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</row>
    <row r="4533" spans="1:8" x14ac:dyDescent="0.3">
      <c r="A4533" t="s">
        <v>39</v>
      </c>
      <c r="B4533" s="1">
        <v>40900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</row>
    <row r="4534" spans="1:8" x14ac:dyDescent="0.3">
      <c r="A4534" t="s">
        <v>39</v>
      </c>
      <c r="B4534" s="1">
        <v>40907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</row>
    <row r="4535" spans="1:8" x14ac:dyDescent="0.3">
      <c r="A4535" t="s">
        <v>39</v>
      </c>
      <c r="B4535" s="1">
        <v>40914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</row>
    <row r="4536" spans="1:8" x14ac:dyDescent="0.3">
      <c r="A4536" t="s">
        <v>39</v>
      </c>
      <c r="B4536" s="1">
        <v>40921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</row>
    <row r="4537" spans="1:8" x14ac:dyDescent="0.3">
      <c r="A4537" t="s">
        <v>39</v>
      </c>
      <c r="B4537" s="1">
        <v>40928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</row>
    <row r="4538" spans="1:8" x14ac:dyDescent="0.3">
      <c r="A4538" t="s">
        <v>39</v>
      </c>
      <c r="B4538" s="1">
        <v>40935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</row>
    <row r="4539" spans="1:8" x14ac:dyDescent="0.3">
      <c r="A4539" t="s">
        <v>39</v>
      </c>
      <c r="B4539" s="1">
        <v>40942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</row>
    <row r="4540" spans="1:8" x14ac:dyDescent="0.3">
      <c r="A4540" t="s">
        <v>39</v>
      </c>
      <c r="B4540" s="1">
        <v>40949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</row>
    <row r="4541" spans="1:8" x14ac:dyDescent="0.3">
      <c r="A4541" t="s">
        <v>39</v>
      </c>
      <c r="B4541" s="1">
        <v>40956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</row>
    <row r="4542" spans="1:8" x14ac:dyDescent="0.3">
      <c r="A4542" t="s">
        <v>39</v>
      </c>
      <c r="B4542" s="1">
        <v>40963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</row>
    <row r="4543" spans="1:8" x14ac:dyDescent="0.3">
      <c r="A4543" t="s">
        <v>39</v>
      </c>
      <c r="B4543" s="1">
        <v>40970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</row>
    <row r="4544" spans="1:8" x14ac:dyDescent="0.3">
      <c r="A4544" t="s">
        <v>39</v>
      </c>
      <c r="B4544" s="1">
        <v>40977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</row>
    <row r="4545" spans="1:8" x14ac:dyDescent="0.3">
      <c r="A4545" t="s">
        <v>39</v>
      </c>
      <c r="B4545" s="1">
        <v>40984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</row>
    <row r="4546" spans="1:8" x14ac:dyDescent="0.3">
      <c r="A4546" t="s">
        <v>39</v>
      </c>
      <c r="B4546" s="1">
        <v>40991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</row>
    <row r="4547" spans="1:8" x14ac:dyDescent="0.3">
      <c r="A4547" t="s">
        <v>39</v>
      </c>
      <c r="B4547" s="1">
        <v>40998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</row>
    <row r="4548" spans="1:8" x14ac:dyDescent="0.3">
      <c r="A4548" t="s">
        <v>39</v>
      </c>
      <c r="B4548" s="1">
        <v>41005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</row>
    <row r="4549" spans="1:8" x14ac:dyDescent="0.3">
      <c r="A4549" t="s">
        <v>39</v>
      </c>
      <c r="B4549" s="1">
        <v>41012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</row>
    <row r="4550" spans="1:8" x14ac:dyDescent="0.3">
      <c r="A4550" t="s">
        <v>39</v>
      </c>
      <c r="B4550" s="1">
        <v>41019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</row>
    <row r="4551" spans="1:8" x14ac:dyDescent="0.3">
      <c r="A4551" t="s">
        <v>39</v>
      </c>
      <c r="B4551" s="1">
        <v>41026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 x14ac:dyDescent="0.3">
      <c r="A4552" t="s">
        <v>39</v>
      </c>
      <c r="B4552" s="1">
        <v>41033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</row>
    <row r="4553" spans="1:8" x14ac:dyDescent="0.3">
      <c r="A4553" t="s">
        <v>39</v>
      </c>
      <c r="B4553" s="1">
        <v>41040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 x14ac:dyDescent="0.3">
      <c r="A4554" t="s">
        <v>39</v>
      </c>
      <c r="B4554" s="1">
        <v>41047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</row>
    <row r="4555" spans="1:8" x14ac:dyDescent="0.3">
      <c r="A4555" t="s">
        <v>39</v>
      </c>
      <c r="B4555" s="1">
        <v>41054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</row>
    <row r="4556" spans="1:8" x14ac:dyDescent="0.3">
      <c r="A4556" t="s">
        <v>39</v>
      </c>
      <c r="B4556" s="1">
        <v>41061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</row>
    <row r="4557" spans="1:8" x14ac:dyDescent="0.3">
      <c r="A4557" t="s">
        <v>39</v>
      </c>
      <c r="B4557" s="1">
        <v>41068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</row>
    <row r="4558" spans="1:8" x14ac:dyDescent="0.3">
      <c r="A4558" t="s">
        <v>39</v>
      </c>
      <c r="B4558" s="1">
        <v>41075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</row>
    <row r="4559" spans="1:8" x14ac:dyDescent="0.3">
      <c r="A4559" t="s">
        <v>39</v>
      </c>
      <c r="B4559" s="1">
        <v>41082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</row>
    <row r="4560" spans="1:8" x14ac:dyDescent="0.3">
      <c r="A4560" t="s">
        <v>39</v>
      </c>
      <c r="B4560" s="1">
        <v>41089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</row>
    <row r="4561" spans="1:8" x14ac:dyDescent="0.3">
      <c r="A4561" t="s">
        <v>39</v>
      </c>
      <c r="B4561" s="1">
        <v>41096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</row>
    <row r="4562" spans="1:8" x14ac:dyDescent="0.3">
      <c r="A4562" t="s">
        <v>39</v>
      </c>
      <c r="B4562" s="1">
        <v>41103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</row>
    <row r="4563" spans="1:8" x14ac:dyDescent="0.3">
      <c r="A4563" t="s">
        <v>39</v>
      </c>
      <c r="B4563" s="1">
        <v>41110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</row>
    <row r="4564" spans="1:8" x14ac:dyDescent="0.3">
      <c r="A4564" t="s">
        <v>39</v>
      </c>
      <c r="B4564" s="1">
        <v>41117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</row>
    <row r="4565" spans="1:8" x14ac:dyDescent="0.3">
      <c r="A4565" t="s">
        <v>39</v>
      </c>
      <c r="B4565" s="1">
        <v>41124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</row>
    <row r="4566" spans="1:8" x14ac:dyDescent="0.3">
      <c r="A4566" t="s">
        <v>39</v>
      </c>
      <c r="B4566" s="1">
        <v>41131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</row>
    <row r="4567" spans="1:8" x14ac:dyDescent="0.3">
      <c r="A4567" t="s">
        <v>39</v>
      </c>
      <c r="B4567" s="1">
        <v>41138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</row>
    <row r="4568" spans="1:8" x14ac:dyDescent="0.3">
      <c r="A4568" t="s">
        <v>39</v>
      </c>
      <c r="B4568" s="1">
        <v>41145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</row>
    <row r="4569" spans="1:8" x14ac:dyDescent="0.3">
      <c r="A4569" t="s">
        <v>39</v>
      </c>
      <c r="B4569" s="1">
        <v>41152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</row>
    <row r="4570" spans="1:8" x14ac:dyDescent="0.3">
      <c r="A4570" t="s">
        <v>39</v>
      </c>
      <c r="B4570" s="1">
        <v>41159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</row>
    <row r="4571" spans="1:8" x14ac:dyDescent="0.3">
      <c r="A4571" t="s">
        <v>39</v>
      </c>
      <c r="B4571" s="1">
        <v>41166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</row>
    <row r="4572" spans="1:8" x14ac:dyDescent="0.3">
      <c r="A4572" t="s">
        <v>39</v>
      </c>
      <c r="B4572" s="1">
        <v>41173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</row>
    <row r="4573" spans="1:8" x14ac:dyDescent="0.3">
      <c r="A4573" t="s">
        <v>39</v>
      </c>
      <c r="B4573" s="1">
        <v>41180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</row>
    <row r="4574" spans="1:8" x14ac:dyDescent="0.3">
      <c r="A4574" t="s">
        <v>39</v>
      </c>
      <c r="B4574" s="1">
        <v>41187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</row>
    <row r="4575" spans="1:8" x14ac:dyDescent="0.3">
      <c r="A4575" t="s">
        <v>39</v>
      </c>
      <c r="B4575" s="1">
        <v>41194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</row>
    <row r="4576" spans="1:8" x14ac:dyDescent="0.3">
      <c r="A4576" t="s">
        <v>39</v>
      </c>
      <c r="B4576" s="1">
        <v>41201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</row>
    <row r="4577" spans="1:8" x14ac:dyDescent="0.3">
      <c r="A4577" t="s">
        <v>39</v>
      </c>
      <c r="B4577" s="1">
        <v>41208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</row>
    <row r="4578" spans="1:8" x14ac:dyDescent="0.3">
      <c r="A4578" t="s">
        <v>40</v>
      </c>
      <c r="B4578" s="1">
        <v>40214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</row>
    <row r="4579" spans="1:8" x14ac:dyDescent="0.3">
      <c r="A4579" t="s">
        <v>40</v>
      </c>
      <c r="B4579" s="1">
        <v>40221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</row>
    <row r="4580" spans="1:8" x14ac:dyDescent="0.3">
      <c r="A4580" t="s">
        <v>40</v>
      </c>
      <c r="B4580" s="1">
        <v>40228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 x14ac:dyDescent="0.3">
      <c r="A4581" t="s">
        <v>40</v>
      </c>
      <c r="B4581" s="1">
        <v>40235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</row>
    <row r="4582" spans="1:8" x14ac:dyDescent="0.3">
      <c r="A4582" t="s">
        <v>40</v>
      </c>
      <c r="B4582" s="1">
        <v>40242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</row>
    <row r="4583" spans="1:8" x14ac:dyDescent="0.3">
      <c r="A4583" t="s">
        <v>40</v>
      </c>
      <c r="B4583" s="1">
        <v>40249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</row>
    <row r="4584" spans="1:8" x14ac:dyDescent="0.3">
      <c r="A4584" t="s">
        <v>40</v>
      </c>
      <c r="B4584" s="1">
        <v>40256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</row>
    <row r="4585" spans="1:8" x14ac:dyDescent="0.3">
      <c r="A4585" t="s">
        <v>40</v>
      </c>
      <c r="B4585" s="1">
        <v>40263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 x14ac:dyDescent="0.3">
      <c r="A4586" t="s">
        <v>40</v>
      </c>
      <c r="B4586" s="1">
        <v>40270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</row>
    <row r="4587" spans="1:8" x14ac:dyDescent="0.3">
      <c r="A4587" t="s">
        <v>40</v>
      </c>
      <c r="B4587" s="1">
        <v>40277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</row>
    <row r="4588" spans="1:8" x14ac:dyDescent="0.3">
      <c r="A4588" t="s">
        <v>40</v>
      </c>
      <c r="B4588" s="1">
        <v>40284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</row>
    <row r="4589" spans="1:8" x14ac:dyDescent="0.3">
      <c r="A4589" t="s">
        <v>40</v>
      </c>
      <c r="B4589" s="1">
        <v>40291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</row>
    <row r="4590" spans="1:8" x14ac:dyDescent="0.3">
      <c r="A4590" t="s">
        <v>40</v>
      </c>
      <c r="B4590" s="1">
        <v>40298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</row>
    <row r="4591" spans="1:8" x14ac:dyDescent="0.3">
      <c r="A4591" t="s">
        <v>40</v>
      </c>
      <c r="B4591" s="1">
        <v>40305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</row>
    <row r="4592" spans="1:8" x14ac:dyDescent="0.3">
      <c r="A4592" t="s">
        <v>40</v>
      </c>
      <c r="B4592" s="1">
        <v>40312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</row>
    <row r="4593" spans="1:8" x14ac:dyDescent="0.3">
      <c r="A4593" t="s">
        <v>40</v>
      </c>
      <c r="B4593" s="1">
        <v>40319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</row>
    <row r="4594" spans="1:8" x14ac:dyDescent="0.3">
      <c r="A4594" t="s">
        <v>40</v>
      </c>
      <c r="B4594" s="1">
        <v>40326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</row>
    <row r="4595" spans="1:8" x14ac:dyDescent="0.3">
      <c r="A4595" t="s">
        <v>40</v>
      </c>
      <c r="B4595" s="1">
        <v>40333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</row>
    <row r="4596" spans="1:8" x14ac:dyDescent="0.3">
      <c r="A4596" t="s">
        <v>40</v>
      </c>
      <c r="B4596" s="1">
        <v>40340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</row>
    <row r="4597" spans="1:8" x14ac:dyDescent="0.3">
      <c r="A4597" t="s">
        <v>40</v>
      </c>
      <c r="B4597" s="1">
        <v>40347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</row>
    <row r="4598" spans="1:8" x14ac:dyDescent="0.3">
      <c r="A4598" t="s">
        <v>40</v>
      </c>
      <c r="B4598" s="1">
        <v>40354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</row>
    <row r="4599" spans="1:8" x14ac:dyDescent="0.3">
      <c r="A4599" t="s">
        <v>40</v>
      </c>
      <c r="B4599" s="1">
        <v>40361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</row>
    <row r="4600" spans="1:8" x14ac:dyDescent="0.3">
      <c r="A4600" t="s">
        <v>40</v>
      </c>
      <c r="B4600" s="1">
        <v>40368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</row>
    <row r="4601" spans="1:8" x14ac:dyDescent="0.3">
      <c r="A4601" t="s">
        <v>40</v>
      </c>
      <c r="B4601" s="1">
        <v>40375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</row>
    <row r="4602" spans="1:8" x14ac:dyDescent="0.3">
      <c r="A4602" t="s">
        <v>40</v>
      </c>
      <c r="B4602" s="1">
        <v>40382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</row>
    <row r="4603" spans="1:8" x14ac:dyDescent="0.3">
      <c r="A4603" t="s">
        <v>40</v>
      </c>
      <c r="B4603" s="1">
        <v>40389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</row>
    <row r="4604" spans="1:8" x14ac:dyDescent="0.3">
      <c r="A4604" t="s">
        <v>40</v>
      </c>
      <c r="B4604" s="1">
        <v>40396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</row>
    <row r="4605" spans="1:8" x14ac:dyDescent="0.3">
      <c r="A4605" t="s">
        <v>40</v>
      </c>
      <c r="B4605" s="1">
        <v>40403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</row>
    <row r="4606" spans="1:8" x14ac:dyDescent="0.3">
      <c r="A4606" t="s">
        <v>40</v>
      </c>
      <c r="B4606" s="1">
        <v>40410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</row>
    <row r="4607" spans="1:8" x14ac:dyDescent="0.3">
      <c r="A4607" t="s">
        <v>40</v>
      </c>
      <c r="B4607" s="1">
        <v>40417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</row>
    <row r="4608" spans="1:8" x14ac:dyDescent="0.3">
      <c r="A4608" t="s">
        <v>40</v>
      </c>
      <c r="B4608" s="1">
        <v>40424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</row>
    <row r="4609" spans="1:8" x14ac:dyDescent="0.3">
      <c r="A4609" t="s">
        <v>40</v>
      </c>
      <c r="B4609" s="1">
        <v>40431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</row>
    <row r="4610" spans="1:8" x14ac:dyDescent="0.3">
      <c r="A4610" t="s">
        <v>40</v>
      </c>
      <c r="B4610" s="1">
        <v>40438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</row>
    <row r="4611" spans="1:8" x14ac:dyDescent="0.3">
      <c r="A4611" t="s">
        <v>40</v>
      </c>
      <c r="B4611" s="1">
        <v>40445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</row>
    <row r="4612" spans="1:8" x14ac:dyDescent="0.3">
      <c r="A4612" t="s">
        <v>40</v>
      </c>
      <c r="B4612" s="1">
        <v>40452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</row>
    <row r="4613" spans="1:8" x14ac:dyDescent="0.3">
      <c r="A4613" t="s">
        <v>40</v>
      </c>
      <c r="B4613" s="1">
        <v>40459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</row>
    <row r="4614" spans="1:8" x14ac:dyDescent="0.3">
      <c r="A4614" t="s">
        <v>40</v>
      </c>
      <c r="B4614" s="1">
        <v>40466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</row>
    <row r="4615" spans="1:8" x14ac:dyDescent="0.3">
      <c r="A4615" t="s">
        <v>40</v>
      </c>
      <c r="B4615" s="1">
        <v>40473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</row>
    <row r="4616" spans="1:8" x14ac:dyDescent="0.3">
      <c r="A4616" t="s">
        <v>40</v>
      </c>
      <c r="B4616" s="1">
        <v>40480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</row>
    <row r="4617" spans="1:8" x14ac:dyDescent="0.3">
      <c r="A4617" t="s">
        <v>40</v>
      </c>
      <c r="B4617" s="1">
        <v>40487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</row>
    <row r="4618" spans="1:8" x14ac:dyDescent="0.3">
      <c r="A4618" t="s">
        <v>40</v>
      </c>
      <c r="B4618" s="1">
        <v>40494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</row>
    <row r="4619" spans="1:8" x14ac:dyDescent="0.3">
      <c r="A4619" t="s">
        <v>40</v>
      </c>
      <c r="B4619" s="1">
        <v>40501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</row>
    <row r="4620" spans="1:8" x14ac:dyDescent="0.3">
      <c r="A4620" t="s">
        <v>40</v>
      </c>
      <c r="B4620" s="1">
        <v>40508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</row>
    <row r="4621" spans="1:8" x14ac:dyDescent="0.3">
      <c r="A4621" t="s">
        <v>40</v>
      </c>
      <c r="B4621" s="1">
        <v>40515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</row>
    <row r="4622" spans="1:8" x14ac:dyDescent="0.3">
      <c r="A4622" t="s">
        <v>40</v>
      </c>
      <c r="B4622" s="1">
        <v>40522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</row>
    <row r="4623" spans="1:8" x14ac:dyDescent="0.3">
      <c r="A4623" t="s">
        <v>40</v>
      </c>
      <c r="B4623" s="1">
        <v>40529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</row>
    <row r="4624" spans="1:8" x14ac:dyDescent="0.3">
      <c r="A4624" t="s">
        <v>40</v>
      </c>
      <c r="B4624" s="1">
        <v>40536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</row>
    <row r="4625" spans="1:8" x14ac:dyDescent="0.3">
      <c r="A4625" t="s">
        <v>40</v>
      </c>
      <c r="B4625" s="1">
        <v>40543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</row>
    <row r="4626" spans="1:8" x14ac:dyDescent="0.3">
      <c r="A4626" t="s">
        <v>40</v>
      </c>
      <c r="B4626" s="1">
        <v>40550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</row>
    <row r="4627" spans="1:8" x14ac:dyDescent="0.3">
      <c r="A4627" t="s">
        <v>40</v>
      </c>
      <c r="B4627" s="1">
        <v>40557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</row>
    <row r="4628" spans="1:8" x14ac:dyDescent="0.3">
      <c r="A4628" t="s">
        <v>40</v>
      </c>
      <c r="B4628" s="1">
        <v>40564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</row>
    <row r="4629" spans="1:8" x14ac:dyDescent="0.3">
      <c r="A4629" t="s">
        <v>40</v>
      </c>
      <c r="B4629" s="1">
        <v>40571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</row>
    <row r="4630" spans="1:8" x14ac:dyDescent="0.3">
      <c r="A4630" t="s">
        <v>40</v>
      </c>
      <c r="B4630" s="1">
        <v>40578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</row>
    <row r="4631" spans="1:8" x14ac:dyDescent="0.3">
      <c r="A4631" t="s">
        <v>40</v>
      </c>
      <c r="B4631" s="1">
        <v>40585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</row>
    <row r="4632" spans="1:8" x14ac:dyDescent="0.3">
      <c r="A4632" t="s">
        <v>40</v>
      </c>
      <c r="B4632" s="1">
        <v>40592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</row>
    <row r="4633" spans="1:8" x14ac:dyDescent="0.3">
      <c r="A4633" t="s">
        <v>40</v>
      </c>
      <c r="B4633" s="1">
        <v>40599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</row>
    <row r="4634" spans="1:8" x14ac:dyDescent="0.3">
      <c r="A4634" t="s">
        <v>40</v>
      </c>
      <c r="B4634" s="1">
        <v>40606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</row>
    <row r="4635" spans="1:8" x14ac:dyDescent="0.3">
      <c r="A4635" t="s">
        <v>40</v>
      </c>
      <c r="B4635" s="1">
        <v>40613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</row>
    <row r="4636" spans="1:8" x14ac:dyDescent="0.3">
      <c r="A4636" t="s">
        <v>40</v>
      </c>
      <c r="B4636" s="1">
        <v>40620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</row>
    <row r="4637" spans="1:8" x14ac:dyDescent="0.3">
      <c r="A4637" t="s">
        <v>40</v>
      </c>
      <c r="B4637" s="1">
        <v>40627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</row>
    <row r="4638" spans="1:8" x14ac:dyDescent="0.3">
      <c r="A4638" t="s">
        <v>40</v>
      </c>
      <c r="B4638" s="1">
        <v>40634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</row>
    <row r="4639" spans="1:8" x14ac:dyDescent="0.3">
      <c r="A4639" t="s">
        <v>40</v>
      </c>
      <c r="B4639" s="1">
        <v>40641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</row>
    <row r="4640" spans="1:8" x14ac:dyDescent="0.3">
      <c r="A4640" t="s">
        <v>40</v>
      </c>
      <c r="B4640" s="1">
        <v>40648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</row>
    <row r="4641" spans="1:8" x14ac:dyDescent="0.3">
      <c r="A4641" t="s">
        <v>40</v>
      </c>
      <c r="B4641" s="1">
        <v>40655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</row>
    <row r="4642" spans="1:8" x14ac:dyDescent="0.3">
      <c r="A4642" t="s">
        <v>40</v>
      </c>
      <c r="B4642" s="1">
        <v>40662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</row>
    <row r="4643" spans="1:8" x14ac:dyDescent="0.3">
      <c r="A4643" t="s">
        <v>40</v>
      </c>
      <c r="B4643" s="1">
        <v>40669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</row>
    <row r="4644" spans="1:8" x14ac:dyDescent="0.3">
      <c r="A4644" t="s">
        <v>40</v>
      </c>
      <c r="B4644" s="1">
        <v>40676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</row>
    <row r="4645" spans="1:8" x14ac:dyDescent="0.3">
      <c r="A4645" t="s">
        <v>40</v>
      </c>
      <c r="B4645" s="1">
        <v>40683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</row>
    <row r="4646" spans="1:8" x14ac:dyDescent="0.3">
      <c r="A4646" t="s">
        <v>40</v>
      </c>
      <c r="B4646" s="1">
        <v>40690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</row>
    <row r="4647" spans="1:8" x14ac:dyDescent="0.3">
      <c r="A4647" t="s">
        <v>40</v>
      </c>
      <c r="B4647" s="1">
        <v>40697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</row>
    <row r="4648" spans="1:8" x14ac:dyDescent="0.3">
      <c r="A4648" t="s">
        <v>40</v>
      </c>
      <c r="B4648" s="1">
        <v>40704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</row>
    <row r="4649" spans="1:8" x14ac:dyDescent="0.3">
      <c r="A4649" t="s">
        <v>40</v>
      </c>
      <c r="B4649" s="1">
        <v>40711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</row>
    <row r="4650" spans="1:8" x14ac:dyDescent="0.3">
      <c r="A4650" t="s">
        <v>40</v>
      </c>
      <c r="B4650" s="1">
        <v>40718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</row>
    <row r="4651" spans="1:8" x14ac:dyDescent="0.3">
      <c r="A4651" t="s">
        <v>40</v>
      </c>
      <c r="B4651" s="1">
        <v>40725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</row>
    <row r="4652" spans="1:8" x14ac:dyDescent="0.3">
      <c r="A4652" t="s">
        <v>40</v>
      </c>
      <c r="B4652" s="1">
        <v>40732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</row>
    <row r="4653" spans="1:8" x14ac:dyDescent="0.3">
      <c r="A4653" t="s">
        <v>40</v>
      </c>
      <c r="B4653" s="1">
        <v>40739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</row>
    <row r="4654" spans="1:8" x14ac:dyDescent="0.3">
      <c r="A4654" t="s">
        <v>40</v>
      </c>
      <c r="B4654" s="1">
        <v>40746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</row>
    <row r="4655" spans="1:8" x14ac:dyDescent="0.3">
      <c r="A4655" t="s">
        <v>40</v>
      </c>
      <c r="B4655" s="1">
        <v>40753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</row>
    <row r="4656" spans="1:8" x14ac:dyDescent="0.3">
      <c r="A4656" t="s">
        <v>40</v>
      </c>
      <c r="B4656" s="1">
        <v>40760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</row>
    <row r="4657" spans="1:8" x14ac:dyDescent="0.3">
      <c r="A4657" t="s">
        <v>40</v>
      </c>
      <c r="B4657" s="1">
        <v>40767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</row>
    <row r="4658" spans="1:8" x14ac:dyDescent="0.3">
      <c r="A4658" t="s">
        <v>40</v>
      </c>
      <c r="B4658" s="1">
        <v>40774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</row>
    <row r="4659" spans="1:8" x14ac:dyDescent="0.3">
      <c r="A4659" t="s">
        <v>40</v>
      </c>
      <c r="B4659" s="1">
        <v>40781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</row>
    <row r="4660" spans="1:8" x14ac:dyDescent="0.3">
      <c r="A4660" t="s">
        <v>40</v>
      </c>
      <c r="B4660" s="1">
        <v>40788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</row>
    <row r="4661" spans="1:8" x14ac:dyDescent="0.3">
      <c r="A4661" t="s">
        <v>40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</row>
    <row r="4662" spans="1:8" x14ac:dyDescent="0.3">
      <c r="A4662" t="s">
        <v>40</v>
      </c>
      <c r="B4662" s="1">
        <v>40802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</row>
    <row r="4663" spans="1:8" x14ac:dyDescent="0.3">
      <c r="A4663" t="s">
        <v>40</v>
      </c>
      <c r="B4663" s="1">
        <v>40809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</row>
    <row r="4664" spans="1:8" x14ac:dyDescent="0.3">
      <c r="A4664" t="s">
        <v>40</v>
      </c>
      <c r="B4664" s="1">
        <v>40816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</row>
    <row r="4665" spans="1:8" x14ac:dyDescent="0.3">
      <c r="A4665" t="s">
        <v>40</v>
      </c>
      <c r="B4665" s="1">
        <v>40823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</row>
    <row r="4666" spans="1:8" x14ac:dyDescent="0.3">
      <c r="A4666" t="s">
        <v>40</v>
      </c>
      <c r="B4666" s="1">
        <v>40830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</row>
    <row r="4667" spans="1:8" x14ac:dyDescent="0.3">
      <c r="A4667" t="s">
        <v>40</v>
      </c>
      <c r="B4667" s="1">
        <v>40837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</row>
    <row r="4668" spans="1:8" x14ac:dyDescent="0.3">
      <c r="A4668" t="s">
        <v>40</v>
      </c>
      <c r="B4668" s="1">
        <v>40844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</row>
    <row r="4669" spans="1:8" x14ac:dyDescent="0.3">
      <c r="A4669" t="s">
        <v>40</v>
      </c>
      <c r="B4669" s="1">
        <v>40851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</row>
    <row r="4670" spans="1:8" x14ac:dyDescent="0.3">
      <c r="A4670" t="s">
        <v>40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</row>
    <row r="4671" spans="1:8" x14ac:dyDescent="0.3">
      <c r="A4671" t="s">
        <v>40</v>
      </c>
      <c r="B4671" s="1">
        <v>40865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 x14ac:dyDescent="0.3">
      <c r="A4672" t="s">
        <v>40</v>
      </c>
      <c r="B4672" s="1">
        <v>40872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 x14ac:dyDescent="0.3">
      <c r="A4673" t="s">
        <v>40</v>
      </c>
      <c r="B4673" s="1">
        <v>40879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</row>
    <row r="4674" spans="1:8" x14ac:dyDescent="0.3">
      <c r="A4674" t="s">
        <v>40</v>
      </c>
      <c r="B4674" s="1">
        <v>40886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</row>
    <row r="4675" spans="1:8" x14ac:dyDescent="0.3">
      <c r="A4675" t="s">
        <v>40</v>
      </c>
      <c r="B4675" s="1">
        <v>40893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</row>
    <row r="4676" spans="1:8" x14ac:dyDescent="0.3">
      <c r="A4676" t="s">
        <v>40</v>
      </c>
      <c r="B4676" s="1">
        <v>40900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</row>
    <row r="4677" spans="1:8" x14ac:dyDescent="0.3">
      <c r="A4677" t="s">
        <v>40</v>
      </c>
      <c r="B4677" s="1">
        <v>40907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</row>
    <row r="4678" spans="1:8" x14ac:dyDescent="0.3">
      <c r="A4678" t="s">
        <v>40</v>
      </c>
      <c r="B4678" s="1">
        <v>40914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</row>
    <row r="4679" spans="1:8" x14ac:dyDescent="0.3">
      <c r="A4679" t="s">
        <v>40</v>
      </c>
      <c r="B4679" s="1">
        <v>40921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</row>
    <row r="4680" spans="1:8" x14ac:dyDescent="0.3">
      <c r="A4680" t="s">
        <v>40</v>
      </c>
      <c r="B4680" s="1">
        <v>40928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</row>
    <row r="4681" spans="1:8" x14ac:dyDescent="0.3">
      <c r="A4681" t="s">
        <v>40</v>
      </c>
      <c r="B4681" s="1">
        <v>40935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</row>
    <row r="4682" spans="1:8" x14ac:dyDescent="0.3">
      <c r="A4682" t="s">
        <v>40</v>
      </c>
      <c r="B4682" s="1">
        <v>40942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</row>
    <row r="4683" spans="1:8" x14ac:dyDescent="0.3">
      <c r="A4683" t="s">
        <v>40</v>
      </c>
      <c r="B4683" s="1">
        <v>40949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</row>
    <row r="4684" spans="1:8" x14ac:dyDescent="0.3">
      <c r="A4684" t="s">
        <v>40</v>
      </c>
      <c r="B4684" s="1">
        <v>40956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</row>
    <row r="4685" spans="1:8" x14ac:dyDescent="0.3">
      <c r="A4685" t="s">
        <v>40</v>
      </c>
      <c r="B4685" s="1">
        <v>40963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</row>
    <row r="4686" spans="1:8" x14ac:dyDescent="0.3">
      <c r="A4686" t="s">
        <v>40</v>
      </c>
      <c r="B4686" s="1">
        <v>40970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</row>
    <row r="4687" spans="1:8" x14ac:dyDescent="0.3">
      <c r="A4687" t="s">
        <v>40</v>
      </c>
      <c r="B4687" s="1">
        <v>40977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</row>
    <row r="4688" spans="1:8" x14ac:dyDescent="0.3">
      <c r="A4688" t="s">
        <v>40</v>
      </c>
      <c r="B4688" s="1">
        <v>40984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</row>
    <row r="4689" spans="1:8" x14ac:dyDescent="0.3">
      <c r="A4689" t="s">
        <v>40</v>
      </c>
      <c r="B4689" s="1">
        <v>40991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</row>
    <row r="4690" spans="1:8" x14ac:dyDescent="0.3">
      <c r="A4690" t="s">
        <v>40</v>
      </c>
      <c r="B4690" s="1">
        <v>40998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</row>
    <row r="4691" spans="1:8" x14ac:dyDescent="0.3">
      <c r="A4691" t="s">
        <v>40</v>
      </c>
      <c r="B4691" s="1">
        <v>41005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</row>
    <row r="4692" spans="1:8" x14ac:dyDescent="0.3">
      <c r="A4692" t="s">
        <v>40</v>
      </c>
      <c r="B4692" s="1">
        <v>41012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</row>
    <row r="4693" spans="1:8" x14ac:dyDescent="0.3">
      <c r="A4693" t="s">
        <v>40</v>
      </c>
      <c r="B4693" s="1">
        <v>41019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</row>
    <row r="4694" spans="1:8" x14ac:dyDescent="0.3">
      <c r="A4694" t="s">
        <v>40</v>
      </c>
      <c r="B4694" s="1">
        <v>41026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</row>
    <row r="4695" spans="1:8" x14ac:dyDescent="0.3">
      <c r="A4695" t="s">
        <v>40</v>
      </c>
      <c r="B4695" s="1">
        <v>41033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</row>
    <row r="4696" spans="1:8" x14ac:dyDescent="0.3">
      <c r="A4696" t="s">
        <v>40</v>
      </c>
      <c r="B4696" s="1">
        <v>41040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</row>
    <row r="4697" spans="1:8" x14ac:dyDescent="0.3">
      <c r="A4697" t="s">
        <v>40</v>
      </c>
      <c r="B4697" s="1">
        <v>41047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</row>
    <row r="4698" spans="1:8" x14ac:dyDescent="0.3">
      <c r="A4698" t="s">
        <v>40</v>
      </c>
      <c r="B4698" s="1">
        <v>41054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</row>
    <row r="4699" spans="1:8" x14ac:dyDescent="0.3">
      <c r="A4699" t="s">
        <v>40</v>
      </c>
      <c r="B4699" s="1">
        <v>41061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</row>
    <row r="4700" spans="1:8" x14ac:dyDescent="0.3">
      <c r="A4700" t="s">
        <v>40</v>
      </c>
      <c r="B4700" s="1">
        <v>41068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</row>
    <row r="4701" spans="1:8" x14ac:dyDescent="0.3">
      <c r="A4701" t="s">
        <v>40</v>
      </c>
      <c r="B4701" s="1">
        <v>41075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</row>
    <row r="4702" spans="1:8" x14ac:dyDescent="0.3">
      <c r="A4702" t="s">
        <v>40</v>
      </c>
      <c r="B4702" s="1">
        <v>41082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</row>
    <row r="4703" spans="1:8" x14ac:dyDescent="0.3">
      <c r="A4703" t="s">
        <v>40</v>
      </c>
      <c r="B4703" s="1">
        <v>41089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</row>
    <row r="4704" spans="1:8" x14ac:dyDescent="0.3">
      <c r="A4704" t="s">
        <v>40</v>
      </c>
      <c r="B4704" s="1">
        <v>41096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</row>
    <row r="4705" spans="1:8" x14ac:dyDescent="0.3">
      <c r="A4705" t="s">
        <v>40</v>
      </c>
      <c r="B4705" s="1">
        <v>41103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</row>
    <row r="4706" spans="1:8" x14ac:dyDescent="0.3">
      <c r="A4706" t="s">
        <v>40</v>
      </c>
      <c r="B4706" s="1">
        <v>41110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</row>
    <row r="4707" spans="1:8" x14ac:dyDescent="0.3">
      <c r="A4707" t="s">
        <v>40</v>
      </c>
      <c r="B4707" s="1">
        <v>41117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</row>
    <row r="4708" spans="1:8" x14ac:dyDescent="0.3">
      <c r="A4708" t="s">
        <v>40</v>
      </c>
      <c r="B4708" s="1">
        <v>41124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</row>
    <row r="4709" spans="1:8" x14ac:dyDescent="0.3">
      <c r="A4709" t="s">
        <v>40</v>
      </c>
      <c r="B4709" s="1">
        <v>41131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</row>
    <row r="4710" spans="1:8" x14ac:dyDescent="0.3">
      <c r="A4710" t="s">
        <v>40</v>
      </c>
      <c r="B4710" s="1">
        <v>41138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</row>
    <row r="4711" spans="1:8" x14ac:dyDescent="0.3">
      <c r="A4711" t="s">
        <v>40</v>
      </c>
      <c r="B4711" s="1">
        <v>41145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</row>
    <row r="4712" spans="1:8" x14ac:dyDescent="0.3">
      <c r="A4712" t="s">
        <v>40</v>
      </c>
      <c r="B4712" s="1">
        <v>41152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</row>
    <row r="4713" spans="1:8" x14ac:dyDescent="0.3">
      <c r="A4713" t="s">
        <v>40</v>
      </c>
      <c r="B4713" s="1">
        <v>41159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</row>
    <row r="4714" spans="1:8" x14ac:dyDescent="0.3">
      <c r="A4714" t="s">
        <v>40</v>
      </c>
      <c r="B4714" s="1">
        <v>41166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</row>
    <row r="4715" spans="1:8" x14ac:dyDescent="0.3">
      <c r="A4715" t="s">
        <v>40</v>
      </c>
      <c r="B4715" s="1">
        <v>41173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</row>
    <row r="4716" spans="1:8" x14ac:dyDescent="0.3">
      <c r="A4716" t="s">
        <v>40</v>
      </c>
      <c r="B4716" s="1">
        <v>41180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</row>
    <row r="4717" spans="1:8" x14ac:dyDescent="0.3">
      <c r="A4717" t="s">
        <v>40</v>
      </c>
      <c r="B4717" s="1">
        <v>41187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</row>
    <row r="4718" spans="1:8" x14ac:dyDescent="0.3">
      <c r="A4718" t="s">
        <v>40</v>
      </c>
      <c r="B4718" s="1">
        <v>41194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</row>
    <row r="4719" spans="1:8" x14ac:dyDescent="0.3">
      <c r="A4719" t="s">
        <v>40</v>
      </c>
      <c r="B4719" s="1">
        <v>41201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</row>
    <row r="4720" spans="1:8" x14ac:dyDescent="0.3">
      <c r="A4720" t="s">
        <v>40</v>
      </c>
      <c r="B4720" s="1">
        <v>41208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</row>
    <row r="4721" spans="1:8" x14ac:dyDescent="0.3">
      <c r="A4721" t="s">
        <v>41</v>
      </c>
      <c r="B4721" s="1">
        <v>40214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</row>
    <row r="4722" spans="1:8" x14ac:dyDescent="0.3">
      <c r="A4722" t="s">
        <v>41</v>
      </c>
      <c r="B4722" s="1">
        <v>40221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</row>
    <row r="4723" spans="1:8" x14ac:dyDescent="0.3">
      <c r="A4723" t="s">
        <v>41</v>
      </c>
      <c r="B4723" s="1">
        <v>40228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</row>
    <row r="4724" spans="1:8" x14ac:dyDescent="0.3">
      <c r="A4724" t="s">
        <v>41</v>
      </c>
      <c r="B4724" s="1">
        <v>40235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</row>
    <row r="4725" spans="1:8" x14ac:dyDescent="0.3">
      <c r="A4725" t="s">
        <v>41</v>
      </c>
      <c r="B4725" s="1">
        <v>40242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</row>
    <row r="4726" spans="1:8" x14ac:dyDescent="0.3">
      <c r="A4726" t="s">
        <v>41</v>
      </c>
      <c r="B4726" s="1">
        <v>40249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</row>
    <row r="4727" spans="1:8" x14ac:dyDescent="0.3">
      <c r="A4727" t="s">
        <v>41</v>
      </c>
      <c r="B4727" s="1">
        <v>40256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</row>
    <row r="4728" spans="1:8" x14ac:dyDescent="0.3">
      <c r="A4728" t="s">
        <v>41</v>
      </c>
      <c r="B4728" s="1">
        <v>40263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</row>
    <row r="4729" spans="1:8" x14ac:dyDescent="0.3">
      <c r="A4729" t="s">
        <v>41</v>
      </c>
      <c r="B4729" s="1">
        <v>40270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 x14ac:dyDescent="0.3">
      <c r="A4730" t="s">
        <v>41</v>
      </c>
      <c r="B4730" s="1">
        <v>40277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</row>
    <row r="4731" spans="1:8" x14ac:dyDescent="0.3">
      <c r="A4731" t="s">
        <v>41</v>
      </c>
      <c r="B4731" s="1">
        <v>40284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 x14ac:dyDescent="0.3">
      <c r="A4732" t="s">
        <v>41</v>
      </c>
      <c r="B4732" s="1">
        <v>40291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</row>
    <row r="4733" spans="1:8" x14ac:dyDescent="0.3">
      <c r="A4733" t="s">
        <v>41</v>
      </c>
      <c r="B4733" s="1">
        <v>40298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</row>
    <row r="4734" spans="1:8" x14ac:dyDescent="0.3">
      <c r="A4734" t="s">
        <v>41</v>
      </c>
      <c r="B4734" s="1">
        <v>40305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</row>
    <row r="4735" spans="1:8" x14ac:dyDescent="0.3">
      <c r="A4735" t="s">
        <v>41</v>
      </c>
      <c r="B4735" s="1">
        <v>40312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</row>
    <row r="4736" spans="1:8" x14ac:dyDescent="0.3">
      <c r="A4736" t="s">
        <v>41</v>
      </c>
      <c r="B4736" s="1">
        <v>40319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 x14ac:dyDescent="0.3">
      <c r="A4737" t="s">
        <v>41</v>
      </c>
      <c r="B4737" s="1">
        <v>40326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</row>
    <row r="4738" spans="1:8" x14ac:dyDescent="0.3">
      <c r="A4738" t="s">
        <v>41</v>
      </c>
      <c r="B4738" s="1">
        <v>40333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</row>
    <row r="4739" spans="1:8" x14ac:dyDescent="0.3">
      <c r="A4739" t="s">
        <v>41</v>
      </c>
      <c r="B4739" s="1">
        <v>40340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</row>
    <row r="4740" spans="1:8" x14ac:dyDescent="0.3">
      <c r="A4740" t="s">
        <v>41</v>
      </c>
      <c r="B4740" s="1">
        <v>40347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</row>
    <row r="4741" spans="1:8" x14ac:dyDescent="0.3">
      <c r="A4741" t="s">
        <v>41</v>
      </c>
      <c r="B4741" s="1">
        <v>40354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</row>
    <row r="4742" spans="1:8" x14ac:dyDescent="0.3">
      <c r="A4742" t="s">
        <v>41</v>
      </c>
      <c r="B4742" s="1">
        <v>40361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</row>
    <row r="4743" spans="1:8" x14ac:dyDescent="0.3">
      <c r="A4743" t="s">
        <v>41</v>
      </c>
      <c r="B4743" s="1">
        <v>40368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</row>
    <row r="4744" spans="1:8" x14ac:dyDescent="0.3">
      <c r="A4744" t="s">
        <v>41</v>
      </c>
      <c r="B4744" s="1">
        <v>40375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</row>
    <row r="4745" spans="1:8" x14ac:dyDescent="0.3">
      <c r="A4745" t="s">
        <v>41</v>
      </c>
      <c r="B4745" s="1">
        <v>40382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</row>
    <row r="4746" spans="1:8" x14ac:dyDescent="0.3">
      <c r="A4746" t="s">
        <v>41</v>
      </c>
      <c r="B4746" s="1">
        <v>40389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</row>
    <row r="4747" spans="1:8" x14ac:dyDescent="0.3">
      <c r="A4747" t="s">
        <v>41</v>
      </c>
      <c r="B4747" s="1">
        <v>40396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</row>
    <row r="4748" spans="1:8" x14ac:dyDescent="0.3">
      <c r="A4748" t="s">
        <v>41</v>
      </c>
      <c r="B4748" s="1">
        <v>40403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</row>
    <row r="4749" spans="1:8" x14ac:dyDescent="0.3">
      <c r="A4749" t="s">
        <v>41</v>
      </c>
      <c r="B4749" s="1">
        <v>40410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</row>
    <row r="4750" spans="1:8" x14ac:dyDescent="0.3">
      <c r="A4750" t="s">
        <v>41</v>
      </c>
      <c r="B4750" s="1">
        <v>40417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</row>
    <row r="4751" spans="1:8" x14ac:dyDescent="0.3">
      <c r="A4751" t="s">
        <v>41</v>
      </c>
      <c r="B4751" s="1">
        <v>40424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</row>
    <row r="4752" spans="1:8" x14ac:dyDescent="0.3">
      <c r="A4752" t="s">
        <v>41</v>
      </c>
      <c r="B4752" s="1">
        <v>40431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</row>
    <row r="4753" spans="1:8" x14ac:dyDescent="0.3">
      <c r="A4753" t="s">
        <v>41</v>
      </c>
      <c r="B4753" s="1">
        <v>40438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</row>
    <row r="4754" spans="1:8" x14ac:dyDescent="0.3">
      <c r="A4754" t="s">
        <v>41</v>
      </c>
      <c r="B4754" s="1">
        <v>40445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</row>
    <row r="4755" spans="1:8" x14ac:dyDescent="0.3">
      <c r="A4755" t="s">
        <v>41</v>
      </c>
      <c r="B4755" s="1">
        <v>40452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</row>
    <row r="4756" spans="1:8" x14ac:dyDescent="0.3">
      <c r="A4756" t="s">
        <v>41</v>
      </c>
      <c r="B4756" s="1">
        <v>40459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</row>
    <row r="4757" spans="1:8" x14ac:dyDescent="0.3">
      <c r="A4757" t="s">
        <v>41</v>
      </c>
      <c r="B4757" s="1">
        <v>40466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</row>
    <row r="4758" spans="1:8" x14ac:dyDescent="0.3">
      <c r="A4758" t="s">
        <v>41</v>
      </c>
      <c r="B4758" s="1">
        <v>40473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</row>
    <row r="4759" spans="1:8" x14ac:dyDescent="0.3">
      <c r="A4759" t="s">
        <v>41</v>
      </c>
      <c r="B4759" s="1">
        <v>40480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</row>
    <row r="4760" spans="1:8" x14ac:dyDescent="0.3">
      <c r="A4760" t="s">
        <v>41</v>
      </c>
      <c r="B4760" s="1">
        <v>40487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</row>
    <row r="4761" spans="1:8" x14ac:dyDescent="0.3">
      <c r="A4761" t="s">
        <v>41</v>
      </c>
      <c r="B4761" s="1">
        <v>40494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</row>
    <row r="4762" spans="1:8" x14ac:dyDescent="0.3">
      <c r="A4762" t="s">
        <v>41</v>
      </c>
      <c r="B4762" s="1">
        <v>40501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</row>
    <row r="4763" spans="1:8" x14ac:dyDescent="0.3">
      <c r="A4763" t="s">
        <v>41</v>
      </c>
      <c r="B4763" s="1">
        <v>40508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</row>
    <row r="4764" spans="1:8" x14ac:dyDescent="0.3">
      <c r="A4764" t="s">
        <v>41</v>
      </c>
      <c r="B4764" s="1">
        <v>40515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</row>
    <row r="4765" spans="1:8" x14ac:dyDescent="0.3">
      <c r="A4765" t="s">
        <v>41</v>
      </c>
      <c r="B4765" s="1">
        <v>40522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</row>
    <row r="4766" spans="1:8" x14ac:dyDescent="0.3">
      <c r="A4766" t="s">
        <v>41</v>
      </c>
      <c r="B4766" s="1">
        <v>40529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</row>
    <row r="4767" spans="1:8" x14ac:dyDescent="0.3">
      <c r="A4767" t="s">
        <v>41</v>
      </c>
      <c r="B4767" s="1">
        <v>40536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</row>
    <row r="4768" spans="1:8" x14ac:dyDescent="0.3">
      <c r="A4768" t="s">
        <v>41</v>
      </c>
      <c r="B4768" s="1">
        <v>40543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</row>
    <row r="4769" spans="1:8" x14ac:dyDescent="0.3">
      <c r="A4769" t="s">
        <v>41</v>
      </c>
      <c r="B4769" s="1">
        <v>40550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 x14ac:dyDescent="0.3">
      <c r="A4770" t="s">
        <v>41</v>
      </c>
      <c r="B4770" s="1">
        <v>40557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</row>
    <row r="4771" spans="1:8" x14ac:dyDescent="0.3">
      <c r="A4771" t="s">
        <v>41</v>
      </c>
      <c r="B4771" s="1">
        <v>40564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</row>
    <row r="4772" spans="1:8" x14ac:dyDescent="0.3">
      <c r="A4772" t="s">
        <v>41</v>
      </c>
      <c r="B4772" s="1">
        <v>40571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</row>
    <row r="4773" spans="1:8" x14ac:dyDescent="0.3">
      <c r="A4773" t="s">
        <v>41</v>
      </c>
      <c r="B4773" s="1">
        <v>40578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 x14ac:dyDescent="0.3">
      <c r="A4774" t="s">
        <v>41</v>
      </c>
      <c r="B4774" s="1">
        <v>40585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</row>
    <row r="4775" spans="1:8" x14ac:dyDescent="0.3">
      <c r="A4775" t="s">
        <v>41</v>
      </c>
      <c r="B4775" s="1">
        <v>40592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</row>
    <row r="4776" spans="1:8" x14ac:dyDescent="0.3">
      <c r="A4776" t="s">
        <v>41</v>
      </c>
      <c r="B4776" s="1">
        <v>40599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</row>
    <row r="4777" spans="1:8" x14ac:dyDescent="0.3">
      <c r="A4777" t="s">
        <v>41</v>
      </c>
      <c r="B4777" s="1">
        <v>40606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</row>
    <row r="4778" spans="1:8" x14ac:dyDescent="0.3">
      <c r="A4778" t="s">
        <v>41</v>
      </c>
      <c r="B4778" s="1">
        <v>40613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</row>
    <row r="4779" spans="1:8" x14ac:dyDescent="0.3">
      <c r="A4779" t="s">
        <v>41</v>
      </c>
      <c r="B4779" s="1">
        <v>40620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</row>
    <row r="4780" spans="1:8" x14ac:dyDescent="0.3">
      <c r="A4780" t="s">
        <v>41</v>
      </c>
      <c r="B4780" s="1">
        <v>40627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</row>
    <row r="4781" spans="1:8" x14ac:dyDescent="0.3">
      <c r="A4781" t="s">
        <v>41</v>
      </c>
      <c r="B4781" s="1">
        <v>40634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</row>
    <row r="4782" spans="1:8" x14ac:dyDescent="0.3">
      <c r="A4782" t="s">
        <v>41</v>
      </c>
      <c r="B4782" s="1">
        <v>40641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</row>
    <row r="4783" spans="1:8" x14ac:dyDescent="0.3">
      <c r="A4783" t="s">
        <v>41</v>
      </c>
      <c r="B4783" s="1">
        <v>40648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</row>
    <row r="4784" spans="1:8" x14ac:dyDescent="0.3">
      <c r="A4784" t="s">
        <v>41</v>
      </c>
      <c r="B4784" s="1">
        <v>40655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</row>
    <row r="4785" spans="1:8" x14ac:dyDescent="0.3">
      <c r="A4785" t="s">
        <v>41</v>
      </c>
      <c r="B4785" s="1">
        <v>40662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</row>
    <row r="4786" spans="1:8" x14ac:dyDescent="0.3">
      <c r="A4786" t="s">
        <v>41</v>
      </c>
      <c r="B4786" s="1">
        <v>40669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</row>
    <row r="4787" spans="1:8" x14ac:dyDescent="0.3">
      <c r="A4787" t="s">
        <v>41</v>
      </c>
      <c r="B4787" s="1">
        <v>40676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</row>
    <row r="4788" spans="1:8" x14ac:dyDescent="0.3">
      <c r="A4788" t="s">
        <v>41</v>
      </c>
      <c r="B4788" s="1">
        <v>40683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</row>
    <row r="4789" spans="1:8" x14ac:dyDescent="0.3">
      <c r="A4789" t="s">
        <v>41</v>
      </c>
      <c r="B4789" s="1">
        <v>40690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</row>
    <row r="4790" spans="1:8" x14ac:dyDescent="0.3">
      <c r="A4790" t="s">
        <v>41</v>
      </c>
      <c r="B4790" s="1">
        <v>40697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</row>
    <row r="4791" spans="1:8" x14ac:dyDescent="0.3">
      <c r="A4791" t="s">
        <v>41</v>
      </c>
      <c r="B4791" s="1">
        <v>40704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</row>
    <row r="4792" spans="1:8" x14ac:dyDescent="0.3">
      <c r="A4792" t="s">
        <v>41</v>
      </c>
      <c r="B4792" s="1">
        <v>40711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</row>
    <row r="4793" spans="1:8" x14ac:dyDescent="0.3">
      <c r="A4793" t="s">
        <v>41</v>
      </c>
      <c r="B4793" s="1">
        <v>40718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</row>
    <row r="4794" spans="1:8" x14ac:dyDescent="0.3">
      <c r="A4794" t="s">
        <v>41</v>
      </c>
      <c r="B4794" s="1">
        <v>40725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</row>
    <row r="4795" spans="1:8" x14ac:dyDescent="0.3">
      <c r="A4795" t="s">
        <v>41</v>
      </c>
      <c r="B4795" s="1">
        <v>40732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</row>
    <row r="4796" spans="1:8" x14ac:dyDescent="0.3">
      <c r="A4796" t="s">
        <v>41</v>
      </c>
      <c r="B4796" s="1">
        <v>40739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</row>
    <row r="4797" spans="1:8" x14ac:dyDescent="0.3">
      <c r="A4797" t="s">
        <v>41</v>
      </c>
      <c r="B4797" s="1">
        <v>40746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</row>
    <row r="4798" spans="1:8" x14ac:dyDescent="0.3">
      <c r="A4798" t="s">
        <v>41</v>
      </c>
      <c r="B4798" s="1">
        <v>40753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</row>
    <row r="4799" spans="1:8" x14ac:dyDescent="0.3">
      <c r="A4799" t="s">
        <v>41</v>
      </c>
      <c r="B4799" s="1">
        <v>40760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</row>
    <row r="4800" spans="1:8" x14ac:dyDescent="0.3">
      <c r="A4800" t="s">
        <v>41</v>
      </c>
      <c r="B4800" s="1">
        <v>40767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 x14ac:dyDescent="0.3">
      <c r="A4801" t="s">
        <v>41</v>
      </c>
      <c r="B4801" s="1">
        <v>40774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</row>
    <row r="4802" spans="1:8" x14ac:dyDescent="0.3">
      <c r="A4802" t="s">
        <v>41</v>
      </c>
      <c r="B4802" s="1">
        <v>40781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</row>
    <row r="4803" spans="1:8" x14ac:dyDescent="0.3">
      <c r="A4803" t="s">
        <v>41</v>
      </c>
      <c r="B4803" s="1">
        <v>40788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</row>
    <row r="4804" spans="1:8" x14ac:dyDescent="0.3">
      <c r="A4804" t="s">
        <v>41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</row>
    <row r="4805" spans="1:8" x14ac:dyDescent="0.3">
      <c r="A4805" t="s">
        <v>41</v>
      </c>
      <c r="B4805" s="1">
        <v>40802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 x14ac:dyDescent="0.3">
      <c r="A4806" t="s">
        <v>41</v>
      </c>
      <c r="B4806" s="1">
        <v>40809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</row>
    <row r="4807" spans="1:8" x14ac:dyDescent="0.3">
      <c r="A4807" t="s">
        <v>41</v>
      </c>
      <c r="B4807" s="1">
        <v>40816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</row>
    <row r="4808" spans="1:8" x14ac:dyDescent="0.3">
      <c r="A4808" t="s">
        <v>41</v>
      </c>
      <c r="B4808" s="1">
        <v>40823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</row>
    <row r="4809" spans="1:8" x14ac:dyDescent="0.3">
      <c r="A4809" t="s">
        <v>41</v>
      </c>
      <c r="B4809" s="1">
        <v>40830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</row>
    <row r="4810" spans="1:8" x14ac:dyDescent="0.3">
      <c r="A4810" t="s">
        <v>41</v>
      </c>
      <c r="B4810" s="1">
        <v>40837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</row>
    <row r="4811" spans="1:8" x14ac:dyDescent="0.3">
      <c r="A4811" t="s">
        <v>41</v>
      </c>
      <c r="B4811" s="1">
        <v>40844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</row>
    <row r="4812" spans="1:8" x14ac:dyDescent="0.3">
      <c r="A4812" t="s">
        <v>41</v>
      </c>
      <c r="B4812" s="1">
        <v>40851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</row>
    <row r="4813" spans="1:8" x14ac:dyDescent="0.3">
      <c r="A4813" t="s">
        <v>41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</row>
    <row r="4814" spans="1:8" x14ac:dyDescent="0.3">
      <c r="A4814" t="s">
        <v>41</v>
      </c>
      <c r="B4814" s="1">
        <v>40865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 x14ac:dyDescent="0.3">
      <c r="A4815" t="s">
        <v>41</v>
      </c>
      <c r="B4815" s="1">
        <v>40872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</row>
    <row r="4816" spans="1:8" x14ac:dyDescent="0.3">
      <c r="A4816" t="s">
        <v>41</v>
      </c>
      <c r="B4816" s="1">
        <v>40879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</row>
    <row r="4817" spans="1:8" x14ac:dyDescent="0.3">
      <c r="A4817" t="s">
        <v>41</v>
      </c>
      <c r="B4817" s="1">
        <v>40886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</row>
    <row r="4818" spans="1:8" x14ac:dyDescent="0.3">
      <c r="A4818" t="s">
        <v>41</v>
      </c>
      <c r="B4818" s="1">
        <v>40893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 x14ac:dyDescent="0.3">
      <c r="A4819" t="s">
        <v>41</v>
      </c>
      <c r="B4819" s="1">
        <v>40900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</row>
    <row r="4820" spans="1:8" x14ac:dyDescent="0.3">
      <c r="A4820" t="s">
        <v>41</v>
      </c>
      <c r="B4820" s="1">
        <v>40907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</row>
    <row r="4821" spans="1:8" x14ac:dyDescent="0.3">
      <c r="A4821" t="s">
        <v>41</v>
      </c>
      <c r="B4821" s="1">
        <v>40914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</row>
    <row r="4822" spans="1:8" x14ac:dyDescent="0.3">
      <c r="A4822" t="s">
        <v>41</v>
      </c>
      <c r="B4822" s="1">
        <v>40921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</row>
    <row r="4823" spans="1:8" x14ac:dyDescent="0.3">
      <c r="A4823" t="s">
        <v>41</v>
      </c>
      <c r="B4823" s="1">
        <v>40928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</row>
    <row r="4824" spans="1:8" x14ac:dyDescent="0.3">
      <c r="A4824" t="s">
        <v>41</v>
      </c>
      <c r="B4824" s="1">
        <v>40935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</row>
    <row r="4825" spans="1:8" x14ac:dyDescent="0.3">
      <c r="A4825" t="s">
        <v>41</v>
      </c>
      <c r="B4825" s="1">
        <v>40942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</row>
    <row r="4826" spans="1:8" x14ac:dyDescent="0.3">
      <c r="A4826" t="s">
        <v>41</v>
      </c>
      <c r="B4826" s="1">
        <v>40949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</row>
    <row r="4827" spans="1:8" x14ac:dyDescent="0.3">
      <c r="A4827" t="s">
        <v>41</v>
      </c>
      <c r="B4827" s="1">
        <v>40956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</row>
    <row r="4828" spans="1:8" x14ac:dyDescent="0.3">
      <c r="A4828" t="s">
        <v>41</v>
      </c>
      <c r="B4828" s="1">
        <v>40963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</row>
    <row r="4829" spans="1:8" x14ac:dyDescent="0.3">
      <c r="A4829" t="s">
        <v>41</v>
      </c>
      <c r="B4829" s="1">
        <v>40970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</row>
    <row r="4830" spans="1:8" x14ac:dyDescent="0.3">
      <c r="A4830" t="s">
        <v>41</v>
      </c>
      <c r="B4830" s="1">
        <v>40977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</row>
    <row r="4831" spans="1:8" x14ac:dyDescent="0.3">
      <c r="A4831" t="s">
        <v>41</v>
      </c>
      <c r="B4831" s="1">
        <v>40984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</row>
    <row r="4832" spans="1:8" x14ac:dyDescent="0.3">
      <c r="A4832" t="s">
        <v>41</v>
      </c>
      <c r="B4832" s="1">
        <v>40991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</row>
    <row r="4833" spans="1:8" x14ac:dyDescent="0.3">
      <c r="A4833" t="s">
        <v>41</v>
      </c>
      <c r="B4833" s="1">
        <v>40998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</row>
    <row r="4834" spans="1:8" x14ac:dyDescent="0.3">
      <c r="A4834" t="s">
        <v>41</v>
      </c>
      <c r="B4834" s="1">
        <v>41005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</row>
    <row r="4835" spans="1:8" x14ac:dyDescent="0.3">
      <c r="A4835" t="s">
        <v>41</v>
      </c>
      <c r="B4835" s="1">
        <v>41012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</row>
    <row r="4836" spans="1:8" x14ac:dyDescent="0.3">
      <c r="A4836" t="s">
        <v>41</v>
      </c>
      <c r="B4836" s="1">
        <v>41019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</row>
    <row r="4837" spans="1:8" x14ac:dyDescent="0.3">
      <c r="A4837" t="s">
        <v>41</v>
      </c>
      <c r="B4837" s="1">
        <v>41026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</row>
    <row r="4838" spans="1:8" x14ac:dyDescent="0.3">
      <c r="A4838" t="s">
        <v>41</v>
      </c>
      <c r="B4838" s="1">
        <v>41033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</row>
    <row r="4839" spans="1:8" x14ac:dyDescent="0.3">
      <c r="A4839" t="s">
        <v>41</v>
      </c>
      <c r="B4839" s="1">
        <v>41040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</row>
    <row r="4840" spans="1:8" x14ac:dyDescent="0.3">
      <c r="A4840" t="s">
        <v>41</v>
      </c>
      <c r="B4840" s="1">
        <v>41047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</row>
    <row r="4841" spans="1:8" x14ac:dyDescent="0.3">
      <c r="A4841" t="s">
        <v>41</v>
      </c>
      <c r="B4841" s="1">
        <v>41054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</row>
    <row r="4842" spans="1:8" x14ac:dyDescent="0.3">
      <c r="A4842" t="s">
        <v>41</v>
      </c>
      <c r="B4842" s="1">
        <v>41061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</row>
    <row r="4843" spans="1:8" x14ac:dyDescent="0.3">
      <c r="A4843" t="s">
        <v>41</v>
      </c>
      <c r="B4843" s="1">
        <v>41068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</row>
    <row r="4844" spans="1:8" x14ac:dyDescent="0.3">
      <c r="A4844" t="s">
        <v>41</v>
      </c>
      <c r="B4844" s="1">
        <v>41075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</row>
    <row r="4845" spans="1:8" x14ac:dyDescent="0.3">
      <c r="A4845" t="s">
        <v>41</v>
      </c>
      <c r="B4845" s="1">
        <v>41082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</row>
    <row r="4846" spans="1:8" x14ac:dyDescent="0.3">
      <c r="A4846" t="s">
        <v>41</v>
      </c>
      <c r="B4846" s="1">
        <v>41089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</row>
    <row r="4847" spans="1:8" x14ac:dyDescent="0.3">
      <c r="A4847" t="s">
        <v>41</v>
      </c>
      <c r="B4847" s="1">
        <v>41096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</row>
    <row r="4848" spans="1:8" x14ac:dyDescent="0.3">
      <c r="A4848" t="s">
        <v>41</v>
      </c>
      <c r="B4848" s="1">
        <v>41103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</row>
    <row r="4849" spans="1:8" x14ac:dyDescent="0.3">
      <c r="A4849" t="s">
        <v>41</v>
      </c>
      <c r="B4849" s="1">
        <v>41110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</row>
    <row r="4850" spans="1:8" x14ac:dyDescent="0.3">
      <c r="A4850" t="s">
        <v>41</v>
      </c>
      <c r="B4850" s="1">
        <v>41117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</row>
    <row r="4851" spans="1:8" x14ac:dyDescent="0.3">
      <c r="A4851" t="s">
        <v>41</v>
      </c>
      <c r="B4851" s="1">
        <v>41124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</row>
    <row r="4852" spans="1:8" x14ac:dyDescent="0.3">
      <c r="A4852" t="s">
        <v>41</v>
      </c>
      <c r="B4852" s="1">
        <v>41131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</row>
    <row r="4853" spans="1:8" x14ac:dyDescent="0.3">
      <c r="A4853" t="s">
        <v>41</v>
      </c>
      <c r="B4853" s="1">
        <v>41138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</row>
    <row r="4854" spans="1:8" x14ac:dyDescent="0.3">
      <c r="A4854" t="s">
        <v>41</v>
      </c>
      <c r="B4854" s="1">
        <v>41145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</row>
    <row r="4855" spans="1:8" x14ac:dyDescent="0.3">
      <c r="A4855" t="s">
        <v>41</v>
      </c>
      <c r="B4855" s="1">
        <v>41152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</row>
    <row r="4856" spans="1:8" x14ac:dyDescent="0.3">
      <c r="A4856" t="s">
        <v>41</v>
      </c>
      <c r="B4856" s="1">
        <v>41159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</row>
    <row r="4857" spans="1:8" x14ac:dyDescent="0.3">
      <c r="A4857" t="s">
        <v>41</v>
      </c>
      <c r="B4857" s="1">
        <v>41166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</row>
    <row r="4858" spans="1:8" x14ac:dyDescent="0.3">
      <c r="A4858" t="s">
        <v>41</v>
      </c>
      <c r="B4858" s="1">
        <v>41173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</row>
    <row r="4859" spans="1:8" x14ac:dyDescent="0.3">
      <c r="A4859" t="s">
        <v>41</v>
      </c>
      <c r="B4859" s="1">
        <v>41180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</row>
    <row r="4860" spans="1:8" x14ac:dyDescent="0.3">
      <c r="A4860" t="s">
        <v>41</v>
      </c>
      <c r="B4860" s="1">
        <v>41187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</row>
    <row r="4861" spans="1:8" x14ac:dyDescent="0.3">
      <c r="A4861" t="s">
        <v>41</v>
      </c>
      <c r="B4861" s="1">
        <v>41194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</row>
    <row r="4862" spans="1:8" x14ac:dyDescent="0.3">
      <c r="A4862" t="s">
        <v>41</v>
      </c>
      <c r="B4862" s="1">
        <v>41201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</row>
    <row r="4863" spans="1:8" x14ac:dyDescent="0.3">
      <c r="A4863" t="s">
        <v>41</v>
      </c>
      <c r="B4863" s="1">
        <v>41208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</row>
    <row r="4864" spans="1:8" x14ac:dyDescent="0.3">
      <c r="A4864" t="s">
        <v>42</v>
      </c>
      <c r="B4864" s="1">
        <v>40214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</row>
    <row r="4865" spans="1:8" x14ac:dyDescent="0.3">
      <c r="A4865" t="s">
        <v>42</v>
      </c>
      <c r="B4865" s="1">
        <v>40221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</row>
    <row r="4866" spans="1:8" x14ac:dyDescent="0.3">
      <c r="A4866" t="s">
        <v>42</v>
      </c>
      <c r="B4866" s="1">
        <v>40228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</row>
    <row r="4867" spans="1:8" x14ac:dyDescent="0.3">
      <c r="A4867" t="s">
        <v>42</v>
      </c>
      <c r="B4867" s="1">
        <v>40235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</row>
    <row r="4868" spans="1:8" x14ac:dyDescent="0.3">
      <c r="A4868" t="s">
        <v>42</v>
      </c>
      <c r="B4868" s="1">
        <v>40242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</row>
    <row r="4869" spans="1:8" x14ac:dyDescent="0.3">
      <c r="A4869" t="s">
        <v>42</v>
      </c>
      <c r="B4869" s="1">
        <v>40249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</row>
    <row r="4870" spans="1:8" x14ac:dyDescent="0.3">
      <c r="A4870" t="s">
        <v>42</v>
      </c>
      <c r="B4870" s="1">
        <v>40256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</row>
    <row r="4871" spans="1:8" x14ac:dyDescent="0.3">
      <c r="A4871" t="s">
        <v>42</v>
      </c>
      <c r="B4871" s="1">
        <v>40263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</row>
    <row r="4872" spans="1:8" x14ac:dyDescent="0.3">
      <c r="A4872" t="s">
        <v>42</v>
      </c>
      <c r="B4872" s="1">
        <v>40270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</row>
    <row r="4873" spans="1:8" x14ac:dyDescent="0.3">
      <c r="A4873" t="s">
        <v>42</v>
      </c>
      <c r="B4873" s="1">
        <v>40277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</row>
    <row r="4874" spans="1:8" x14ac:dyDescent="0.3">
      <c r="A4874" t="s">
        <v>42</v>
      </c>
      <c r="B4874" s="1">
        <v>40284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</row>
    <row r="4875" spans="1:8" x14ac:dyDescent="0.3">
      <c r="A4875" t="s">
        <v>42</v>
      </c>
      <c r="B4875" s="1">
        <v>40291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</row>
    <row r="4876" spans="1:8" x14ac:dyDescent="0.3">
      <c r="A4876" t="s">
        <v>42</v>
      </c>
      <c r="B4876" s="1">
        <v>40298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</row>
    <row r="4877" spans="1:8" x14ac:dyDescent="0.3">
      <c r="A4877" t="s">
        <v>42</v>
      </c>
      <c r="B4877" s="1">
        <v>40305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</row>
    <row r="4878" spans="1:8" x14ac:dyDescent="0.3">
      <c r="A4878" t="s">
        <v>42</v>
      </c>
      <c r="B4878" s="1">
        <v>40312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</row>
    <row r="4879" spans="1:8" x14ac:dyDescent="0.3">
      <c r="A4879" t="s">
        <v>42</v>
      </c>
      <c r="B4879" s="1">
        <v>40319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</row>
    <row r="4880" spans="1:8" x14ac:dyDescent="0.3">
      <c r="A4880" t="s">
        <v>42</v>
      </c>
      <c r="B4880" s="1">
        <v>40326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</row>
    <row r="4881" spans="1:8" x14ac:dyDescent="0.3">
      <c r="A4881" t="s">
        <v>42</v>
      </c>
      <c r="B4881" s="1">
        <v>40333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</row>
    <row r="4882" spans="1:8" x14ac:dyDescent="0.3">
      <c r="A4882" t="s">
        <v>42</v>
      </c>
      <c r="B4882" s="1">
        <v>40340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</row>
    <row r="4883" spans="1:8" x14ac:dyDescent="0.3">
      <c r="A4883" t="s">
        <v>42</v>
      </c>
      <c r="B4883" s="1">
        <v>40347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</row>
    <row r="4884" spans="1:8" x14ac:dyDescent="0.3">
      <c r="A4884" t="s">
        <v>42</v>
      </c>
      <c r="B4884" s="1">
        <v>40354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</row>
    <row r="4885" spans="1:8" x14ac:dyDescent="0.3">
      <c r="A4885" t="s">
        <v>42</v>
      </c>
      <c r="B4885" s="1">
        <v>40361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</row>
    <row r="4886" spans="1:8" x14ac:dyDescent="0.3">
      <c r="A4886" t="s">
        <v>42</v>
      </c>
      <c r="B4886" s="1">
        <v>40368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</row>
    <row r="4887" spans="1:8" x14ac:dyDescent="0.3">
      <c r="A4887" t="s">
        <v>42</v>
      </c>
      <c r="B4887" s="1">
        <v>40375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</row>
    <row r="4888" spans="1:8" x14ac:dyDescent="0.3">
      <c r="A4888" t="s">
        <v>42</v>
      </c>
      <c r="B4888" s="1">
        <v>40382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</row>
    <row r="4889" spans="1:8" x14ac:dyDescent="0.3">
      <c r="A4889" t="s">
        <v>42</v>
      </c>
      <c r="B4889" s="1">
        <v>40389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</row>
    <row r="4890" spans="1:8" x14ac:dyDescent="0.3">
      <c r="A4890" t="s">
        <v>42</v>
      </c>
      <c r="B4890" s="1">
        <v>40396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</row>
    <row r="4891" spans="1:8" x14ac:dyDescent="0.3">
      <c r="A4891" t="s">
        <v>42</v>
      </c>
      <c r="B4891" s="1">
        <v>40403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</row>
    <row r="4892" spans="1:8" x14ac:dyDescent="0.3">
      <c r="A4892" t="s">
        <v>42</v>
      </c>
      <c r="B4892" s="1">
        <v>40410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</row>
    <row r="4893" spans="1:8" x14ac:dyDescent="0.3">
      <c r="A4893" t="s">
        <v>42</v>
      </c>
      <c r="B4893" s="1">
        <v>40417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</row>
    <row r="4894" spans="1:8" x14ac:dyDescent="0.3">
      <c r="A4894" t="s">
        <v>42</v>
      </c>
      <c r="B4894" s="1">
        <v>40424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</row>
    <row r="4895" spans="1:8" x14ac:dyDescent="0.3">
      <c r="A4895" t="s">
        <v>42</v>
      </c>
      <c r="B4895" s="1">
        <v>40431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</row>
    <row r="4896" spans="1:8" x14ac:dyDescent="0.3">
      <c r="A4896" t="s">
        <v>42</v>
      </c>
      <c r="B4896" s="1">
        <v>40438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</row>
    <row r="4897" spans="1:8" x14ac:dyDescent="0.3">
      <c r="A4897" t="s">
        <v>42</v>
      </c>
      <c r="B4897" s="1">
        <v>40445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</row>
    <row r="4898" spans="1:8" x14ac:dyDescent="0.3">
      <c r="A4898" t="s">
        <v>42</v>
      </c>
      <c r="B4898" s="1">
        <v>40452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</row>
    <row r="4899" spans="1:8" x14ac:dyDescent="0.3">
      <c r="A4899" t="s">
        <v>42</v>
      </c>
      <c r="B4899" s="1">
        <v>40459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</row>
    <row r="4900" spans="1:8" x14ac:dyDescent="0.3">
      <c r="A4900" t="s">
        <v>42</v>
      </c>
      <c r="B4900" s="1">
        <v>40466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</row>
    <row r="4901" spans="1:8" x14ac:dyDescent="0.3">
      <c r="A4901" t="s">
        <v>42</v>
      </c>
      <c r="B4901" s="1">
        <v>40473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</row>
    <row r="4902" spans="1:8" x14ac:dyDescent="0.3">
      <c r="A4902" t="s">
        <v>42</v>
      </c>
      <c r="B4902" s="1">
        <v>40480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</row>
    <row r="4903" spans="1:8" x14ac:dyDescent="0.3">
      <c r="A4903" t="s">
        <v>42</v>
      </c>
      <c r="B4903" s="1">
        <v>40487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</row>
    <row r="4904" spans="1:8" x14ac:dyDescent="0.3">
      <c r="A4904" t="s">
        <v>42</v>
      </c>
      <c r="B4904" s="1">
        <v>40494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</row>
    <row r="4905" spans="1:8" x14ac:dyDescent="0.3">
      <c r="A4905" t="s">
        <v>42</v>
      </c>
      <c r="B4905" s="1">
        <v>40501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</row>
    <row r="4906" spans="1:8" x14ac:dyDescent="0.3">
      <c r="A4906" t="s">
        <v>42</v>
      </c>
      <c r="B4906" s="1">
        <v>40508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</row>
    <row r="4907" spans="1:8" x14ac:dyDescent="0.3">
      <c r="A4907" t="s">
        <v>42</v>
      </c>
      <c r="B4907" s="1">
        <v>40515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</row>
    <row r="4908" spans="1:8" x14ac:dyDescent="0.3">
      <c r="A4908" t="s">
        <v>42</v>
      </c>
      <c r="B4908" s="1">
        <v>40522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</row>
    <row r="4909" spans="1:8" x14ac:dyDescent="0.3">
      <c r="A4909" t="s">
        <v>42</v>
      </c>
      <c r="B4909" s="1">
        <v>40529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</row>
    <row r="4910" spans="1:8" x14ac:dyDescent="0.3">
      <c r="A4910" t="s">
        <v>42</v>
      </c>
      <c r="B4910" s="1">
        <v>40536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</row>
    <row r="4911" spans="1:8" x14ac:dyDescent="0.3">
      <c r="A4911" t="s">
        <v>42</v>
      </c>
      <c r="B4911" s="1">
        <v>40543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</row>
    <row r="4912" spans="1:8" x14ac:dyDescent="0.3">
      <c r="A4912" t="s">
        <v>42</v>
      </c>
      <c r="B4912" s="1">
        <v>40550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</row>
    <row r="4913" spans="1:8" x14ac:dyDescent="0.3">
      <c r="A4913" t="s">
        <v>42</v>
      </c>
      <c r="B4913" s="1">
        <v>40557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</row>
    <row r="4914" spans="1:8" x14ac:dyDescent="0.3">
      <c r="A4914" t="s">
        <v>42</v>
      </c>
      <c r="B4914" s="1">
        <v>40564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</row>
    <row r="4915" spans="1:8" x14ac:dyDescent="0.3">
      <c r="A4915" t="s">
        <v>42</v>
      </c>
      <c r="B4915" s="1">
        <v>40571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</row>
    <row r="4916" spans="1:8" x14ac:dyDescent="0.3">
      <c r="A4916" t="s">
        <v>42</v>
      </c>
      <c r="B4916" s="1">
        <v>40578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</row>
    <row r="4917" spans="1:8" x14ac:dyDescent="0.3">
      <c r="A4917" t="s">
        <v>42</v>
      </c>
      <c r="B4917" s="1">
        <v>40585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</row>
    <row r="4918" spans="1:8" x14ac:dyDescent="0.3">
      <c r="A4918" t="s">
        <v>42</v>
      </c>
      <c r="B4918" s="1">
        <v>40592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</row>
    <row r="4919" spans="1:8" x14ac:dyDescent="0.3">
      <c r="A4919" t="s">
        <v>42</v>
      </c>
      <c r="B4919" s="1">
        <v>40599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</row>
    <row r="4920" spans="1:8" x14ac:dyDescent="0.3">
      <c r="A4920" t="s">
        <v>42</v>
      </c>
      <c r="B4920" s="1">
        <v>40606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</row>
    <row r="4921" spans="1:8" x14ac:dyDescent="0.3">
      <c r="A4921" t="s">
        <v>42</v>
      </c>
      <c r="B4921" s="1">
        <v>40613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</row>
    <row r="4922" spans="1:8" x14ac:dyDescent="0.3">
      <c r="A4922" t="s">
        <v>42</v>
      </c>
      <c r="B4922" s="1">
        <v>40620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</row>
    <row r="4923" spans="1:8" x14ac:dyDescent="0.3">
      <c r="A4923" t="s">
        <v>42</v>
      </c>
      <c r="B4923" s="1">
        <v>40627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</row>
    <row r="4924" spans="1:8" x14ac:dyDescent="0.3">
      <c r="A4924" t="s">
        <v>42</v>
      </c>
      <c r="B4924" s="1">
        <v>40634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</row>
    <row r="4925" spans="1:8" x14ac:dyDescent="0.3">
      <c r="A4925" t="s">
        <v>42</v>
      </c>
      <c r="B4925" s="1">
        <v>40641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</row>
    <row r="4926" spans="1:8" x14ac:dyDescent="0.3">
      <c r="A4926" t="s">
        <v>42</v>
      </c>
      <c r="B4926" s="1">
        <v>40648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</row>
    <row r="4927" spans="1:8" x14ac:dyDescent="0.3">
      <c r="A4927" t="s">
        <v>42</v>
      </c>
      <c r="B4927" s="1">
        <v>40655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</row>
    <row r="4928" spans="1:8" x14ac:dyDescent="0.3">
      <c r="A4928" t="s">
        <v>42</v>
      </c>
      <c r="B4928" s="1">
        <v>40662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</row>
    <row r="4929" spans="1:8" x14ac:dyDescent="0.3">
      <c r="A4929" t="s">
        <v>42</v>
      </c>
      <c r="B4929" s="1">
        <v>40669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</row>
    <row r="4930" spans="1:8" x14ac:dyDescent="0.3">
      <c r="A4930" t="s">
        <v>42</v>
      </c>
      <c r="B4930" s="1">
        <v>40676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</row>
    <row r="4931" spans="1:8" x14ac:dyDescent="0.3">
      <c r="A4931" t="s">
        <v>42</v>
      </c>
      <c r="B4931" s="1">
        <v>40683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</row>
    <row r="4932" spans="1:8" x14ac:dyDescent="0.3">
      <c r="A4932" t="s">
        <v>42</v>
      </c>
      <c r="B4932" s="1">
        <v>40690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</row>
    <row r="4933" spans="1:8" x14ac:dyDescent="0.3">
      <c r="A4933" t="s">
        <v>42</v>
      </c>
      <c r="B4933" s="1">
        <v>40697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</row>
    <row r="4934" spans="1:8" x14ac:dyDescent="0.3">
      <c r="A4934" t="s">
        <v>42</v>
      </c>
      <c r="B4934" s="1">
        <v>40704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</row>
    <row r="4935" spans="1:8" x14ac:dyDescent="0.3">
      <c r="A4935" t="s">
        <v>42</v>
      </c>
      <c r="B4935" s="1">
        <v>40711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</row>
    <row r="4936" spans="1:8" x14ac:dyDescent="0.3">
      <c r="A4936" t="s">
        <v>42</v>
      </c>
      <c r="B4936" s="1">
        <v>40718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</row>
    <row r="4937" spans="1:8" x14ac:dyDescent="0.3">
      <c r="A4937" t="s">
        <v>42</v>
      </c>
      <c r="B4937" s="1">
        <v>40725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</row>
    <row r="4938" spans="1:8" x14ac:dyDescent="0.3">
      <c r="A4938" t="s">
        <v>42</v>
      </c>
      <c r="B4938" s="1">
        <v>40732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</row>
    <row r="4939" spans="1:8" x14ac:dyDescent="0.3">
      <c r="A4939" t="s">
        <v>42</v>
      </c>
      <c r="B4939" s="1">
        <v>40739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</row>
    <row r="4940" spans="1:8" x14ac:dyDescent="0.3">
      <c r="A4940" t="s">
        <v>42</v>
      </c>
      <c r="B4940" s="1">
        <v>40746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</row>
    <row r="4941" spans="1:8" x14ac:dyDescent="0.3">
      <c r="A4941" t="s">
        <v>42</v>
      </c>
      <c r="B4941" s="1">
        <v>40753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</row>
    <row r="4942" spans="1:8" x14ac:dyDescent="0.3">
      <c r="A4942" t="s">
        <v>42</v>
      </c>
      <c r="B4942" s="1">
        <v>40760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</row>
    <row r="4943" spans="1:8" x14ac:dyDescent="0.3">
      <c r="A4943" t="s">
        <v>42</v>
      </c>
      <c r="B4943" s="1">
        <v>40767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</row>
    <row r="4944" spans="1:8" x14ac:dyDescent="0.3">
      <c r="A4944" t="s">
        <v>42</v>
      </c>
      <c r="B4944" s="1">
        <v>40774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</row>
    <row r="4945" spans="1:8" x14ac:dyDescent="0.3">
      <c r="A4945" t="s">
        <v>42</v>
      </c>
      <c r="B4945" s="1">
        <v>40781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</row>
    <row r="4946" spans="1:8" x14ac:dyDescent="0.3">
      <c r="A4946" t="s">
        <v>42</v>
      </c>
      <c r="B4946" s="1">
        <v>40788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</row>
    <row r="4947" spans="1:8" x14ac:dyDescent="0.3">
      <c r="A4947" t="s">
        <v>42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</row>
    <row r="4948" spans="1:8" x14ac:dyDescent="0.3">
      <c r="A4948" t="s">
        <v>42</v>
      </c>
      <c r="B4948" s="1">
        <v>40802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</row>
    <row r="4949" spans="1:8" x14ac:dyDescent="0.3">
      <c r="A4949" t="s">
        <v>42</v>
      </c>
      <c r="B4949" s="1">
        <v>40809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</row>
    <row r="4950" spans="1:8" x14ac:dyDescent="0.3">
      <c r="A4950" t="s">
        <v>42</v>
      </c>
      <c r="B4950" s="1">
        <v>40816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</row>
    <row r="4951" spans="1:8" x14ac:dyDescent="0.3">
      <c r="A4951" t="s">
        <v>42</v>
      </c>
      <c r="B4951" s="1">
        <v>40823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</row>
    <row r="4952" spans="1:8" x14ac:dyDescent="0.3">
      <c r="A4952" t="s">
        <v>42</v>
      </c>
      <c r="B4952" s="1">
        <v>40830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</row>
    <row r="4953" spans="1:8" x14ac:dyDescent="0.3">
      <c r="A4953" t="s">
        <v>42</v>
      </c>
      <c r="B4953" s="1">
        <v>40837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</row>
    <row r="4954" spans="1:8" x14ac:dyDescent="0.3">
      <c r="A4954" t="s">
        <v>42</v>
      </c>
      <c r="B4954" s="1">
        <v>40844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</row>
    <row r="4955" spans="1:8" x14ac:dyDescent="0.3">
      <c r="A4955" t="s">
        <v>42</v>
      </c>
      <c r="B4955" s="1">
        <v>40851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</row>
    <row r="4956" spans="1:8" x14ac:dyDescent="0.3">
      <c r="A4956" t="s">
        <v>42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</row>
    <row r="4957" spans="1:8" x14ac:dyDescent="0.3">
      <c r="A4957" t="s">
        <v>42</v>
      </c>
      <c r="B4957" s="1">
        <v>40865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</row>
    <row r="4958" spans="1:8" x14ac:dyDescent="0.3">
      <c r="A4958" t="s">
        <v>42</v>
      </c>
      <c r="B4958" s="1">
        <v>40872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</row>
    <row r="4959" spans="1:8" x14ac:dyDescent="0.3">
      <c r="A4959" t="s">
        <v>42</v>
      </c>
      <c r="B4959" s="1">
        <v>40879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</row>
    <row r="4960" spans="1:8" x14ac:dyDescent="0.3">
      <c r="A4960" t="s">
        <v>42</v>
      </c>
      <c r="B4960" s="1">
        <v>40886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</row>
    <row r="4961" spans="1:8" x14ac:dyDescent="0.3">
      <c r="A4961" t="s">
        <v>42</v>
      </c>
      <c r="B4961" s="1">
        <v>40893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</row>
    <row r="4962" spans="1:8" x14ac:dyDescent="0.3">
      <c r="A4962" t="s">
        <v>42</v>
      </c>
      <c r="B4962" s="1">
        <v>40900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</row>
    <row r="4963" spans="1:8" x14ac:dyDescent="0.3">
      <c r="A4963" t="s">
        <v>42</v>
      </c>
      <c r="B4963" s="1">
        <v>40907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</row>
    <row r="4964" spans="1:8" x14ac:dyDescent="0.3">
      <c r="A4964" t="s">
        <v>42</v>
      </c>
      <c r="B4964" s="1">
        <v>40914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</row>
    <row r="4965" spans="1:8" x14ac:dyDescent="0.3">
      <c r="A4965" t="s">
        <v>42</v>
      </c>
      <c r="B4965" s="1">
        <v>40921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</row>
    <row r="4966" spans="1:8" x14ac:dyDescent="0.3">
      <c r="A4966" t="s">
        <v>42</v>
      </c>
      <c r="B4966" s="1">
        <v>40928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</row>
    <row r="4967" spans="1:8" x14ac:dyDescent="0.3">
      <c r="A4967" t="s">
        <v>42</v>
      </c>
      <c r="B4967" s="1">
        <v>40935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</row>
    <row r="4968" spans="1:8" x14ac:dyDescent="0.3">
      <c r="A4968" t="s">
        <v>42</v>
      </c>
      <c r="B4968" s="1">
        <v>40942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</row>
    <row r="4969" spans="1:8" x14ac:dyDescent="0.3">
      <c r="A4969" t="s">
        <v>42</v>
      </c>
      <c r="B4969" s="1">
        <v>40949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</row>
    <row r="4970" spans="1:8" x14ac:dyDescent="0.3">
      <c r="A4970" t="s">
        <v>42</v>
      </c>
      <c r="B4970" s="1">
        <v>40956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</row>
    <row r="4971" spans="1:8" x14ac:dyDescent="0.3">
      <c r="A4971" t="s">
        <v>42</v>
      </c>
      <c r="B4971" s="1">
        <v>40963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</row>
    <row r="4972" spans="1:8" x14ac:dyDescent="0.3">
      <c r="A4972" t="s">
        <v>42</v>
      </c>
      <c r="B4972" s="1">
        <v>40970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</row>
    <row r="4973" spans="1:8" x14ac:dyDescent="0.3">
      <c r="A4973" t="s">
        <v>42</v>
      </c>
      <c r="B4973" s="1">
        <v>40977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</row>
    <row r="4974" spans="1:8" x14ac:dyDescent="0.3">
      <c r="A4974" t="s">
        <v>42</v>
      </c>
      <c r="B4974" s="1">
        <v>40984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</row>
    <row r="4975" spans="1:8" x14ac:dyDescent="0.3">
      <c r="A4975" t="s">
        <v>42</v>
      </c>
      <c r="B4975" s="1">
        <v>40991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</row>
    <row r="4976" spans="1:8" x14ac:dyDescent="0.3">
      <c r="A4976" t="s">
        <v>42</v>
      </c>
      <c r="B4976" s="1">
        <v>40998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</row>
    <row r="4977" spans="1:8" x14ac:dyDescent="0.3">
      <c r="A4977" t="s">
        <v>42</v>
      </c>
      <c r="B4977" s="1">
        <v>41005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</row>
    <row r="4978" spans="1:8" x14ac:dyDescent="0.3">
      <c r="A4978" t="s">
        <v>42</v>
      </c>
      <c r="B4978" s="1">
        <v>41012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</row>
    <row r="4979" spans="1:8" x14ac:dyDescent="0.3">
      <c r="A4979" t="s">
        <v>42</v>
      </c>
      <c r="B4979" s="1">
        <v>41019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</row>
    <row r="4980" spans="1:8" x14ac:dyDescent="0.3">
      <c r="A4980" t="s">
        <v>42</v>
      </c>
      <c r="B4980" s="1">
        <v>41026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</row>
    <row r="4981" spans="1:8" x14ac:dyDescent="0.3">
      <c r="A4981" t="s">
        <v>42</v>
      </c>
      <c r="B4981" s="1">
        <v>41033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</row>
    <row r="4982" spans="1:8" x14ac:dyDescent="0.3">
      <c r="A4982" t="s">
        <v>42</v>
      </c>
      <c r="B4982" s="1">
        <v>41040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</row>
    <row r="4983" spans="1:8" x14ac:dyDescent="0.3">
      <c r="A4983" t="s">
        <v>42</v>
      </c>
      <c r="B4983" s="1">
        <v>41047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</row>
    <row r="4984" spans="1:8" x14ac:dyDescent="0.3">
      <c r="A4984" t="s">
        <v>42</v>
      </c>
      <c r="B4984" s="1">
        <v>41054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</row>
    <row r="4985" spans="1:8" x14ac:dyDescent="0.3">
      <c r="A4985" t="s">
        <v>42</v>
      </c>
      <c r="B4985" s="1">
        <v>41061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</row>
    <row r="4986" spans="1:8" x14ac:dyDescent="0.3">
      <c r="A4986" t="s">
        <v>42</v>
      </c>
      <c r="B4986" s="1">
        <v>41068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</row>
    <row r="4987" spans="1:8" x14ac:dyDescent="0.3">
      <c r="A4987" t="s">
        <v>42</v>
      </c>
      <c r="B4987" s="1">
        <v>41075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</row>
    <row r="4988" spans="1:8" x14ac:dyDescent="0.3">
      <c r="A4988" t="s">
        <v>42</v>
      </c>
      <c r="B4988" s="1">
        <v>41082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</row>
    <row r="4989" spans="1:8" x14ac:dyDescent="0.3">
      <c r="A4989" t="s">
        <v>42</v>
      </c>
      <c r="B4989" s="1">
        <v>41089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</row>
    <row r="4990" spans="1:8" x14ac:dyDescent="0.3">
      <c r="A4990" t="s">
        <v>42</v>
      </c>
      <c r="B4990" s="1">
        <v>41096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</row>
    <row r="4991" spans="1:8" x14ac:dyDescent="0.3">
      <c r="A4991" t="s">
        <v>42</v>
      </c>
      <c r="B4991" s="1">
        <v>41103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</row>
    <row r="4992" spans="1:8" x14ac:dyDescent="0.3">
      <c r="A4992" t="s">
        <v>42</v>
      </c>
      <c r="B4992" s="1">
        <v>41110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</row>
    <row r="4993" spans="1:8" x14ac:dyDescent="0.3">
      <c r="A4993" t="s">
        <v>42</v>
      </c>
      <c r="B4993" s="1">
        <v>41117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</row>
    <row r="4994" spans="1:8" x14ac:dyDescent="0.3">
      <c r="A4994" t="s">
        <v>42</v>
      </c>
      <c r="B4994" s="1">
        <v>41124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</row>
    <row r="4995" spans="1:8" x14ac:dyDescent="0.3">
      <c r="A4995" t="s">
        <v>42</v>
      </c>
      <c r="B4995" s="1">
        <v>41131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</row>
    <row r="4996" spans="1:8" x14ac:dyDescent="0.3">
      <c r="A4996" t="s">
        <v>42</v>
      </c>
      <c r="B4996" s="1">
        <v>41138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</row>
    <row r="4997" spans="1:8" x14ac:dyDescent="0.3">
      <c r="A4997" t="s">
        <v>42</v>
      </c>
      <c r="B4997" s="1">
        <v>41145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</row>
    <row r="4998" spans="1:8" x14ac:dyDescent="0.3">
      <c r="A4998" t="s">
        <v>42</v>
      </c>
      <c r="B4998" s="1">
        <v>41152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</row>
    <row r="4999" spans="1:8" x14ac:dyDescent="0.3">
      <c r="A4999" t="s">
        <v>42</v>
      </c>
      <c r="B4999" s="1">
        <v>41159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</row>
    <row r="5000" spans="1:8" x14ac:dyDescent="0.3">
      <c r="A5000" t="s">
        <v>42</v>
      </c>
      <c r="B5000" s="1">
        <v>41166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</row>
    <row r="5001" spans="1:8" x14ac:dyDescent="0.3">
      <c r="A5001" t="s">
        <v>42</v>
      </c>
      <c r="B5001" s="1">
        <v>41173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</row>
    <row r="5002" spans="1:8" x14ac:dyDescent="0.3">
      <c r="A5002" t="s">
        <v>42</v>
      </c>
      <c r="B5002" s="1">
        <v>41180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</row>
    <row r="5003" spans="1:8" x14ac:dyDescent="0.3">
      <c r="A5003" t="s">
        <v>42</v>
      </c>
      <c r="B5003" s="1">
        <v>41187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</row>
    <row r="5004" spans="1:8" x14ac:dyDescent="0.3">
      <c r="A5004" t="s">
        <v>42</v>
      </c>
      <c r="B5004" s="1">
        <v>41194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</row>
    <row r="5005" spans="1:8" x14ac:dyDescent="0.3">
      <c r="A5005" t="s">
        <v>42</v>
      </c>
      <c r="B5005" s="1">
        <v>41201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</row>
    <row r="5006" spans="1:8" x14ac:dyDescent="0.3">
      <c r="A5006" t="s">
        <v>42</v>
      </c>
      <c r="B5006" s="1">
        <v>41208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</row>
    <row r="5007" spans="1:8" x14ac:dyDescent="0.3">
      <c r="A5007" t="s">
        <v>43</v>
      </c>
      <c r="B5007" s="1">
        <v>40214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</row>
    <row r="5008" spans="1:8" x14ac:dyDescent="0.3">
      <c r="A5008" t="s">
        <v>43</v>
      </c>
      <c r="B5008" s="1">
        <v>40221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</row>
    <row r="5009" spans="1:8" x14ac:dyDescent="0.3">
      <c r="A5009" t="s">
        <v>43</v>
      </c>
      <c r="B5009" s="1">
        <v>40228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</row>
    <row r="5010" spans="1:8" x14ac:dyDescent="0.3">
      <c r="A5010" t="s">
        <v>43</v>
      </c>
      <c r="B5010" s="1">
        <v>40235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</row>
    <row r="5011" spans="1:8" x14ac:dyDescent="0.3">
      <c r="A5011" t="s">
        <v>43</v>
      </c>
      <c r="B5011" s="1">
        <v>40242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</row>
    <row r="5012" spans="1:8" x14ac:dyDescent="0.3">
      <c r="A5012" t="s">
        <v>43</v>
      </c>
      <c r="B5012" s="1">
        <v>40249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</row>
    <row r="5013" spans="1:8" x14ac:dyDescent="0.3">
      <c r="A5013" t="s">
        <v>43</v>
      </c>
      <c r="B5013" s="1">
        <v>40256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</row>
    <row r="5014" spans="1:8" x14ac:dyDescent="0.3">
      <c r="A5014" t="s">
        <v>43</v>
      </c>
      <c r="B5014" s="1">
        <v>40263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</row>
    <row r="5015" spans="1:8" x14ac:dyDescent="0.3">
      <c r="A5015" t="s">
        <v>43</v>
      </c>
      <c r="B5015" s="1">
        <v>40270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</row>
    <row r="5016" spans="1:8" x14ac:dyDescent="0.3">
      <c r="A5016" t="s">
        <v>43</v>
      </c>
      <c r="B5016" s="1">
        <v>40277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</row>
    <row r="5017" spans="1:8" x14ac:dyDescent="0.3">
      <c r="A5017" t="s">
        <v>43</v>
      </c>
      <c r="B5017" s="1">
        <v>40284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</row>
    <row r="5018" spans="1:8" x14ac:dyDescent="0.3">
      <c r="A5018" t="s">
        <v>43</v>
      </c>
      <c r="B5018" s="1">
        <v>40291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</row>
    <row r="5019" spans="1:8" x14ac:dyDescent="0.3">
      <c r="A5019" t="s">
        <v>43</v>
      </c>
      <c r="B5019" s="1">
        <v>40298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</row>
    <row r="5020" spans="1:8" x14ac:dyDescent="0.3">
      <c r="A5020" t="s">
        <v>43</v>
      </c>
      <c r="B5020" s="1">
        <v>40305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</row>
    <row r="5021" spans="1:8" x14ac:dyDescent="0.3">
      <c r="A5021" t="s">
        <v>43</v>
      </c>
      <c r="B5021" s="1">
        <v>40312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</row>
    <row r="5022" spans="1:8" x14ac:dyDescent="0.3">
      <c r="A5022" t="s">
        <v>43</v>
      </c>
      <c r="B5022" s="1">
        <v>40319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</row>
    <row r="5023" spans="1:8" x14ac:dyDescent="0.3">
      <c r="A5023" t="s">
        <v>43</v>
      </c>
      <c r="B5023" s="1">
        <v>40326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</row>
    <row r="5024" spans="1:8" x14ac:dyDescent="0.3">
      <c r="A5024" t="s">
        <v>43</v>
      </c>
      <c r="B5024" s="1">
        <v>40333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</row>
    <row r="5025" spans="1:8" x14ac:dyDescent="0.3">
      <c r="A5025" t="s">
        <v>43</v>
      </c>
      <c r="B5025" s="1">
        <v>40340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</row>
    <row r="5026" spans="1:8" x14ac:dyDescent="0.3">
      <c r="A5026" t="s">
        <v>43</v>
      </c>
      <c r="B5026" s="1">
        <v>40347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</row>
    <row r="5027" spans="1:8" x14ac:dyDescent="0.3">
      <c r="A5027" t="s">
        <v>43</v>
      </c>
      <c r="B5027" s="1">
        <v>40354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</row>
    <row r="5028" spans="1:8" x14ac:dyDescent="0.3">
      <c r="A5028" t="s">
        <v>43</v>
      </c>
      <c r="B5028" s="1">
        <v>40361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</row>
    <row r="5029" spans="1:8" x14ac:dyDescent="0.3">
      <c r="A5029" t="s">
        <v>43</v>
      </c>
      <c r="B5029" s="1">
        <v>40368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</row>
    <row r="5030" spans="1:8" x14ac:dyDescent="0.3">
      <c r="A5030" t="s">
        <v>43</v>
      </c>
      <c r="B5030" s="1">
        <v>40375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</row>
    <row r="5031" spans="1:8" x14ac:dyDescent="0.3">
      <c r="A5031" t="s">
        <v>43</v>
      </c>
      <c r="B5031" s="1">
        <v>40382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</row>
    <row r="5032" spans="1:8" x14ac:dyDescent="0.3">
      <c r="A5032" t="s">
        <v>43</v>
      </c>
      <c r="B5032" s="1">
        <v>40389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</row>
    <row r="5033" spans="1:8" x14ac:dyDescent="0.3">
      <c r="A5033" t="s">
        <v>43</v>
      </c>
      <c r="B5033" s="1">
        <v>40396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</row>
    <row r="5034" spans="1:8" x14ac:dyDescent="0.3">
      <c r="A5034" t="s">
        <v>43</v>
      </c>
      <c r="B5034" s="1">
        <v>40403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</row>
    <row r="5035" spans="1:8" x14ac:dyDescent="0.3">
      <c r="A5035" t="s">
        <v>43</v>
      </c>
      <c r="B5035" s="1">
        <v>40410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</row>
    <row r="5036" spans="1:8" x14ac:dyDescent="0.3">
      <c r="A5036" t="s">
        <v>43</v>
      </c>
      <c r="B5036" s="1">
        <v>40417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</row>
    <row r="5037" spans="1:8" x14ac:dyDescent="0.3">
      <c r="A5037" t="s">
        <v>43</v>
      </c>
      <c r="B5037" s="1">
        <v>40424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</row>
    <row r="5038" spans="1:8" x14ac:dyDescent="0.3">
      <c r="A5038" t="s">
        <v>43</v>
      </c>
      <c r="B5038" s="1">
        <v>40431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</row>
    <row r="5039" spans="1:8" x14ac:dyDescent="0.3">
      <c r="A5039" t="s">
        <v>43</v>
      </c>
      <c r="B5039" s="1">
        <v>40438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</row>
    <row r="5040" spans="1:8" x14ac:dyDescent="0.3">
      <c r="A5040" t="s">
        <v>43</v>
      </c>
      <c r="B5040" s="1">
        <v>40445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</row>
    <row r="5041" spans="1:8" x14ac:dyDescent="0.3">
      <c r="A5041" t="s">
        <v>43</v>
      </c>
      <c r="B5041" s="1">
        <v>40452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</row>
    <row r="5042" spans="1:8" x14ac:dyDescent="0.3">
      <c r="A5042" t="s">
        <v>43</v>
      </c>
      <c r="B5042" s="1">
        <v>40459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</row>
    <row r="5043" spans="1:8" x14ac:dyDescent="0.3">
      <c r="A5043" t="s">
        <v>43</v>
      </c>
      <c r="B5043" s="1">
        <v>40466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</row>
    <row r="5044" spans="1:8" x14ac:dyDescent="0.3">
      <c r="A5044" t="s">
        <v>43</v>
      </c>
      <c r="B5044" s="1">
        <v>40473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</row>
    <row r="5045" spans="1:8" x14ac:dyDescent="0.3">
      <c r="A5045" t="s">
        <v>43</v>
      </c>
      <c r="B5045" s="1">
        <v>40480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</row>
    <row r="5046" spans="1:8" x14ac:dyDescent="0.3">
      <c r="A5046" t="s">
        <v>43</v>
      </c>
      <c r="B5046" s="1">
        <v>40487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</row>
    <row r="5047" spans="1:8" x14ac:dyDescent="0.3">
      <c r="A5047" t="s">
        <v>43</v>
      </c>
      <c r="B5047" s="1">
        <v>40494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</row>
    <row r="5048" spans="1:8" x14ac:dyDescent="0.3">
      <c r="A5048" t="s">
        <v>43</v>
      </c>
      <c r="B5048" s="1">
        <v>40501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</row>
    <row r="5049" spans="1:8" x14ac:dyDescent="0.3">
      <c r="A5049" t="s">
        <v>43</v>
      </c>
      <c r="B5049" s="1">
        <v>40508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</row>
    <row r="5050" spans="1:8" x14ac:dyDescent="0.3">
      <c r="A5050" t="s">
        <v>43</v>
      </c>
      <c r="B5050" s="1">
        <v>40515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</row>
    <row r="5051" spans="1:8" x14ac:dyDescent="0.3">
      <c r="A5051" t="s">
        <v>43</v>
      </c>
      <c r="B5051" s="1">
        <v>40522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</row>
    <row r="5052" spans="1:8" x14ac:dyDescent="0.3">
      <c r="A5052" t="s">
        <v>43</v>
      </c>
      <c r="B5052" s="1">
        <v>40529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</row>
    <row r="5053" spans="1:8" x14ac:dyDescent="0.3">
      <c r="A5053" t="s">
        <v>43</v>
      </c>
      <c r="B5053" s="1">
        <v>40536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</row>
    <row r="5054" spans="1:8" x14ac:dyDescent="0.3">
      <c r="A5054" t="s">
        <v>43</v>
      </c>
      <c r="B5054" s="1">
        <v>40543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</row>
    <row r="5055" spans="1:8" x14ac:dyDescent="0.3">
      <c r="A5055" t="s">
        <v>43</v>
      </c>
      <c r="B5055" s="1">
        <v>40550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</row>
    <row r="5056" spans="1:8" x14ac:dyDescent="0.3">
      <c r="A5056" t="s">
        <v>43</v>
      </c>
      <c r="B5056" s="1">
        <v>40557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</row>
    <row r="5057" spans="1:8" x14ac:dyDescent="0.3">
      <c r="A5057" t="s">
        <v>43</v>
      </c>
      <c r="B5057" s="1">
        <v>40564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</row>
    <row r="5058" spans="1:8" x14ac:dyDescent="0.3">
      <c r="A5058" t="s">
        <v>43</v>
      </c>
      <c r="B5058" s="1">
        <v>40571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</row>
    <row r="5059" spans="1:8" x14ac:dyDescent="0.3">
      <c r="A5059" t="s">
        <v>43</v>
      </c>
      <c r="B5059" s="1">
        <v>40578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</row>
    <row r="5060" spans="1:8" x14ac:dyDescent="0.3">
      <c r="A5060" t="s">
        <v>43</v>
      </c>
      <c r="B5060" s="1">
        <v>40585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</row>
    <row r="5061" spans="1:8" x14ac:dyDescent="0.3">
      <c r="A5061" t="s">
        <v>43</v>
      </c>
      <c r="B5061" s="1">
        <v>40592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</row>
    <row r="5062" spans="1:8" x14ac:dyDescent="0.3">
      <c r="A5062" t="s">
        <v>43</v>
      </c>
      <c r="B5062" s="1">
        <v>40599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</row>
    <row r="5063" spans="1:8" x14ac:dyDescent="0.3">
      <c r="A5063" t="s">
        <v>43</v>
      </c>
      <c r="B5063" s="1">
        <v>40606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</row>
    <row r="5064" spans="1:8" x14ac:dyDescent="0.3">
      <c r="A5064" t="s">
        <v>43</v>
      </c>
      <c r="B5064" s="1">
        <v>40613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</row>
    <row r="5065" spans="1:8" x14ac:dyDescent="0.3">
      <c r="A5065" t="s">
        <v>43</v>
      </c>
      <c r="B5065" s="1">
        <v>40620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</row>
    <row r="5066" spans="1:8" x14ac:dyDescent="0.3">
      <c r="A5066" t="s">
        <v>43</v>
      </c>
      <c r="B5066" s="1">
        <v>40627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</row>
    <row r="5067" spans="1:8" x14ac:dyDescent="0.3">
      <c r="A5067" t="s">
        <v>43</v>
      </c>
      <c r="B5067" s="1">
        <v>40634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</row>
    <row r="5068" spans="1:8" x14ac:dyDescent="0.3">
      <c r="A5068" t="s">
        <v>43</v>
      </c>
      <c r="B5068" s="1">
        <v>40641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</row>
    <row r="5069" spans="1:8" x14ac:dyDescent="0.3">
      <c r="A5069" t="s">
        <v>43</v>
      </c>
      <c r="B5069" s="1">
        <v>40648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</row>
    <row r="5070" spans="1:8" x14ac:dyDescent="0.3">
      <c r="A5070" t="s">
        <v>43</v>
      </c>
      <c r="B5070" s="1">
        <v>40655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</row>
    <row r="5071" spans="1:8" x14ac:dyDescent="0.3">
      <c r="A5071" t="s">
        <v>43</v>
      </c>
      <c r="B5071" s="1">
        <v>40662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</row>
    <row r="5072" spans="1:8" x14ac:dyDescent="0.3">
      <c r="A5072" t="s">
        <v>43</v>
      </c>
      <c r="B5072" s="1">
        <v>40669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</row>
    <row r="5073" spans="1:8" x14ac:dyDescent="0.3">
      <c r="A5073" t="s">
        <v>43</v>
      </c>
      <c r="B5073" s="1">
        <v>40676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</row>
    <row r="5074" spans="1:8" x14ac:dyDescent="0.3">
      <c r="A5074" t="s">
        <v>43</v>
      </c>
      <c r="B5074" s="1">
        <v>40683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</row>
    <row r="5075" spans="1:8" x14ac:dyDescent="0.3">
      <c r="A5075" t="s">
        <v>43</v>
      </c>
      <c r="B5075" s="1">
        <v>40690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</row>
    <row r="5076" spans="1:8" x14ac:dyDescent="0.3">
      <c r="A5076" t="s">
        <v>43</v>
      </c>
      <c r="B5076" s="1">
        <v>40697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</row>
    <row r="5077" spans="1:8" x14ac:dyDescent="0.3">
      <c r="A5077" t="s">
        <v>43</v>
      </c>
      <c r="B5077" s="1">
        <v>40704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</row>
    <row r="5078" spans="1:8" x14ac:dyDescent="0.3">
      <c r="A5078" t="s">
        <v>43</v>
      </c>
      <c r="B5078" s="1">
        <v>40711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</row>
    <row r="5079" spans="1:8" x14ac:dyDescent="0.3">
      <c r="A5079" t="s">
        <v>43</v>
      </c>
      <c r="B5079" s="1">
        <v>40718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</row>
    <row r="5080" spans="1:8" x14ac:dyDescent="0.3">
      <c r="A5080" t="s">
        <v>43</v>
      </c>
      <c r="B5080" s="1">
        <v>40725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</row>
    <row r="5081" spans="1:8" x14ac:dyDescent="0.3">
      <c r="A5081" t="s">
        <v>43</v>
      </c>
      <c r="B5081" s="1">
        <v>40732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</row>
    <row r="5082" spans="1:8" x14ac:dyDescent="0.3">
      <c r="A5082" t="s">
        <v>43</v>
      </c>
      <c r="B5082" s="1">
        <v>40739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</row>
    <row r="5083" spans="1:8" x14ac:dyDescent="0.3">
      <c r="A5083" t="s">
        <v>43</v>
      </c>
      <c r="B5083" s="1">
        <v>40746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</row>
    <row r="5084" spans="1:8" x14ac:dyDescent="0.3">
      <c r="A5084" t="s">
        <v>43</v>
      </c>
      <c r="B5084" s="1">
        <v>40753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</row>
    <row r="5085" spans="1:8" x14ac:dyDescent="0.3">
      <c r="A5085" t="s">
        <v>43</v>
      </c>
      <c r="B5085" s="1">
        <v>40760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</row>
    <row r="5086" spans="1:8" x14ac:dyDescent="0.3">
      <c r="A5086" t="s">
        <v>43</v>
      </c>
      <c r="B5086" s="1">
        <v>40767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</row>
    <row r="5087" spans="1:8" x14ac:dyDescent="0.3">
      <c r="A5087" t="s">
        <v>43</v>
      </c>
      <c r="B5087" s="1">
        <v>40774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</row>
    <row r="5088" spans="1:8" x14ac:dyDescent="0.3">
      <c r="A5088" t="s">
        <v>43</v>
      </c>
      <c r="B5088" s="1">
        <v>40781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</row>
    <row r="5089" spans="1:8" x14ac:dyDescent="0.3">
      <c r="A5089" t="s">
        <v>43</v>
      </c>
      <c r="B5089" s="1">
        <v>40788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</row>
    <row r="5090" spans="1:8" x14ac:dyDescent="0.3">
      <c r="A5090" t="s">
        <v>43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</row>
    <row r="5091" spans="1:8" x14ac:dyDescent="0.3">
      <c r="A5091" t="s">
        <v>43</v>
      </c>
      <c r="B5091" s="1">
        <v>40802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</row>
    <row r="5092" spans="1:8" x14ac:dyDescent="0.3">
      <c r="A5092" t="s">
        <v>43</v>
      </c>
      <c r="B5092" s="1">
        <v>40809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</row>
    <row r="5093" spans="1:8" x14ac:dyDescent="0.3">
      <c r="A5093" t="s">
        <v>43</v>
      </c>
      <c r="B5093" s="1">
        <v>40816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</row>
    <row r="5094" spans="1:8" x14ac:dyDescent="0.3">
      <c r="A5094" t="s">
        <v>43</v>
      </c>
      <c r="B5094" s="1">
        <v>40823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</row>
    <row r="5095" spans="1:8" x14ac:dyDescent="0.3">
      <c r="A5095" t="s">
        <v>43</v>
      </c>
      <c r="B5095" s="1">
        <v>40830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</row>
    <row r="5096" spans="1:8" x14ac:dyDescent="0.3">
      <c r="A5096" t="s">
        <v>43</v>
      </c>
      <c r="B5096" s="1">
        <v>40837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</row>
    <row r="5097" spans="1:8" x14ac:dyDescent="0.3">
      <c r="A5097" t="s">
        <v>43</v>
      </c>
      <c r="B5097" s="1">
        <v>40844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</row>
    <row r="5098" spans="1:8" x14ac:dyDescent="0.3">
      <c r="A5098" t="s">
        <v>43</v>
      </c>
      <c r="B5098" s="1">
        <v>40851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</row>
    <row r="5099" spans="1:8" x14ac:dyDescent="0.3">
      <c r="A5099" t="s">
        <v>43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</row>
    <row r="5100" spans="1:8" x14ac:dyDescent="0.3">
      <c r="A5100" t="s">
        <v>43</v>
      </c>
      <c r="B5100" s="1">
        <v>40865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</row>
    <row r="5101" spans="1:8" x14ac:dyDescent="0.3">
      <c r="A5101" t="s">
        <v>43</v>
      </c>
      <c r="B5101" s="1">
        <v>40872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</row>
    <row r="5102" spans="1:8" x14ac:dyDescent="0.3">
      <c r="A5102" t="s">
        <v>43</v>
      </c>
      <c r="B5102" s="1">
        <v>40879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</row>
    <row r="5103" spans="1:8" x14ac:dyDescent="0.3">
      <c r="A5103" t="s">
        <v>43</v>
      </c>
      <c r="B5103" s="1">
        <v>40886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</row>
    <row r="5104" spans="1:8" x14ac:dyDescent="0.3">
      <c r="A5104" t="s">
        <v>43</v>
      </c>
      <c r="B5104" s="1">
        <v>40893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</row>
    <row r="5105" spans="1:8" x14ac:dyDescent="0.3">
      <c r="A5105" t="s">
        <v>43</v>
      </c>
      <c r="B5105" s="1">
        <v>40900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</row>
    <row r="5106" spans="1:8" x14ac:dyDescent="0.3">
      <c r="A5106" t="s">
        <v>43</v>
      </c>
      <c r="B5106" s="1">
        <v>40907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</row>
    <row r="5107" spans="1:8" x14ac:dyDescent="0.3">
      <c r="A5107" t="s">
        <v>43</v>
      </c>
      <c r="B5107" s="1">
        <v>40914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</row>
    <row r="5108" spans="1:8" x14ac:dyDescent="0.3">
      <c r="A5108" t="s">
        <v>43</v>
      </c>
      <c r="B5108" s="1">
        <v>40921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</row>
    <row r="5109" spans="1:8" x14ac:dyDescent="0.3">
      <c r="A5109" t="s">
        <v>43</v>
      </c>
      <c r="B5109" s="1">
        <v>40928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</row>
    <row r="5110" spans="1:8" x14ac:dyDescent="0.3">
      <c r="A5110" t="s">
        <v>43</v>
      </c>
      <c r="B5110" s="1">
        <v>40935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</row>
    <row r="5111" spans="1:8" x14ac:dyDescent="0.3">
      <c r="A5111" t="s">
        <v>43</v>
      </c>
      <c r="B5111" s="1">
        <v>40942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</row>
    <row r="5112" spans="1:8" x14ac:dyDescent="0.3">
      <c r="A5112" t="s">
        <v>43</v>
      </c>
      <c r="B5112" s="1">
        <v>40949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</row>
    <row r="5113" spans="1:8" x14ac:dyDescent="0.3">
      <c r="A5113" t="s">
        <v>43</v>
      </c>
      <c r="B5113" s="1">
        <v>40956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</row>
    <row r="5114" spans="1:8" x14ac:dyDescent="0.3">
      <c r="A5114" t="s">
        <v>43</v>
      </c>
      <c r="B5114" s="1">
        <v>40963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</row>
    <row r="5115" spans="1:8" x14ac:dyDescent="0.3">
      <c r="A5115" t="s">
        <v>43</v>
      </c>
      <c r="B5115" s="1">
        <v>40970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</row>
    <row r="5116" spans="1:8" x14ac:dyDescent="0.3">
      <c r="A5116" t="s">
        <v>43</v>
      </c>
      <c r="B5116" s="1">
        <v>40977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</row>
    <row r="5117" spans="1:8" x14ac:dyDescent="0.3">
      <c r="A5117" t="s">
        <v>43</v>
      </c>
      <c r="B5117" s="1">
        <v>40984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</row>
    <row r="5118" spans="1:8" x14ac:dyDescent="0.3">
      <c r="A5118" t="s">
        <v>43</v>
      </c>
      <c r="B5118" s="1">
        <v>40991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</row>
    <row r="5119" spans="1:8" x14ac:dyDescent="0.3">
      <c r="A5119" t="s">
        <v>43</v>
      </c>
      <c r="B5119" s="1">
        <v>40998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</row>
    <row r="5120" spans="1:8" x14ac:dyDescent="0.3">
      <c r="A5120" t="s">
        <v>43</v>
      </c>
      <c r="B5120" s="1">
        <v>41005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</row>
    <row r="5121" spans="1:8" x14ac:dyDescent="0.3">
      <c r="A5121" t="s">
        <v>43</v>
      </c>
      <c r="B5121" s="1">
        <v>41012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</row>
    <row r="5122" spans="1:8" x14ac:dyDescent="0.3">
      <c r="A5122" t="s">
        <v>43</v>
      </c>
      <c r="B5122" s="1">
        <v>41019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</row>
    <row r="5123" spans="1:8" x14ac:dyDescent="0.3">
      <c r="A5123" t="s">
        <v>43</v>
      </c>
      <c r="B5123" s="1">
        <v>41026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</row>
    <row r="5124" spans="1:8" x14ac:dyDescent="0.3">
      <c r="A5124" t="s">
        <v>43</v>
      </c>
      <c r="B5124" s="1">
        <v>41033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</row>
    <row r="5125" spans="1:8" x14ac:dyDescent="0.3">
      <c r="A5125" t="s">
        <v>43</v>
      </c>
      <c r="B5125" s="1">
        <v>41040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</row>
    <row r="5126" spans="1:8" x14ac:dyDescent="0.3">
      <c r="A5126" t="s">
        <v>43</v>
      </c>
      <c r="B5126" s="1">
        <v>41047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</row>
    <row r="5127" spans="1:8" x14ac:dyDescent="0.3">
      <c r="A5127" t="s">
        <v>43</v>
      </c>
      <c r="B5127" s="1">
        <v>41054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</row>
    <row r="5128" spans="1:8" x14ac:dyDescent="0.3">
      <c r="A5128" t="s">
        <v>43</v>
      </c>
      <c r="B5128" s="1">
        <v>41061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</row>
    <row r="5129" spans="1:8" x14ac:dyDescent="0.3">
      <c r="A5129" t="s">
        <v>43</v>
      </c>
      <c r="B5129" s="1">
        <v>41068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</row>
    <row r="5130" spans="1:8" x14ac:dyDescent="0.3">
      <c r="A5130" t="s">
        <v>43</v>
      </c>
      <c r="B5130" s="1">
        <v>41075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</row>
    <row r="5131" spans="1:8" x14ac:dyDescent="0.3">
      <c r="A5131" t="s">
        <v>43</v>
      </c>
      <c r="B5131" s="1">
        <v>41082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</row>
    <row r="5132" spans="1:8" x14ac:dyDescent="0.3">
      <c r="A5132" t="s">
        <v>43</v>
      </c>
      <c r="B5132" s="1">
        <v>41089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</row>
    <row r="5133" spans="1:8" x14ac:dyDescent="0.3">
      <c r="A5133" t="s">
        <v>43</v>
      </c>
      <c r="B5133" s="1">
        <v>41096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</row>
    <row r="5134" spans="1:8" x14ac:dyDescent="0.3">
      <c r="A5134" t="s">
        <v>43</v>
      </c>
      <c r="B5134" s="1">
        <v>41103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</row>
    <row r="5135" spans="1:8" x14ac:dyDescent="0.3">
      <c r="A5135" t="s">
        <v>43</v>
      </c>
      <c r="B5135" s="1">
        <v>41110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</row>
    <row r="5136" spans="1:8" x14ac:dyDescent="0.3">
      <c r="A5136" t="s">
        <v>43</v>
      </c>
      <c r="B5136" s="1">
        <v>41117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</row>
    <row r="5137" spans="1:8" x14ac:dyDescent="0.3">
      <c r="A5137" t="s">
        <v>43</v>
      </c>
      <c r="B5137" s="1">
        <v>41124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</row>
    <row r="5138" spans="1:8" x14ac:dyDescent="0.3">
      <c r="A5138" t="s">
        <v>43</v>
      </c>
      <c r="B5138" s="1">
        <v>41131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</row>
    <row r="5139" spans="1:8" x14ac:dyDescent="0.3">
      <c r="A5139" t="s">
        <v>43</v>
      </c>
      <c r="B5139" s="1">
        <v>41138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</row>
    <row r="5140" spans="1:8" x14ac:dyDescent="0.3">
      <c r="A5140" t="s">
        <v>43</v>
      </c>
      <c r="B5140" s="1">
        <v>41145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</row>
    <row r="5141" spans="1:8" x14ac:dyDescent="0.3">
      <c r="A5141" t="s">
        <v>43</v>
      </c>
      <c r="B5141" s="1">
        <v>41152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</row>
    <row r="5142" spans="1:8" x14ac:dyDescent="0.3">
      <c r="A5142" t="s">
        <v>43</v>
      </c>
      <c r="B5142" s="1">
        <v>41159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</row>
    <row r="5143" spans="1:8" x14ac:dyDescent="0.3">
      <c r="A5143" t="s">
        <v>43</v>
      </c>
      <c r="B5143" s="1">
        <v>41166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</row>
    <row r="5144" spans="1:8" x14ac:dyDescent="0.3">
      <c r="A5144" t="s">
        <v>43</v>
      </c>
      <c r="B5144" s="1">
        <v>41173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</row>
    <row r="5145" spans="1:8" x14ac:dyDescent="0.3">
      <c r="A5145" t="s">
        <v>43</v>
      </c>
      <c r="B5145" s="1">
        <v>41180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</row>
    <row r="5146" spans="1:8" x14ac:dyDescent="0.3">
      <c r="A5146" t="s">
        <v>43</v>
      </c>
      <c r="B5146" s="1">
        <v>41187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</row>
    <row r="5147" spans="1:8" x14ac:dyDescent="0.3">
      <c r="A5147" t="s">
        <v>43</v>
      </c>
      <c r="B5147" s="1">
        <v>41194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</row>
    <row r="5148" spans="1:8" x14ac:dyDescent="0.3">
      <c r="A5148" t="s">
        <v>43</v>
      </c>
      <c r="B5148" s="1">
        <v>41201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</row>
    <row r="5149" spans="1:8" x14ac:dyDescent="0.3">
      <c r="A5149" t="s">
        <v>43</v>
      </c>
      <c r="B5149" s="1">
        <v>41208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</row>
    <row r="5150" spans="1:8" x14ac:dyDescent="0.3">
      <c r="A5150" t="s">
        <v>44</v>
      </c>
      <c r="B5150" s="1">
        <v>40214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</row>
    <row r="5151" spans="1:8" x14ac:dyDescent="0.3">
      <c r="A5151" t="s">
        <v>44</v>
      </c>
      <c r="B5151" s="1">
        <v>40221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</row>
    <row r="5152" spans="1:8" x14ac:dyDescent="0.3">
      <c r="A5152" t="s">
        <v>44</v>
      </c>
      <c r="B5152" s="1">
        <v>40228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</row>
    <row r="5153" spans="1:8" x14ac:dyDescent="0.3">
      <c r="A5153" t="s">
        <v>44</v>
      </c>
      <c r="B5153" s="1">
        <v>40235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</row>
    <row r="5154" spans="1:8" x14ac:dyDescent="0.3">
      <c r="A5154" t="s">
        <v>44</v>
      </c>
      <c r="B5154" s="1">
        <v>40242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</row>
    <row r="5155" spans="1:8" x14ac:dyDescent="0.3">
      <c r="A5155" t="s">
        <v>44</v>
      </c>
      <c r="B5155" s="1">
        <v>40249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</row>
    <row r="5156" spans="1:8" x14ac:dyDescent="0.3">
      <c r="A5156" t="s">
        <v>44</v>
      </c>
      <c r="B5156" s="1">
        <v>40256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</row>
    <row r="5157" spans="1:8" x14ac:dyDescent="0.3">
      <c r="A5157" t="s">
        <v>44</v>
      </c>
      <c r="B5157" s="1">
        <v>40263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</row>
    <row r="5158" spans="1:8" x14ac:dyDescent="0.3">
      <c r="A5158" t="s">
        <v>44</v>
      </c>
      <c r="B5158" s="1">
        <v>40270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</row>
    <row r="5159" spans="1:8" x14ac:dyDescent="0.3">
      <c r="A5159" t="s">
        <v>44</v>
      </c>
      <c r="B5159" s="1">
        <v>40277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</row>
    <row r="5160" spans="1:8" x14ac:dyDescent="0.3">
      <c r="A5160" t="s">
        <v>44</v>
      </c>
      <c r="B5160" s="1">
        <v>40284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</row>
    <row r="5161" spans="1:8" x14ac:dyDescent="0.3">
      <c r="A5161" t="s">
        <v>44</v>
      </c>
      <c r="B5161" s="1">
        <v>40291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</row>
    <row r="5162" spans="1:8" x14ac:dyDescent="0.3">
      <c r="A5162" t="s">
        <v>44</v>
      </c>
      <c r="B5162" s="1">
        <v>40298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</row>
    <row r="5163" spans="1:8" x14ac:dyDescent="0.3">
      <c r="A5163" t="s">
        <v>44</v>
      </c>
      <c r="B5163" s="1">
        <v>40305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</row>
    <row r="5164" spans="1:8" x14ac:dyDescent="0.3">
      <c r="A5164" t="s">
        <v>44</v>
      </c>
      <c r="B5164" s="1">
        <v>40312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</row>
    <row r="5165" spans="1:8" x14ac:dyDescent="0.3">
      <c r="A5165" t="s">
        <v>44</v>
      </c>
      <c r="B5165" s="1">
        <v>40319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</row>
    <row r="5166" spans="1:8" x14ac:dyDescent="0.3">
      <c r="A5166" t="s">
        <v>44</v>
      </c>
      <c r="B5166" s="1">
        <v>40326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</row>
    <row r="5167" spans="1:8" x14ac:dyDescent="0.3">
      <c r="A5167" t="s">
        <v>44</v>
      </c>
      <c r="B5167" s="1">
        <v>40333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</row>
    <row r="5168" spans="1:8" x14ac:dyDescent="0.3">
      <c r="A5168" t="s">
        <v>44</v>
      </c>
      <c r="B5168" s="1">
        <v>40340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</row>
    <row r="5169" spans="1:8" x14ac:dyDescent="0.3">
      <c r="A5169" t="s">
        <v>44</v>
      </c>
      <c r="B5169" s="1">
        <v>40347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</row>
    <row r="5170" spans="1:8" x14ac:dyDescent="0.3">
      <c r="A5170" t="s">
        <v>44</v>
      </c>
      <c r="B5170" s="1">
        <v>40354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</row>
    <row r="5171" spans="1:8" x14ac:dyDescent="0.3">
      <c r="A5171" t="s">
        <v>44</v>
      </c>
      <c r="B5171" s="1">
        <v>40361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</row>
    <row r="5172" spans="1:8" x14ac:dyDescent="0.3">
      <c r="A5172" t="s">
        <v>44</v>
      </c>
      <c r="B5172" s="1">
        <v>40368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</row>
    <row r="5173" spans="1:8" x14ac:dyDescent="0.3">
      <c r="A5173" t="s">
        <v>44</v>
      </c>
      <c r="B5173" s="1">
        <v>40375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</row>
    <row r="5174" spans="1:8" x14ac:dyDescent="0.3">
      <c r="A5174" t="s">
        <v>44</v>
      </c>
      <c r="B5174" s="1">
        <v>40382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</row>
    <row r="5175" spans="1:8" x14ac:dyDescent="0.3">
      <c r="A5175" t="s">
        <v>44</v>
      </c>
      <c r="B5175" s="1">
        <v>40389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</row>
    <row r="5176" spans="1:8" x14ac:dyDescent="0.3">
      <c r="A5176" t="s">
        <v>44</v>
      </c>
      <c r="B5176" s="1">
        <v>40396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</row>
    <row r="5177" spans="1:8" x14ac:dyDescent="0.3">
      <c r="A5177" t="s">
        <v>44</v>
      </c>
      <c r="B5177" s="1">
        <v>40403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</row>
    <row r="5178" spans="1:8" x14ac:dyDescent="0.3">
      <c r="A5178" t="s">
        <v>44</v>
      </c>
      <c r="B5178" s="1">
        <v>40410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</row>
    <row r="5179" spans="1:8" x14ac:dyDescent="0.3">
      <c r="A5179" t="s">
        <v>44</v>
      </c>
      <c r="B5179" s="1">
        <v>40417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</row>
    <row r="5180" spans="1:8" x14ac:dyDescent="0.3">
      <c r="A5180" t="s">
        <v>44</v>
      </c>
      <c r="B5180" s="1">
        <v>40424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</row>
    <row r="5181" spans="1:8" x14ac:dyDescent="0.3">
      <c r="A5181" t="s">
        <v>44</v>
      </c>
      <c r="B5181" s="1">
        <v>40431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</row>
    <row r="5182" spans="1:8" x14ac:dyDescent="0.3">
      <c r="A5182" t="s">
        <v>44</v>
      </c>
      <c r="B5182" s="1">
        <v>40438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</row>
    <row r="5183" spans="1:8" x14ac:dyDescent="0.3">
      <c r="A5183" t="s">
        <v>44</v>
      </c>
      <c r="B5183" s="1">
        <v>40445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</row>
    <row r="5184" spans="1:8" x14ac:dyDescent="0.3">
      <c r="A5184" t="s">
        <v>44</v>
      </c>
      <c r="B5184" s="1">
        <v>40452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</row>
    <row r="5185" spans="1:8" x14ac:dyDescent="0.3">
      <c r="A5185" t="s">
        <v>44</v>
      </c>
      <c r="B5185" s="1">
        <v>40459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</row>
    <row r="5186" spans="1:8" x14ac:dyDescent="0.3">
      <c r="A5186" t="s">
        <v>44</v>
      </c>
      <c r="B5186" s="1">
        <v>40466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</row>
    <row r="5187" spans="1:8" x14ac:dyDescent="0.3">
      <c r="A5187" t="s">
        <v>44</v>
      </c>
      <c r="B5187" s="1">
        <v>40473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</row>
    <row r="5188" spans="1:8" x14ac:dyDescent="0.3">
      <c r="A5188" t="s">
        <v>44</v>
      </c>
      <c r="B5188" s="1">
        <v>40480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</row>
    <row r="5189" spans="1:8" x14ac:dyDescent="0.3">
      <c r="A5189" t="s">
        <v>44</v>
      </c>
      <c r="B5189" s="1">
        <v>40487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</row>
    <row r="5190" spans="1:8" x14ac:dyDescent="0.3">
      <c r="A5190" t="s">
        <v>44</v>
      </c>
      <c r="B5190" s="1">
        <v>40494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</row>
    <row r="5191" spans="1:8" x14ac:dyDescent="0.3">
      <c r="A5191" t="s">
        <v>44</v>
      </c>
      <c r="B5191" s="1">
        <v>40501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</row>
    <row r="5192" spans="1:8" x14ac:dyDescent="0.3">
      <c r="A5192" t="s">
        <v>44</v>
      </c>
      <c r="B5192" s="1">
        <v>40508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</row>
    <row r="5193" spans="1:8" x14ac:dyDescent="0.3">
      <c r="A5193" t="s">
        <v>44</v>
      </c>
      <c r="B5193" s="1">
        <v>40515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</row>
    <row r="5194" spans="1:8" x14ac:dyDescent="0.3">
      <c r="A5194" t="s">
        <v>44</v>
      </c>
      <c r="B5194" s="1">
        <v>40522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</row>
    <row r="5195" spans="1:8" x14ac:dyDescent="0.3">
      <c r="A5195" t="s">
        <v>44</v>
      </c>
      <c r="B5195" s="1">
        <v>40529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</row>
    <row r="5196" spans="1:8" x14ac:dyDescent="0.3">
      <c r="A5196" t="s">
        <v>44</v>
      </c>
      <c r="B5196" s="1">
        <v>40536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</row>
    <row r="5197" spans="1:8" x14ac:dyDescent="0.3">
      <c r="A5197" t="s">
        <v>44</v>
      </c>
      <c r="B5197" s="1">
        <v>40543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</row>
    <row r="5198" spans="1:8" x14ac:dyDescent="0.3">
      <c r="A5198" t="s">
        <v>44</v>
      </c>
      <c r="B5198" s="1">
        <v>40550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</row>
    <row r="5199" spans="1:8" x14ac:dyDescent="0.3">
      <c r="A5199" t="s">
        <v>44</v>
      </c>
      <c r="B5199" s="1">
        <v>40557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</row>
    <row r="5200" spans="1:8" x14ac:dyDescent="0.3">
      <c r="A5200" t="s">
        <v>44</v>
      </c>
      <c r="B5200" s="1">
        <v>40564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</row>
    <row r="5201" spans="1:8" x14ac:dyDescent="0.3">
      <c r="A5201" t="s">
        <v>44</v>
      </c>
      <c r="B5201" s="1">
        <v>40571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</row>
    <row r="5202" spans="1:8" x14ac:dyDescent="0.3">
      <c r="A5202" t="s">
        <v>44</v>
      </c>
      <c r="B5202" s="1">
        <v>40578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</row>
    <row r="5203" spans="1:8" x14ac:dyDescent="0.3">
      <c r="A5203" t="s">
        <v>44</v>
      </c>
      <c r="B5203" s="1">
        <v>40585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</row>
    <row r="5204" spans="1:8" x14ac:dyDescent="0.3">
      <c r="A5204" t="s">
        <v>44</v>
      </c>
      <c r="B5204" s="1">
        <v>40592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</row>
    <row r="5205" spans="1:8" x14ac:dyDescent="0.3">
      <c r="A5205" t="s">
        <v>44</v>
      </c>
      <c r="B5205" s="1">
        <v>40599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</row>
    <row r="5206" spans="1:8" x14ac:dyDescent="0.3">
      <c r="A5206" t="s">
        <v>44</v>
      </c>
      <c r="B5206" s="1">
        <v>40606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</row>
    <row r="5207" spans="1:8" x14ac:dyDescent="0.3">
      <c r="A5207" t="s">
        <v>44</v>
      </c>
      <c r="B5207" s="1">
        <v>40613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</row>
    <row r="5208" spans="1:8" x14ac:dyDescent="0.3">
      <c r="A5208" t="s">
        <v>44</v>
      </c>
      <c r="B5208" s="1">
        <v>40620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</row>
    <row r="5209" spans="1:8" x14ac:dyDescent="0.3">
      <c r="A5209" t="s">
        <v>44</v>
      </c>
      <c r="B5209" s="1">
        <v>40627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</row>
    <row r="5210" spans="1:8" x14ac:dyDescent="0.3">
      <c r="A5210" t="s">
        <v>44</v>
      </c>
      <c r="B5210" s="1">
        <v>40634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</row>
    <row r="5211" spans="1:8" x14ac:dyDescent="0.3">
      <c r="A5211" t="s">
        <v>44</v>
      </c>
      <c r="B5211" s="1">
        <v>40641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</row>
    <row r="5212" spans="1:8" x14ac:dyDescent="0.3">
      <c r="A5212" t="s">
        <v>44</v>
      </c>
      <c r="B5212" s="1">
        <v>40648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</row>
    <row r="5213" spans="1:8" x14ac:dyDescent="0.3">
      <c r="A5213" t="s">
        <v>44</v>
      </c>
      <c r="B5213" s="1">
        <v>40655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</row>
    <row r="5214" spans="1:8" x14ac:dyDescent="0.3">
      <c r="A5214" t="s">
        <v>44</v>
      </c>
      <c r="B5214" s="1">
        <v>40662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</row>
    <row r="5215" spans="1:8" x14ac:dyDescent="0.3">
      <c r="A5215" t="s">
        <v>44</v>
      </c>
      <c r="B5215" s="1">
        <v>40669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</row>
    <row r="5216" spans="1:8" x14ac:dyDescent="0.3">
      <c r="A5216" t="s">
        <v>44</v>
      </c>
      <c r="B5216" s="1">
        <v>40676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</row>
    <row r="5217" spans="1:8" x14ac:dyDescent="0.3">
      <c r="A5217" t="s">
        <v>44</v>
      </c>
      <c r="B5217" s="1">
        <v>40683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</row>
    <row r="5218" spans="1:8" x14ac:dyDescent="0.3">
      <c r="A5218" t="s">
        <v>44</v>
      </c>
      <c r="B5218" s="1">
        <v>40690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</row>
    <row r="5219" spans="1:8" x14ac:dyDescent="0.3">
      <c r="A5219" t="s">
        <v>44</v>
      </c>
      <c r="B5219" s="1">
        <v>40697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</row>
    <row r="5220" spans="1:8" x14ac:dyDescent="0.3">
      <c r="A5220" t="s">
        <v>44</v>
      </c>
      <c r="B5220" s="1">
        <v>40704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</row>
    <row r="5221" spans="1:8" x14ac:dyDescent="0.3">
      <c r="A5221" t="s">
        <v>44</v>
      </c>
      <c r="B5221" s="1">
        <v>40711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</row>
    <row r="5222" spans="1:8" x14ac:dyDescent="0.3">
      <c r="A5222" t="s">
        <v>44</v>
      </c>
      <c r="B5222" s="1">
        <v>40718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</row>
    <row r="5223" spans="1:8" x14ac:dyDescent="0.3">
      <c r="A5223" t="s">
        <v>44</v>
      </c>
      <c r="B5223" s="1">
        <v>40725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</row>
    <row r="5224" spans="1:8" x14ac:dyDescent="0.3">
      <c r="A5224" t="s">
        <v>44</v>
      </c>
      <c r="B5224" s="1">
        <v>40732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</row>
    <row r="5225" spans="1:8" x14ac:dyDescent="0.3">
      <c r="A5225" t="s">
        <v>44</v>
      </c>
      <c r="B5225" s="1">
        <v>40739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</row>
    <row r="5226" spans="1:8" x14ac:dyDescent="0.3">
      <c r="A5226" t="s">
        <v>44</v>
      </c>
      <c r="B5226" s="1">
        <v>40746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</row>
    <row r="5227" spans="1:8" x14ac:dyDescent="0.3">
      <c r="A5227" t="s">
        <v>44</v>
      </c>
      <c r="B5227" s="1">
        <v>40753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</row>
    <row r="5228" spans="1:8" x14ac:dyDescent="0.3">
      <c r="A5228" t="s">
        <v>44</v>
      </c>
      <c r="B5228" s="1">
        <v>40760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</row>
    <row r="5229" spans="1:8" x14ac:dyDescent="0.3">
      <c r="A5229" t="s">
        <v>44</v>
      </c>
      <c r="B5229" s="1">
        <v>40767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</row>
    <row r="5230" spans="1:8" x14ac:dyDescent="0.3">
      <c r="A5230" t="s">
        <v>44</v>
      </c>
      <c r="B5230" s="1">
        <v>40774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</row>
    <row r="5231" spans="1:8" x14ac:dyDescent="0.3">
      <c r="A5231" t="s">
        <v>44</v>
      </c>
      <c r="B5231" s="1">
        <v>40781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</row>
    <row r="5232" spans="1:8" x14ac:dyDescent="0.3">
      <c r="A5232" t="s">
        <v>44</v>
      </c>
      <c r="B5232" s="1">
        <v>40788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</row>
    <row r="5233" spans="1:8" x14ac:dyDescent="0.3">
      <c r="A5233" t="s">
        <v>44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</row>
    <row r="5234" spans="1:8" x14ac:dyDescent="0.3">
      <c r="A5234" t="s">
        <v>44</v>
      </c>
      <c r="B5234" s="1">
        <v>40802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</row>
    <row r="5235" spans="1:8" x14ac:dyDescent="0.3">
      <c r="A5235" t="s">
        <v>44</v>
      </c>
      <c r="B5235" s="1">
        <v>40809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</row>
    <row r="5236" spans="1:8" x14ac:dyDescent="0.3">
      <c r="A5236" t="s">
        <v>44</v>
      </c>
      <c r="B5236" s="1">
        <v>40816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</row>
    <row r="5237" spans="1:8" x14ac:dyDescent="0.3">
      <c r="A5237" t="s">
        <v>44</v>
      </c>
      <c r="B5237" s="1">
        <v>40823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</row>
    <row r="5238" spans="1:8" x14ac:dyDescent="0.3">
      <c r="A5238" t="s">
        <v>44</v>
      </c>
      <c r="B5238" s="1">
        <v>40830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</row>
    <row r="5239" spans="1:8" x14ac:dyDescent="0.3">
      <c r="A5239" t="s">
        <v>44</v>
      </c>
      <c r="B5239" s="1">
        <v>40837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</row>
    <row r="5240" spans="1:8" x14ac:dyDescent="0.3">
      <c r="A5240" t="s">
        <v>44</v>
      </c>
      <c r="B5240" s="1">
        <v>40844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</row>
    <row r="5241" spans="1:8" x14ac:dyDescent="0.3">
      <c r="A5241" t="s">
        <v>44</v>
      </c>
      <c r="B5241" s="1">
        <v>40851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</row>
    <row r="5242" spans="1:8" x14ac:dyDescent="0.3">
      <c r="A5242" t="s">
        <v>44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</row>
    <row r="5243" spans="1:8" x14ac:dyDescent="0.3">
      <c r="A5243" t="s">
        <v>44</v>
      </c>
      <c r="B5243" s="1">
        <v>40865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</row>
    <row r="5244" spans="1:8" x14ac:dyDescent="0.3">
      <c r="A5244" t="s">
        <v>44</v>
      </c>
      <c r="B5244" s="1">
        <v>40872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</row>
    <row r="5245" spans="1:8" x14ac:dyDescent="0.3">
      <c r="A5245" t="s">
        <v>44</v>
      </c>
      <c r="B5245" s="1">
        <v>40879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</row>
    <row r="5246" spans="1:8" x14ac:dyDescent="0.3">
      <c r="A5246" t="s">
        <v>44</v>
      </c>
      <c r="B5246" s="1">
        <v>40886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</row>
    <row r="5247" spans="1:8" x14ac:dyDescent="0.3">
      <c r="A5247" t="s">
        <v>44</v>
      </c>
      <c r="B5247" s="1">
        <v>40893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</row>
    <row r="5248" spans="1:8" x14ac:dyDescent="0.3">
      <c r="A5248" t="s">
        <v>44</v>
      </c>
      <c r="B5248" s="1">
        <v>40900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</row>
    <row r="5249" spans="1:8" x14ac:dyDescent="0.3">
      <c r="A5249" t="s">
        <v>44</v>
      </c>
      <c r="B5249" s="1">
        <v>40907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</row>
    <row r="5250" spans="1:8" x14ac:dyDescent="0.3">
      <c r="A5250" t="s">
        <v>44</v>
      </c>
      <c r="B5250" s="1">
        <v>40914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</row>
    <row r="5251" spans="1:8" x14ac:dyDescent="0.3">
      <c r="A5251" t="s">
        <v>44</v>
      </c>
      <c r="B5251" s="1">
        <v>40921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</row>
    <row r="5252" spans="1:8" x14ac:dyDescent="0.3">
      <c r="A5252" t="s">
        <v>44</v>
      </c>
      <c r="B5252" s="1">
        <v>40928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</row>
    <row r="5253" spans="1:8" x14ac:dyDescent="0.3">
      <c r="A5253" t="s">
        <v>44</v>
      </c>
      <c r="B5253" s="1">
        <v>40935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</row>
    <row r="5254" spans="1:8" x14ac:dyDescent="0.3">
      <c r="A5254" t="s">
        <v>44</v>
      </c>
      <c r="B5254" s="1">
        <v>40942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</row>
    <row r="5255" spans="1:8" x14ac:dyDescent="0.3">
      <c r="A5255" t="s">
        <v>44</v>
      </c>
      <c r="B5255" s="1">
        <v>40949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</row>
    <row r="5256" spans="1:8" x14ac:dyDescent="0.3">
      <c r="A5256" t="s">
        <v>44</v>
      </c>
      <c r="B5256" s="1">
        <v>40956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</row>
    <row r="5257" spans="1:8" x14ac:dyDescent="0.3">
      <c r="A5257" t="s">
        <v>44</v>
      </c>
      <c r="B5257" s="1">
        <v>40963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</row>
    <row r="5258" spans="1:8" x14ac:dyDescent="0.3">
      <c r="A5258" t="s">
        <v>44</v>
      </c>
      <c r="B5258" s="1">
        <v>40970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</row>
    <row r="5259" spans="1:8" x14ac:dyDescent="0.3">
      <c r="A5259" t="s">
        <v>44</v>
      </c>
      <c r="B5259" s="1">
        <v>40977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</row>
    <row r="5260" spans="1:8" x14ac:dyDescent="0.3">
      <c r="A5260" t="s">
        <v>44</v>
      </c>
      <c r="B5260" s="1">
        <v>40984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</row>
    <row r="5261" spans="1:8" x14ac:dyDescent="0.3">
      <c r="A5261" t="s">
        <v>44</v>
      </c>
      <c r="B5261" s="1">
        <v>40991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</row>
    <row r="5262" spans="1:8" x14ac:dyDescent="0.3">
      <c r="A5262" t="s">
        <v>44</v>
      </c>
      <c r="B5262" s="1">
        <v>40998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</row>
    <row r="5263" spans="1:8" x14ac:dyDescent="0.3">
      <c r="A5263" t="s">
        <v>44</v>
      </c>
      <c r="B5263" s="1">
        <v>41005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</row>
    <row r="5264" spans="1:8" x14ac:dyDescent="0.3">
      <c r="A5264" t="s">
        <v>44</v>
      </c>
      <c r="B5264" s="1">
        <v>41012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</row>
    <row r="5265" spans="1:8" x14ac:dyDescent="0.3">
      <c r="A5265" t="s">
        <v>44</v>
      </c>
      <c r="B5265" s="1">
        <v>41019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</row>
    <row r="5266" spans="1:8" x14ac:dyDescent="0.3">
      <c r="A5266" t="s">
        <v>44</v>
      </c>
      <c r="B5266" s="1">
        <v>41026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</row>
    <row r="5267" spans="1:8" x14ac:dyDescent="0.3">
      <c r="A5267" t="s">
        <v>44</v>
      </c>
      <c r="B5267" s="1">
        <v>41033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</row>
    <row r="5268" spans="1:8" x14ac:dyDescent="0.3">
      <c r="A5268" t="s">
        <v>44</v>
      </c>
      <c r="B5268" s="1">
        <v>41040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</row>
    <row r="5269" spans="1:8" x14ac:dyDescent="0.3">
      <c r="A5269" t="s">
        <v>44</v>
      </c>
      <c r="B5269" s="1">
        <v>41047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</row>
    <row r="5270" spans="1:8" x14ac:dyDescent="0.3">
      <c r="A5270" t="s">
        <v>44</v>
      </c>
      <c r="B5270" s="1">
        <v>41054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</row>
    <row r="5271" spans="1:8" x14ac:dyDescent="0.3">
      <c r="A5271" t="s">
        <v>44</v>
      </c>
      <c r="B5271" s="1">
        <v>41061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</row>
    <row r="5272" spans="1:8" x14ac:dyDescent="0.3">
      <c r="A5272" t="s">
        <v>44</v>
      </c>
      <c r="B5272" s="1">
        <v>41068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</row>
    <row r="5273" spans="1:8" x14ac:dyDescent="0.3">
      <c r="A5273" t="s">
        <v>44</v>
      </c>
      <c r="B5273" s="1">
        <v>41075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</row>
    <row r="5274" spans="1:8" x14ac:dyDescent="0.3">
      <c r="A5274" t="s">
        <v>44</v>
      </c>
      <c r="B5274" s="1">
        <v>41082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</row>
    <row r="5275" spans="1:8" x14ac:dyDescent="0.3">
      <c r="A5275" t="s">
        <v>44</v>
      </c>
      <c r="B5275" s="1">
        <v>41089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</row>
    <row r="5276" spans="1:8" x14ac:dyDescent="0.3">
      <c r="A5276" t="s">
        <v>44</v>
      </c>
      <c r="B5276" s="1">
        <v>41096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</row>
    <row r="5277" spans="1:8" x14ac:dyDescent="0.3">
      <c r="A5277" t="s">
        <v>44</v>
      </c>
      <c r="B5277" s="1">
        <v>41103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</row>
    <row r="5278" spans="1:8" x14ac:dyDescent="0.3">
      <c r="A5278" t="s">
        <v>44</v>
      </c>
      <c r="B5278" s="1">
        <v>41110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</row>
    <row r="5279" spans="1:8" x14ac:dyDescent="0.3">
      <c r="A5279" t="s">
        <v>44</v>
      </c>
      <c r="B5279" s="1">
        <v>41117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</row>
    <row r="5280" spans="1:8" x14ac:dyDescent="0.3">
      <c r="A5280" t="s">
        <v>44</v>
      </c>
      <c r="B5280" s="1">
        <v>41124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</row>
    <row r="5281" spans="1:8" x14ac:dyDescent="0.3">
      <c r="A5281" t="s">
        <v>44</v>
      </c>
      <c r="B5281" s="1">
        <v>41131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</row>
    <row r="5282" spans="1:8" x14ac:dyDescent="0.3">
      <c r="A5282" t="s">
        <v>44</v>
      </c>
      <c r="B5282" s="1">
        <v>41138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</row>
    <row r="5283" spans="1:8" x14ac:dyDescent="0.3">
      <c r="A5283" t="s">
        <v>44</v>
      </c>
      <c r="B5283" s="1">
        <v>41145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</row>
    <row r="5284" spans="1:8" x14ac:dyDescent="0.3">
      <c r="A5284" t="s">
        <v>44</v>
      </c>
      <c r="B5284" s="1">
        <v>41152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</row>
    <row r="5285" spans="1:8" x14ac:dyDescent="0.3">
      <c r="A5285" t="s">
        <v>44</v>
      </c>
      <c r="B5285" s="1">
        <v>41159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</row>
    <row r="5286" spans="1:8" x14ac:dyDescent="0.3">
      <c r="A5286" t="s">
        <v>44</v>
      </c>
      <c r="B5286" s="1">
        <v>41166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</row>
    <row r="5287" spans="1:8" x14ac:dyDescent="0.3">
      <c r="A5287" t="s">
        <v>44</v>
      </c>
      <c r="B5287" s="1">
        <v>41173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</row>
    <row r="5288" spans="1:8" x14ac:dyDescent="0.3">
      <c r="A5288" t="s">
        <v>44</v>
      </c>
      <c r="B5288" s="1">
        <v>41180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</row>
    <row r="5289" spans="1:8" x14ac:dyDescent="0.3">
      <c r="A5289" t="s">
        <v>44</v>
      </c>
      <c r="B5289" s="1">
        <v>41187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</row>
    <row r="5290" spans="1:8" x14ac:dyDescent="0.3">
      <c r="A5290" t="s">
        <v>44</v>
      </c>
      <c r="B5290" s="1">
        <v>41194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</row>
    <row r="5291" spans="1:8" x14ac:dyDescent="0.3">
      <c r="A5291" t="s">
        <v>44</v>
      </c>
      <c r="B5291" s="1">
        <v>41201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</row>
    <row r="5292" spans="1:8" x14ac:dyDescent="0.3">
      <c r="A5292" t="s">
        <v>44</v>
      </c>
      <c r="B5292" s="1">
        <v>41208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</row>
    <row r="5293" spans="1:8" x14ac:dyDescent="0.3">
      <c r="A5293" t="s">
        <v>45</v>
      </c>
      <c r="B5293" s="1">
        <v>40214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</row>
    <row r="5294" spans="1:8" x14ac:dyDescent="0.3">
      <c r="A5294" t="s">
        <v>45</v>
      </c>
      <c r="B5294" s="1">
        <v>40221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</row>
    <row r="5295" spans="1:8" x14ac:dyDescent="0.3">
      <c r="A5295" t="s">
        <v>45</v>
      </c>
      <c r="B5295" s="1">
        <v>40228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 x14ac:dyDescent="0.3">
      <c r="A5296" t="s">
        <v>45</v>
      </c>
      <c r="B5296" s="1">
        <v>40235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</row>
    <row r="5297" spans="1:8" x14ac:dyDescent="0.3">
      <c r="A5297" t="s">
        <v>45</v>
      </c>
      <c r="B5297" s="1">
        <v>40242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</row>
    <row r="5298" spans="1:8" x14ac:dyDescent="0.3">
      <c r="A5298" t="s">
        <v>45</v>
      </c>
      <c r="B5298" s="1">
        <v>40249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</row>
    <row r="5299" spans="1:8" x14ac:dyDescent="0.3">
      <c r="A5299" t="s">
        <v>45</v>
      </c>
      <c r="B5299" s="1">
        <v>40256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</row>
    <row r="5300" spans="1:8" x14ac:dyDescent="0.3">
      <c r="A5300" t="s">
        <v>45</v>
      </c>
      <c r="B5300" s="1">
        <v>40263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</row>
    <row r="5301" spans="1:8" x14ac:dyDescent="0.3">
      <c r="A5301" t="s">
        <v>45</v>
      </c>
      <c r="B5301" s="1">
        <v>40270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</row>
    <row r="5302" spans="1:8" x14ac:dyDescent="0.3">
      <c r="A5302" t="s">
        <v>45</v>
      </c>
      <c r="B5302" s="1">
        <v>40277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 x14ac:dyDescent="0.3">
      <c r="A5303" t="s">
        <v>45</v>
      </c>
      <c r="B5303" s="1">
        <v>40284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 x14ac:dyDescent="0.3">
      <c r="A5304" t="s">
        <v>45</v>
      </c>
      <c r="B5304" s="1">
        <v>40291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 x14ac:dyDescent="0.3">
      <c r="A5305" t="s">
        <v>45</v>
      </c>
      <c r="B5305" s="1">
        <v>40298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 x14ac:dyDescent="0.3">
      <c r="A5306" t="s">
        <v>45</v>
      </c>
      <c r="B5306" s="1">
        <v>40305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</row>
    <row r="5307" spans="1:8" x14ac:dyDescent="0.3">
      <c r="A5307" t="s">
        <v>45</v>
      </c>
      <c r="B5307" s="1">
        <v>40312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 x14ac:dyDescent="0.3">
      <c r="A5308" t="s">
        <v>45</v>
      </c>
      <c r="B5308" s="1">
        <v>40319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 x14ac:dyDescent="0.3">
      <c r="A5309" t="s">
        <v>45</v>
      </c>
      <c r="B5309" s="1">
        <v>40326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</row>
    <row r="5310" spans="1:8" x14ac:dyDescent="0.3">
      <c r="A5310" t="s">
        <v>45</v>
      </c>
      <c r="B5310" s="1">
        <v>40333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</row>
    <row r="5311" spans="1:8" x14ac:dyDescent="0.3">
      <c r="A5311" t="s">
        <v>45</v>
      </c>
      <c r="B5311" s="1">
        <v>40340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</row>
    <row r="5312" spans="1:8" x14ac:dyDescent="0.3">
      <c r="A5312" t="s">
        <v>45</v>
      </c>
      <c r="B5312" s="1">
        <v>40347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</row>
    <row r="5313" spans="1:8" x14ac:dyDescent="0.3">
      <c r="A5313" t="s">
        <v>45</v>
      </c>
      <c r="B5313" s="1">
        <v>40354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</row>
    <row r="5314" spans="1:8" x14ac:dyDescent="0.3">
      <c r="A5314" t="s">
        <v>45</v>
      </c>
      <c r="B5314" s="1">
        <v>40361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 x14ac:dyDescent="0.3">
      <c r="A5315" t="s">
        <v>45</v>
      </c>
      <c r="B5315" s="1">
        <v>40368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</row>
    <row r="5316" spans="1:8" x14ac:dyDescent="0.3">
      <c r="A5316" t="s">
        <v>45</v>
      </c>
      <c r="B5316" s="1">
        <v>40375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</row>
    <row r="5317" spans="1:8" x14ac:dyDescent="0.3">
      <c r="A5317" t="s">
        <v>45</v>
      </c>
      <c r="B5317" s="1">
        <v>40382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</row>
    <row r="5318" spans="1:8" x14ac:dyDescent="0.3">
      <c r="A5318" t="s">
        <v>45</v>
      </c>
      <c r="B5318" s="1">
        <v>40389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</row>
    <row r="5319" spans="1:8" x14ac:dyDescent="0.3">
      <c r="A5319" t="s">
        <v>45</v>
      </c>
      <c r="B5319" s="1">
        <v>40396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</row>
    <row r="5320" spans="1:8" x14ac:dyDescent="0.3">
      <c r="A5320" t="s">
        <v>45</v>
      </c>
      <c r="B5320" s="1">
        <v>40403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</row>
    <row r="5321" spans="1:8" x14ac:dyDescent="0.3">
      <c r="A5321" t="s">
        <v>45</v>
      </c>
      <c r="B5321" s="1">
        <v>40410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</row>
    <row r="5322" spans="1:8" x14ac:dyDescent="0.3">
      <c r="A5322" t="s">
        <v>45</v>
      </c>
      <c r="B5322" s="1">
        <v>40417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 x14ac:dyDescent="0.3">
      <c r="A5323" t="s">
        <v>45</v>
      </c>
      <c r="B5323" s="1">
        <v>40424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</row>
    <row r="5324" spans="1:8" x14ac:dyDescent="0.3">
      <c r="A5324" t="s">
        <v>45</v>
      </c>
      <c r="B5324" s="1">
        <v>40431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 x14ac:dyDescent="0.3">
      <c r="A5325" t="s">
        <v>45</v>
      </c>
      <c r="B5325" s="1">
        <v>40438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 x14ac:dyDescent="0.3">
      <c r="A5326" t="s">
        <v>45</v>
      </c>
      <c r="B5326" s="1">
        <v>40445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</row>
    <row r="5327" spans="1:8" x14ac:dyDescent="0.3">
      <c r="A5327" t="s">
        <v>45</v>
      </c>
      <c r="B5327" s="1">
        <v>40452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</row>
    <row r="5328" spans="1:8" x14ac:dyDescent="0.3">
      <c r="A5328" t="s">
        <v>45</v>
      </c>
      <c r="B5328" s="1">
        <v>40459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</row>
    <row r="5329" spans="1:8" x14ac:dyDescent="0.3">
      <c r="A5329" t="s">
        <v>45</v>
      </c>
      <c r="B5329" s="1">
        <v>40466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</row>
    <row r="5330" spans="1:8" x14ac:dyDescent="0.3">
      <c r="A5330" t="s">
        <v>45</v>
      </c>
      <c r="B5330" s="1">
        <v>40473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</row>
    <row r="5331" spans="1:8" x14ac:dyDescent="0.3">
      <c r="A5331" t="s">
        <v>45</v>
      </c>
      <c r="B5331" s="1">
        <v>40480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</row>
    <row r="5332" spans="1:8" x14ac:dyDescent="0.3">
      <c r="A5332" t="s">
        <v>45</v>
      </c>
      <c r="B5332" s="1">
        <v>40487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</row>
    <row r="5333" spans="1:8" x14ac:dyDescent="0.3">
      <c r="A5333" t="s">
        <v>45</v>
      </c>
      <c r="B5333" s="1">
        <v>40494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</row>
    <row r="5334" spans="1:8" x14ac:dyDescent="0.3">
      <c r="A5334" t="s">
        <v>45</v>
      </c>
      <c r="B5334" s="1">
        <v>40501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</row>
    <row r="5335" spans="1:8" x14ac:dyDescent="0.3">
      <c r="A5335" t="s">
        <v>45</v>
      </c>
      <c r="B5335" s="1">
        <v>40508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</row>
    <row r="5336" spans="1:8" x14ac:dyDescent="0.3">
      <c r="A5336" t="s">
        <v>45</v>
      </c>
      <c r="B5336" s="1">
        <v>40515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</row>
    <row r="5337" spans="1:8" x14ac:dyDescent="0.3">
      <c r="A5337" t="s">
        <v>45</v>
      </c>
      <c r="B5337" s="1">
        <v>40522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</row>
    <row r="5338" spans="1:8" x14ac:dyDescent="0.3">
      <c r="A5338" t="s">
        <v>45</v>
      </c>
      <c r="B5338" s="1">
        <v>40529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</row>
    <row r="5339" spans="1:8" x14ac:dyDescent="0.3">
      <c r="A5339" t="s">
        <v>45</v>
      </c>
      <c r="B5339" s="1">
        <v>40536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</row>
    <row r="5340" spans="1:8" x14ac:dyDescent="0.3">
      <c r="A5340" t="s">
        <v>45</v>
      </c>
      <c r="B5340" s="1">
        <v>40543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</row>
    <row r="5341" spans="1:8" x14ac:dyDescent="0.3">
      <c r="A5341" t="s">
        <v>45</v>
      </c>
      <c r="B5341" s="1">
        <v>40550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</row>
    <row r="5342" spans="1:8" x14ac:dyDescent="0.3">
      <c r="A5342" t="s">
        <v>45</v>
      </c>
      <c r="B5342" s="1">
        <v>40557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</row>
    <row r="5343" spans="1:8" x14ac:dyDescent="0.3">
      <c r="A5343" t="s">
        <v>45</v>
      </c>
      <c r="B5343" s="1">
        <v>40564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</row>
    <row r="5344" spans="1:8" x14ac:dyDescent="0.3">
      <c r="A5344" t="s">
        <v>45</v>
      </c>
      <c r="B5344" s="1">
        <v>40571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</row>
    <row r="5345" spans="1:8" x14ac:dyDescent="0.3">
      <c r="A5345" t="s">
        <v>45</v>
      </c>
      <c r="B5345" s="1">
        <v>40578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</row>
    <row r="5346" spans="1:8" x14ac:dyDescent="0.3">
      <c r="A5346" t="s">
        <v>45</v>
      </c>
      <c r="B5346" s="1">
        <v>40585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</row>
    <row r="5347" spans="1:8" x14ac:dyDescent="0.3">
      <c r="A5347" t="s">
        <v>45</v>
      </c>
      <c r="B5347" s="1">
        <v>40592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</row>
    <row r="5348" spans="1:8" x14ac:dyDescent="0.3">
      <c r="A5348" t="s">
        <v>45</v>
      </c>
      <c r="B5348" s="1">
        <v>40599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</row>
    <row r="5349" spans="1:8" x14ac:dyDescent="0.3">
      <c r="A5349" t="s">
        <v>45</v>
      </c>
      <c r="B5349" s="1">
        <v>40606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</row>
    <row r="5350" spans="1:8" x14ac:dyDescent="0.3">
      <c r="A5350" t="s">
        <v>45</v>
      </c>
      <c r="B5350" s="1">
        <v>40613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</row>
    <row r="5351" spans="1:8" x14ac:dyDescent="0.3">
      <c r="A5351" t="s">
        <v>45</v>
      </c>
      <c r="B5351" s="1">
        <v>40620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</row>
    <row r="5352" spans="1:8" x14ac:dyDescent="0.3">
      <c r="A5352" t="s">
        <v>45</v>
      </c>
      <c r="B5352" s="1">
        <v>40627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</row>
    <row r="5353" spans="1:8" x14ac:dyDescent="0.3">
      <c r="A5353" t="s">
        <v>45</v>
      </c>
      <c r="B5353" s="1">
        <v>40634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</row>
    <row r="5354" spans="1:8" x14ac:dyDescent="0.3">
      <c r="A5354" t="s">
        <v>45</v>
      </c>
      <c r="B5354" s="1">
        <v>40641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</row>
    <row r="5355" spans="1:8" x14ac:dyDescent="0.3">
      <c r="A5355" t="s">
        <v>45</v>
      </c>
      <c r="B5355" s="1">
        <v>40648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</row>
    <row r="5356" spans="1:8" x14ac:dyDescent="0.3">
      <c r="A5356" t="s">
        <v>45</v>
      </c>
      <c r="B5356" s="1">
        <v>40655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</row>
    <row r="5357" spans="1:8" x14ac:dyDescent="0.3">
      <c r="A5357" t="s">
        <v>45</v>
      </c>
      <c r="B5357" s="1">
        <v>40662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</row>
    <row r="5358" spans="1:8" x14ac:dyDescent="0.3">
      <c r="A5358" t="s">
        <v>45</v>
      </c>
      <c r="B5358" s="1">
        <v>40669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</row>
    <row r="5359" spans="1:8" x14ac:dyDescent="0.3">
      <c r="A5359" t="s">
        <v>45</v>
      </c>
      <c r="B5359" s="1">
        <v>40676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</row>
    <row r="5360" spans="1:8" x14ac:dyDescent="0.3">
      <c r="A5360" t="s">
        <v>45</v>
      </c>
      <c r="B5360" s="1">
        <v>40683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</row>
    <row r="5361" spans="1:8" x14ac:dyDescent="0.3">
      <c r="A5361" t="s">
        <v>45</v>
      </c>
      <c r="B5361" s="1">
        <v>40690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</row>
    <row r="5362" spans="1:8" x14ac:dyDescent="0.3">
      <c r="A5362" t="s">
        <v>45</v>
      </c>
      <c r="B5362" s="1">
        <v>40697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</row>
    <row r="5363" spans="1:8" x14ac:dyDescent="0.3">
      <c r="A5363" t="s">
        <v>45</v>
      </c>
      <c r="B5363" s="1">
        <v>40704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</row>
    <row r="5364" spans="1:8" x14ac:dyDescent="0.3">
      <c r="A5364" t="s">
        <v>45</v>
      </c>
      <c r="B5364" s="1">
        <v>40711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</row>
    <row r="5365" spans="1:8" x14ac:dyDescent="0.3">
      <c r="A5365" t="s">
        <v>45</v>
      </c>
      <c r="B5365" s="1">
        <v>40718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</row>
    <row r="5366" spans="1:8" x14ac:dyDescent="0.3">
      <c r="A5366" t="s">
        <v>45</v>
      </c>
      <c r="B5366" s="1">
        <v>40725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</row>
    <row r="5367" spans="1:8" x14ac:dyDescent="0.3">
      <c r="A5367" t="s">
        <v>45</v>
      </c>
      <c r="B5367" s="1">
        <v>40732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</row>
    <row r="5368" spans="1:8" x14ac:dyDescent="0.3">
      <c r="A5368" t="s">
        <v>45</v>
      </c>
      <c r="B5368" s="1">
        <v>40739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</row>
    <row r="5369" spans="1:8" x14ac:dyDescent="0.3">
      <c r="A5369" t="s">
        <v>45</v>
      </c>
      <c r="B5369" s="1">
        <v>40746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 x14ac:dyDescent="0.3">
      <c r="A5370" t="s">
        <v>45</v>
      </c>
      <c r="B5370" s="1">
        <v>40753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</row>
    <row r="5371" spans="1:8" x14ac:dyDescent="0.3">
      <c r="A5371" t="s">
        <v>45</v>
      </c>
      <c r="B5371" s="1">
        <v>40760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</row>
    <row r="5372" spans="1:8" x14ac:dyDescent="0.3">
      <c r="A5372" t="s">
        <v>45</v>
      </c>
      <c r="B5372" s="1">
        <v>40767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</row>
    <row r="5373" spans="1:8" x14ac:dyDescent="0.3">
      <c r="A5373" t="s">
        <v>45</v>
      </c>
      <c r="B5373" s="1">
        <v>40774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</row>
    <row r="5374" spans="1:8" x14ac:dyDescent="0.3">
      <c r="A5374" t="s">
        <v>45</v>
      </c>
      <c r="B5374" s="1">
        <v>40781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</row>
    <row r="5375" spans="1:8" x14ac:dyDescent="0.3">
      <c r="A5375" t="s">
        <v>45</v>
      </c>
      <c r="B5375" s="1">
        <v>40788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</row>
    <row r="5376" spans="1:8" x14ac:dyDescent="0.3">
      <c r="A5376" t="s">
        <v>45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</row>
    <row r="5377" spans="1:8" x14ac:dyDescent="0.3">
      <c r="A5377" t="s">
        <v>45</v>
      </c>
      <c r="B5377" s="1">
        <v>40802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</row>
    <row r="5378" spans="1:8" x14ac:dyDescent="0.3">
      <c r="A5378" t="s">
        <v>45</v>
      </c>
      <c r="B5378" s="1">
        <v>40809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</row>
    <row r="5379" spans="1:8" x14ac:dyDescent="0.3">
      <c r="A5379" t="s">
        <v>45</v>
      </c>
      <c r="B5379" s="1">
        <v>40816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</row>
    <row r="5380" spans="1:8" x14ac:dyDescent="0.3">
      <c r="A5380" t="s">
        <v>45</v>
      </c>
      <c r="B5380" s="1">
        <v>40823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</row>
    <row r="5381" spans="1:8" x14ac:dyDescent="0.3">
      <c r="A5381" t="s">
        <v>45</v>
      </c>
      <c r="B5381" s="1">
        <v>40830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</row>
    <row r="5382" spans="1:8" x14ac:dyDescent="0.3">
      <c r="A5382" t="s">
        <v>45</v>
      </c>
      <c r="B5382" s="1">
        <v>40837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</row>
    <row r="5383" spans="1:8" x14ac:dyDescent="0.3">
      <c r="A5383" t="s">
        <v>45</v>
      </c>
      <c r="B5383" s="1">
        <v>40844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</row>
    <row r="5384" spans="1:8" x14ac:dyDescent="0.3">
      <c r="A5384" t="s">
        <v>45</v>
      </c>
      <c r="B5384" s="1">
        <v>40851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</row>
    <row r="5385" spans="1:8" x14ac:dyDescent="0.3">
      <c r="A5385" t="s">
        <v>45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</row>
    <row r="5386" spans="1:8" x14ac:dyDescent="0.3">
      <c r="A5386" t="s">
        <v>45</v>
      </c>
      <c r="B5386" s="1">
        <v>40865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</row>
    <row r="5387" spans="1:8" x14ac:dyDescent="0.3">
      <c r="A5387" t="s">
        <v>45</v>
      </c>
      <c r="B5387" s="1">
        <v>40872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</row>
    <row r="5388" spans="1:8" x14ac:dyDescent="0.3">
      <c r="A5388" t="s">
        <v>45</v>
      </c>
      <c r="B5388" s="1">
        <v>40879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</row>
    <row r="5389" spans="1:8" x14ac:dyDescent="0.3">
      <c r="A5389" t="s">
        <v>45</v>
      </c>
      <c r="B5389" s="1">
        <v>40886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</row>
    <row r="5390" spans="1:8" x14ac:dyDescent="0.3">
      <c r="A5390" t="s">
        <v>45</v>
      </c>
      <c r="B5390" s="1">
        <v>40893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 x14ac:dyDescent="0.3">
      <c r="A5391" t="s">
        <v>45</v>
      </c>
      <c r="B5391" s="1">
        <v>40900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</row>
    <row r="5392" spans="1:8" x14ac:dyDescent="0.3">
      <c r="A5392" t="s">
        <v>45</v>
      </c>
      <c r="B5392" s="1">
        <v>40907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</row>
    <row r="5393" spans="1:8" x14ac:dyDescent="0.3">
      <c r="A5393" t="s">
        <v>45</v>
      </c>
      <c r="B5393" s="1">
        <v>40914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</row>
    <row r="5394" spans="1:8" x14ac:dyDescent="0.3">
      <c r="A5394" t="s">
        <v>45</v>
      </c>
      <c r="B5394" s="1">
        <v>40921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</row>
    <row r="5395" spans="1:8" x14ac:dyDescent="0.3">
      <c r="A5395" t="s">
        <v>45</v>
      </c>
      <c r="B5395" s="1">
        <v>40928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</row>
    <row r="5396" spans="1:8" x14ac:dyDescent="0.3">
      <c r="A5396" t="s">
        <v>45</v>
      </c>
      <c r="B5396" s="1">
        <v>40935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</row>
    <row r="5397" spans="1:8" x14ac:dyDescent="0.3">
      <c r="A5397" t="s">
        <v>45</v>
      </c>
      <c r="B5397" s="1">
        <v>40942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</row>
    <row r="5398" spans="1:8" x14ac:dyDescent="0.3">
      <c r="A5398" t="s">
        <v>45</v>
      </c>
      <c r="B5398" s="1">
        <v>40949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</row>
    <row r="5399" spans="1:8" x14ac:dyDescent="0.3">
      <c r="A5399" t="s">
        <v>45</v>
      </c>
      <c r="B5399" s="1">
        <v>40956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</row>
    <row r="5400" spans="1:8" x14ac:dyDescent="0.3">
      <c r="A5400" t="s">
        <v>45</v>
      </c>
      <c r="B5400" s="1">
        <v>40963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</row>
    <row r="5401" spans="1:8" x14ac:dyDescent="0.3">
      <c r="A5401" t="s">
        <v>45</v>
      </c>
      <c r="B5401" s="1">
        <v>40970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</row>
    <row r="5402" spans="1:8" x14ac:dyDescent="0.3">
      <c r="A5402" t="s">
        <v>45</v>
      </c>
      <c r="B5402" s="1">
        <v>40977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</row>
    <row r="5403" spans="1:8" x14ac:dyDescent="0.3">
      <c r="A5403" t="s">
        <v>45</v>
      </c>
      <c r="B5403" s="1">
        <v>40984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</row>
    <row r="5404" spans="1:8" x14ac:dyDescent="0.3">
      <c r="A5404" t="s">
        <v>45</v>
      </c>
      <c r="B5404" s="1">
        <v>40991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</row>
    <row r="5405" spans="1:8" x14ac:dyDescent="0.3">
      <c r="A5405" t="s">
        <v>45</v>
      </c>
      <c r="B5405" s="1">
        <v>40998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</row>
    <row r="5406" spans="1:8" x14ac:dyDescent="0.3">
      <c r="A5406" t="s">
        <v>45</v>
      </c>
      <c r="B5406" s="1">
        <v>41005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</row>
    <row r="5407" spans="1:8" x14ac:dyDescent="0.3">
      <c r="A5407" t="s">
        <v>45</v>
      </c>
      <c r="B5407" s="1">
        <v>41012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</row>
    <row r="5408" spans="1:8" x14ac:dyDescent="0.3">
      <c r="A5408" t="s">
        <v>45</v>
      </c>
      <c r="B5408" s="1">
        <v>41019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</row>
    <row r="5409" spans="1:8" x14ac:dyDescent="0.3">
      <c r="A5409" t="s">
        <v>45</v>
      </c>
      <c r="B5409" s="1">
        <v>41026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</row>
    <row r="5410" spans="1:8" x14ac:dyDescent="0.3">
      <c r="A5410" t="s">
        <v>45</v>
      </c>
      <c r="B5410" s="1">
        <v>41033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</row>
    <row r="5411" spans="1:8" x14ac:dyDescent="0.3">
      <c r="A5411" t="s">
        <v>45</v>
      </c>
      <c r="B5411" s="1">
        <v>41040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</row>
    <row r="5412" spans="1:8" x14ac:dyDescent="0.3">
      <c r="A5412" t="s">
        <v>45</v>
      </c>
      <c r="B5412" s="1">
        <v>41047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</row>
    <row r="5413" spans="1:8" x14ac:dyDescent="0.3">
      <c r="A5413" t="s">
        <v>45</v>
      </c>
      <c r="B5413" s="1">
        <v>41054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</row>
    <row r="5414" spans="1:8" x14ac:dyDescent="0.3">
      <c r="A5414" t="s">
        <v>45</v>
      </c>
      <c r="B5414" s="1">
        <v>41061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</row>
    <row r="5415" spans="1:8" x14ac:dyDescent="0.3">
      <c r="A5415" t="s">
        <v>45</v>
      </c>
      <c r="B5415" s="1">
        <v>41068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</row>
    <row r="5416" spans="1:8" x14ac:dyDescent="0.3">
      <c r="A5416" t="s">
        <v>45</v>
      </c>
      <c r="B5416" s="1">
        <v>41075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</row>
    <row r="5417" spans="1:8" x14ac:dyDescent="0.3">
      <c r="A5417" t="s">
        <v>45</v>
      </c>
      <c r="B5417" s="1">
        <v>41082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</row>
    <row r="5418" spans="1:8" x14ac:dyDescent="0.3">
      <c r="A5418" t="s">
        <v>45</v>
      </c>
      <c r="B5418" s="1">
        <v>41089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</row>
    <row r="5419" spans="1:8" x14ac:dyDescent="0.3">
      <c r="A5419" t="s">
        <v>45</v>
      </c>
      <c r="B5419" s="1">
        <v>41096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</row>
    <row r="5420" spans="1:8" x14ac:dyDescent="0.3">
      <c r="A5420" t="s">
        <v>45</v>
      </c>
      <c r="B5420" s="1">
        <v>41103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</row>
    <row r="5421" spans="1:8" x14ac:dyDescent="0.3">
      <c r="A5421" t="s">
        <v>45</v>
      </c>
      <c r="B5421" s="1">
        <v>41110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</row>
    <row r="5422" spans="1:8" x14ac:dyDescent="0.3">
      <c r="A5422" t="s">
        <v>45</v>
      </c>
      <c r="B5422" s="1">
        <v>41117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</row>
    <row r="5423" spans="1:8" x14ac:dyDescent="0.3">
      <c r="A5423" t="s">
        <v>45</v>
      </c>
      <c r="B5423" s="1">
        <v>41124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</row>
    <row r="5424" spans="1:8" x14ac:dyDescent="0.3">
      <c r="A5424" t="s">
        <v>45</v>
      </c>
      <c r="B5424" s="1">
        <v>41131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</row>
    <row r="5425" spans="1:8" x14ac:dyDescent="0.3">
      <c r="A5425" t="s">
        <v>45</v>
      </c>
      <c r="B5425" s="1">
        <v>41138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</row>
    <row r="5426" spans="1:8" x14ac:dyDescent="0.3">
      <c r="A5426" t="s">
        <v>45</v>
      </c>
      <c r="B5426" s="1">
        <v>41145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</row>
    <row r="5427" spans="1:8" x14ac:dyDescent="0.3">
      <c r="A5427" t="s">
        <v>45</v>
      </c>
      <c r="B5427" s="1">
        <v>41152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</row>
    <row r="5428" spans="1:8" x14ac:dyDescent="0.3">
      <c r="A5428" t="s">
        <v>45</v>
      </c>
      <c r="B5428" s="1">
        <v>41159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</row>
    <row r="5429" spans="1:8" x14ac:dyDescent="0.3">
      <c r="A5429" t="s">
        <v>45</v>
      </c>
      <c r="B5429" s="1">
        <v>41166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</row>
    <row r="5430" spans="1:8" x14ac:dyDescent="0.3">
      <c r="A5430" t="s">
        <v>45</v>
      </c>
      <c r="B5430" s="1">
        <v>41173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</row>
    <row r="5431" spans="1:8" x14ac:dyDescent="0.3">
      <c r="A5431" t="s">
        <v>45</v>
      </c>
      <c r="B5431" s="1">
        <v>41180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</row>
    <row r="5432" spans="1:8" x14ac:dyDescent="0.3">
      <c r="A5432" t="s">
        <v>45</v>
      </c>
      <c r="B5432" s="1">
        <v>41187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</row>
    <row r="5433" spans="1:8" x14ac:dyDescent="0.3">
      <c r="A5433" t="s">
        <v>45</v>
      </c>
      <c r="B5433" s="1">
        <v>41194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</row>
    <row r="5434" spans="1:8" x14ac:dyDescent="0.3">
      <c r="A5434" t="s">
        <v>45</v>
      </c>
      <c r="B5434" s="1">
        <v>41201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</row>
    <row r="5435" spans="1:8" x14ac:dyDescent="0.3">
      <c r="A5435" t="s">
        <v>45</v>
      </c>
      <c r="B5435" s="1">
        <v>41208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</row>
    <row r="5436" spans="1:8" x14ac:dyDescent="0.3">
      <c r="A5436" t="s">
        <v>46</v>
      </c>
      <c r="B5436" s="1">
        <v>40214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</row>
    <row r="5437" spans="1:8" x14ac:dyDescent="0.3">
      <c r="A5437" t="s">
        <v>46</v>
      </c>
      <c r="B5437" s="1">
        <v>40221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</row>
    <row r="5438" spans="1:8" x14ac:dyDescent="0.3">
      <c r="A5438" t="s">
        <v>46</v>
      </c>
      <c r="B5438" s="1">
        <v>40228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</row>
    <row r="5439" spans="1:8" x14ac:dyDescent="0.3">
      <c r="A5439" t="s">
        <v>46</v>
      </c>
      <c r="B5439" s="1">
        <v>40235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</row>
    <row r="5440" spans="1:8" x14ac:dyDescent="0.3">
      <c r="A5440" t="s">
        <v>46</v>
      </c>
      <c r="B5440" s="1">
        <v>40242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</row>
    <row r="5441" spans="1:8" x14ac:dyDescent="0.3">
      <c r="A5441" t="s">
        <v>46</v>
      </c>
      <c r="B5441" s="1">
        <v>40249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</row>
    <row r="5442" spans="1:8" x14ac:dyDescent="0.3">
      <c r="A5442" t="s">
        <v>46</v>
      </c>
      <c r="B5442" s="1">
        <v>40256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</row>
    <row r="5443" spans="1:8" x14ac:dyDescent="0.3">
      <c r="A5443" t="s">
        <v>46</v>
      </c>
      <c r="B5443" s="1">
        <v>40263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</row>
    <row r="5444" spans="1:8" x14ac:dyDescent="0.3">
      <c r="A5444" t="s">
        <v>46</v>
      </c>
      <c r="B5444" s="1">
        <v>40270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</row>
    <row r="5445" spans="1:8" x14ac:dyDescent="0.3">
      <c r="A5445" t="s">
        <v>46</v>
      </c>
      <c r="B5445" s="1">
        <v>40277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</row>
    <row r="5446" spans="1:8" x14ac:dyDescent="0.3">
      <c r="A5446" t="s">
        <v>46</v>
      </c>
      <c r="B5446" s="1">
        <v>40284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</row>
    <row r="5447" spans="1:8" x14ac:dyDescent="0.3">
      <c r="A5447" t="s">
        <v>46</v>
      </c>
      <c r="B5447" s="1">
        <v>40291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</row>
    <row r="5448" spans="1:8" x14ac:dyDescent="0.3">
      <c r="A5448" t="s">
        <v>46</v>
      </c>
      <c r="B5448" s="1">
        <v>40298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</row>
    <row r="5449" spans="1:8" x14ac:dyDescent="0.3">
      <c r="A5449" t="s">
        <v>46</v>
      </c>
      <c r="B5449" s="1">
        <v>40305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</row>
    <row r="5450" spans="1:8" x14ac:dyDescent="0.3">
      <c r="A5450" t="s">
        <v>46</v>
      </c>
      <c r="B5450" s="1">
        <v>40312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</row>
    <row r="5451" spans="1:8" x14ac:dyDescent="0.3">
      <c r="A5451" t="s">
        <v>46</v>
      </c>
      <c r="B5451" s="1">
        <v>40319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</row>
    <row r="5452" spans="1:8" x14ac:dyDescent="0.3">
      <c r="A5452" t="s">
        <v>46</v>
      </c>
      <c r="B5452" s="1">
        <v>40326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</row>
    <row r="5453" spans="1:8" x14ac:dyDescent="0.3">
      <c r="A5453" t="s">
        <v>46</v>
      </c>
      <c r="B5453" s="1">
        <v>40333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</row>
    <row r="5454" spans="1:8" x14ac:dyDescent="0.3">
      <c r="A5454" t="s">
        <v>46</v>
      </c>
      <c r="B5454" s="1">
        <v>40340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</row>
    <row r="5455" spans="1:8" x14ac:dyDescent="0.3">
      <c r="A5455" t="s">
        <v>46</v>
      </c>
      <c r="B5455" s="1">
        <v>40347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</row>
    <row r="5456" spans="1:8" x14ac:dyDescent="0.3">
      <c r="A5456" t="s">
        <v>46</v>
      </c>
      <c r="B5456" s="1">
        <v>40354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</row>
    <row r="5457" spans="1:8" x14ac:dyDescent="0.3">
      <c r="A5457" t="s">
        <v>46</v>
      </c>
      <c r="B5457" s="1">
        <v>40361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</row>
    <row r="5458" spans="1:8" x14ac:dyDescent="0.3">
      <c r="A5458" t="s">
        <v>46</v>
      </c>
      <c r="B5458" s="1">
        <v>40368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</row>
    <row r="5459" spans="1:8" x14ac:dyDescent="0.3">
      <c r="A5459" t="s">
        <v>46</v>
      </c>
      <c r="B5459" s="1">
        <v>40375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</row>
    <row r="5460" spans="1:8" x14ac:dyDescent="0.3">
      <c r="A5460" t="s">
        <v>46</v>
      </c>
      <c r="B5460" s="1">
        <v>40382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</row>
    <row r="5461" spans="1:8" x14ac:dyDescent="0.3">
      <c r="A5461" t="s">
        <v>46</v>
      </c>
      <c r="B5461" s="1">
        <v>40389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</row>
    <row r="5462" spans="1:8" x14ac:dyDescent="0.3">
      <c r="A5462" t="s">
        <v>46</v>
      </c>
      <c r="B5462" s="1">
        <v>40396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</row>
    <row r="5463" spans="1:8" x14ac:dyDescent="0.3">
      <c r="A5463" t="s">
        <v>46</v>
      </c>
      <c r="B5463" s="1">
        <v>40403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</row>
    <row r="5464" spans="1:8" x14ac:dyDescent="0.3">
      <c r="A5464" t="s">
        <v>46</v>
      </c>
      <c r="B5464" s="1">
        <v>40410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</row>
    <row r="5465" spans="1:8" x14ac:dyDescent="0.3">
      <c r="A5465" t="s">
        <v>46</v>
      </c>
      <c r="B5465" s="1">
        <v>40417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</row>
    <row r="5466" spans="1:8" x14ac:dyDescent="0.3">
      <c r="A5466" t="s">
        <v>46</v>
      </c>
      <c r="B5466" s="1">
        <v>40424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</row>
    <row r="5467" spans="1:8" x14ac:dyDescent="0.3">
      <c r="A5467" t="s">
        <v>46</v>
      </c>
      <c r="B5467" s="1">
        <v>40431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</row>
    <row r="5468" spans="1:8" x14ac:dyDescent="0.3">
      <c r="A5468" t="s">
        <v>46</v>
      </c>
      <c r="B5468" s="1">
        <v>40438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</row>
    <row r="5469" spans="1:8" x14ac:dyDescent="0.3">
      <c r="A5469" t="s">
        <v>46</v>
      </c>
      <c r="B5469" s="1">
        <v>40445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</row>
    <row r="5470" spans="1:8" x14ac:dyDescent="0.3">
      <c r="A5470" t="s">
        <v>46</v>
      </c>
      <c r="B5470" s="1">
        <v>40452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</row>
    <row r="5471" spans="1:8" x14ac:dyDescent="0.3">
      <c r="A5471" t="s">
        <v>46</v>
      </c>
      <c r="B5471" s="1">
        <v>40459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</row>
    <row r="5472" spans="1:8" x14ac:dyDescent="0.3">
      <c r="A5472" t="s">
        <v>46</v>
      </c>
      <c r="B5472" s="1">
        <v>40466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</row>
    <row r="5473" spans="1:8" x14ac:dyDescent="0.3">
      <c r="A5473" t="s">
        <v>46</v>
      </c>
      <c r="B5473" s="1">
        <v>40473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</row>
    <row r="5474" spans="1:8" x14ac:dyDescent="0.3">
      <c r="A5474" t="s">
        <v>46</v>
      </c>
      <c r="B5474" s="1">
        <v>40480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</row>
    <row r="5475" spans="1:8" x14ac:dyDescent="0.3">
      <c r="A5475" t="s">
        <v>46</v>
      </c>
      <c r="B5475" s="1">
        <v>40487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</row>
    <row r="5476" spans="1:8" x14ac:dyDescent="0.3">
      <c r="A5476" t="s">
        <v>46</v>
      </c>
      <c r="B5476" s="1">
        <v>40494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</row>
    <row r="5477" spans="1:8" x14ac:dyDescent="0.3">
      <c r="A5477" t="s">
        <v>46</v>
      </c>
      <c r="B5477" s="1">
        <v>40501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</row>
    <row r="5478" spans="1:8" x14ac:dyDescent="0.3">
      <c r="A5478" t="s">
        <v>46</v>
      </c>
      <c r="B5478" s="1">
        <v>40508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</row>
    <row r="5479" spans="1:8" x14ac:dyDescent="0.3">
      <c r="A5479" t="s">
        <v>46</v>
      </c>
      <c r="B5479" s="1">
        <v>40515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</row>
    <row r="5480" spans="1:8" x14ac:dyDescent="0.3">
      <c r="A5480" t="s">
        <v>46</v>
      </c>
      <c r="B5480" s="1">
        <v>40522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</row>
    <row r="5481" spans="1:8" x14ac:dyDescent="0.3">
      <c r="A5481" t="s">
        <v>46</v>
      </c>
      <c r="B5481" s="1">
        <v>40529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</row>
    <row r="5482" spans="1:8" x14ac:dyDescent="0.3">
      <c r="A5482" t="s">
        <v>46</v>
      </c>
      <c r="B5482" s="1">
        <v>40536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</row>
    <row r="5483" spans="1:8" x14ac:dyDescent="0.3">
      <c r="A5483" t="s">
        <v>46</v>
      </c>
      <c r="B5483" s="1">
        <v>40543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</row>
    <row r="5484" spans="1:8" x14ac:dyDescent="0.3">
      <c r="A5484" t="s">
        <v>46</v>
      </c>
      <c r="B5484" s="1">
        <v>40550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</row>
    <row r="5485" spans="1:8" x14ac:dyDescent="0.3">
      <c r="A5485" t="s">
        <v>46</v>
      </c>
      <c r="B5485" s="1">
        <v>40557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</row>
    <row r="5486" spans="1:8" x14ac:dyDescent="0.3">
      <c r="A5486" t="s">
        <v>46</v>
      </c>
      <c r="B5486" s="1">
        <v>40564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</row>
    <row r="5487" spans="1:8" x14ac:dyDescent="0.3">
      <c r="A5487" t="s">
        <v>46</v>
      </c>
      <c r="B5487" s="1">
        <v>40571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</row>
    <row r="5488" spans="1:8" x14ac:dyDescent="0.3">
      <c r="A5488" t="s">
        <v>46</v>
      </c>
      <c r="B5488" s="1">
        <v>40578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</row>
    <row r="5489" spans="1:8" x14ac:dyDescent="0.3">
      <c r="A5489" t="s">
        <v>46</v>
      </c>
      <c r="B5489" s="1">
        <v>40585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</row>
    <row r="5490" spans="1:8" x14ac:dyDescent="0.3">
      <c r="A5490" t="s">
        <v>46</v>
      </c>
      <c r="B5490" s="1">
        <v>40592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</row>
    <row r="5491" spans="1:8" x14ac:dyDescent="0.3">
      <c r="A5491" t="s">
        <v>46</v>
      </c>
      <c r="B5491" s="1">
        <v>40599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</row>
    <row r="5492" spans="1:8" x14ac:dyDescent="0.3">
      <c r="A5492" t="s">
        <v>46</v>
      </c>
      <c r="B5492" s="1">
        <v>40606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</row>
    <row r="5493" spans="1:8" x14ac:dyDescent="0.3">
      <c r="A5493" t="s">
        <v>46</v>
      </c>
      <c r="B5493" s="1">
        <v>40613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</row>
    <row r="5494" spans="1:8" x14ac:dyDescent="0.3">
      <c r="A5494" t="s">
        <v>46</v>
      </c>
      <c r="B5494" s="1">
        <v>40620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</row>
    <row r="5495" spans="1:8" x14ac:dyDescent="0.3">
      <c r="A5495" t="s">
        <v>46</v>
      </c>
      <c r="B5495" s="1">
        <v>40627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</row>
    <row r="5496" spans="1:8" x14ac:dyDescent="0.3">
      <c r="A5496" t="s">
        <v>46</v>
      </c>
      <c r="B5496" s="1">
        <v>40634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</row>
    <row r="5497" spans="1:8" x14ac:dyDescent="0.3">
      <c r="A5497" t="s">
        <v>46</v>
      </c>
      <c r="B5497" s="1">
        <v>40641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</row>
    <row r="5498" spans="1:8" x14ac:dyDescent="0.3">
      <c r="A5498" t="s">
        <v>46</v>
      </c>
      <c r="B5498" s="1">
        <v>40648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</row>
    <row r="5499" spans="1:8" x14ac:dyDescent="0.3">
      <c r="A5499" t="s">
        <v>46</v>
      </c>
      <c r="B5499" s="1">
        <v>40655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</row>
    <row r="5500" spans="1:8" x14ac:dyDescent="0.3">
      <c r="A5500" t="s">
        <v>46</v>
      </c>
      <c r="B5500" s="1">
        <v>40662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</row>
    <row r="5501" spans="1:8" x14ac:dyDescent="0.3">
      <c r="A5501" t="s">
        <v>46</v>
      </c>
      <c r="B5501" s="1">
        <v>40669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</row>
    <row r="5502" spans="1:8" x14ac:dyDescent="0.3">
      <c r="A5502" t="s">
        <v>46</v>
      </c>
      <c r="B5502" s="1">
        <v>40676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</row>
    <row r="5503" spans="1:8" x14ac:dyDescent="0.3">
      <c r="A5503" t="s">
        <v>46</v>
      </c>
      <c r="B5503" s="1">
        <v>40683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</row>
    <row r="5504" spans="1:8" x14ac:dyDescent="0.3">
      <c r="A5504" t="s">
        <v>46</v>
      </c>
      <c r="B5504" s="1">
        <v>40690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</row>
    <row r="5505" spans="1:8" x14ac:dyDescent="0.3">
      <c r="A5505" t="s">
        <v>46</v>
      </c>
      <c r="B5505" s="1">
        <v>40697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</row>
    <row r="5506" spans="1:8" x14ac:dyDescent="0.3">
      <c r="A5506" t="s">
        <v>46</v>
      </c>
      <c r="B5506" s="1">
        <v>40704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</row>
    <row r="5507" spans="1:8" x14ac:dyDescent="0.3">
      <c r="A5507" t="s">
        <v>46</v>
      </c>
      <c r="B5507" s="1">
        <v>40711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</row>
    <row r="5508" spans="1:8" x14ac:dyDescent="0.3">
      <c r="A5508" t="s">
        <v>46</v>
      </c>
      <c r="B5508" s="1">
        <v>40718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</row>
    <row r="5509" spans="1:8" x14ac:dyDescent="0.3">
      <c r="A5509" t="s">
        <v>46</v>
      </c>
      <c r="B5509" s="1">
        <v>40725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</row>
    <row r="5510" spans="1:8" x14ac:dyDescent="0.3">
      <c r="A5510" t="s">
        <v>46</v>
      </c>
      <c r="B5510" s="1">
        <v>40732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</row>
    <row r="5511" spans="1:8" x14ac:dyDescent="0.3">
      <c r="A5511" t="s">
        <v>46</v>
      </c>
      <c r="B5511" s="1">
        <v>40739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</row>
    <row r="5512" spans="1:8" x14ac:dyDescent="0.3">
      <c r="A5512" t="s">
        <v>46</v>
      </c>
      <c r="B5512" s="1">
        <v>40746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</row>
    <row r="5513" spans="1:8" x14ac:dyDescent="0.3">
      <c r="A5513" t="s">
        <v>46</v>
      </c>
      <c r="B5513" s="1">
        <v>40753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</row>
    <row r="5514" spans="1:8" x14ac:dyDescent="0.3">
      <c r="A5514" t="s">
        <v>46</v>
      </c>
      <c r="B5514" s="1">
        <v>40760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</row>
    <row r="5515" spans="1:8" x14ac:dyDescent="0.3">
      <c r="A5515" t="s">
        <v>46</v>
      </c>
      <c r="B5515" s="1">
        <v>40767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</row>
    <row r="5516" spans="1:8" x14ac:dyDescent="0.3">
      <c r="A5516" t="s">
        <v>46</v>
      </c>
      <c r="B5516" s="1">
        <v>40774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</row>
    <row r="5517" spans="1:8" x14ac:dyDescent="0.3">
      <c r="A5517" t="s">
        <v>46</v>
      </c>
      <c r="B5517" s="1">
        <v>40781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</row>
    <row r="5518" spans="1:8" x14ac:dyDescent="0.3">
      <c r="A5518" t="s">
        <v>46</v>
      </c>
      <c r="B5518" s="1">
        <v>40788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</row>
    <row r="5519" spans="1:8" x14ac:dyDescent="0.3">
      <c r="A5519" t="s">
        <v>46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</row>
    <row r="5520" spans="1:8" x14ac:dyDescent="0.3">
      <c r="A5520" t="s">
        <v>46</v>
      </c>
      <c r="B5520" s="1">
        <v>40802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</row>
    <row r="5521" spans="1:8" x14ac:dyDescent="0.3">
      <c r="A5521" t="s">
        <v>46</v>
      </c>
      <c r="B5521" s="1">
        <v>40809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</row>
    <row r="5522" spans="1:8" x14ac:dyDescent="0.3">
      <c r="A5522" t="s">
        <v>46</v>
      </c>
      <c r="B5522" s="1">
        <v>40816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</row>
    <row r="5523" spans="1:8" x14ac:dyDescent="0.3">
      <c r="A5523" t="s">
        <v>46</v>
      </c>
      <c r="B5523" s="1">
        <v>40823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</row>
    <row r="5524" spans="1:8" x14ac:dyDescent="0.3">
      <c r="A5524" t="s">
        <v>46</v>
      </c>
      <c r="B5524" s="1">
        <v>40830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</row>
    <row r="5525" spans="1:8" x14ac:dyDescent="0.3">
      <c r="A5525" t="s">
        <v>46</v>
      </c>
      <c r="B5525" s="1">
        <v>40837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</row>
    <row r="5526" spans="1:8" x14ac:dyDescent="0.3">
      <c r="A5526" t="s">
        <v>46</v>
      </c>
      <c r="B5526" s="1">
        <v>40844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</row>
    <row r="5527" spans="1:8" x14ac:dyDescent="0.3">
      <c r="A5527" t="s">
        <v>46</v>
      </c>
      <c r="B5527" s="1">
        <v>40851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</row>
    <row r="5528" spans="1:8" x14ac:dyDescent="0.3">
      <c r="A5528" t="s">
        <v>46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</row>
    <row r="5529" spans="1:8" x14ac:dyDescent="0.3">
      <c r="A5529" t="s">
        <v>46</v>
      </c>
      <c r="B5529" s="1">
        <v>40865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</row>
    <row r="5530" spans="1:8" x14ac:dyDescent="0.3">
      <c r="A5530" t="s">
        <v>46</v>
      </c>
      <c r="B5530" s="1">
        <v>40872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</row>
    <row r="5531" spans="1:8" x14ac:dyDescent="0.3">
      <c r="A5531" t="s">
        <v>46</v>
      </c>
      <c r="B5531" s="1">
        <v>40879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</row>
    <row r="5532" spans="1:8" x14ac:dyDescent="0.3">
      <c r="A5532" t="s">
        <v>46</v>
      </c>
      <c r="B5532" s="1">
        <v>40886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</row>
    <row r="5533" spans="1:8" x14ac:dyDescent="0.3">
      <c r="A5533" t="s">
        <v>46</v>
      </c>
      <c r="B5533" s="1">
        <v>40893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</row>
    <row r="5534" spans="1:8" x14ac:dyDescent="0.3">
      <c r="A5534" t="s">
        <v>46</v>
      </c>
      <c r="B5534" s="1">
        <v>40900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</row>
    <row r="5535" spans="1:8" x14ac:dyDescent="0.3">
      <c r="A5535" t="s">
        <v>46</v>
      </c>
      <c r="B5535" s="1">
        <v>40907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</row>
    <row r="5536" spans="1:8" x14ac:dyDescent="0.3">
      <c r="A5536" t="s">
        <v>46</v>
      </c>
      <c r="B5536" s="1">
        <v>40914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</row>
    <row r="5537" spans="1:8" x14ac:dyDescent="0.3">
      <c r="A5537" t="s">
        <v>46</v>
      </c>
      <c r="B5537" s="1">
        <v>40921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</row>
    <row r="5538" spans="1:8" x14ac:dyDescent="0.3">
      <c r="A5538" t="s">
        <v>46</v>
      </c>
      <c r="B5538" s="1">
        <v>40928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</row>
    <row r="5539" spans="1:8" x14ac:dyDescent="0.3">
      <c r="A5539" t="s">
        <v>46</v>
      </c>
      <c r="B5539" s="1">
        <v>40935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</row>
    <row r="5540" spans="1:8" x14ac:dyDescent="0.3">
      <c r="A5540" t="s">
        <v>46</v>
      </c>
      <c r="B5540" s="1">
        <v>40942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</row>
    <row r="5541" spans="1:8" x14ac:dyDescent="0.3">
      <c r="A5541" t="s">
        <v>46</v>
      </c>
      <c r="B5541" s="1">
        <v>40949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</row>
    <row r="5542" spans="1:8" x14ac:dyDescent="0.3">
      <c r="A5542" t="s">
        <v>46</v>
      </c>
      <c r="B5542" s="1">
        <v>40956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</row>
    <row r="5543" spans="1:8" x14ac:dyDescent="0.3">
      <c r="A5543" t="s">
        <v>46</v>
      </c>
      <c r="B5543" s="1">
        <v>40963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</row>
    <row r="5544" spans="1:8" x14ac:dyDescent="0.3">
      <c r="A5544" t="s">
        <v>46</v>
      </c>
      <c r="B5544" s="1">
        <v>40970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</row>
    <row r="5545" spans="1:8" x14ac:dyDescent="0.3">
      <c r="A5545" t="s">
        <v>46</v>
      </c>
      <c r="B5545" s="1">
        <v>40977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</row>
    <row r="5546" spans="1:8" x14ac:dyDescent="0.3">
      <c r="A5546" t="s">
        <v>46</v>
      </c>
      <c r="B5546" s="1">
        <v>40984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</row>
    <row r="5547" spans="1:8" x14ac:dyDescent="0.3">
      <c r="A5547" t="s">
        <v>46</v>
      </c>
      <c r="B5547" s="1">
        <v>40991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</row>
    <row r="5548" spans="1:8" x14ac:dyDescent="0.3">
      <c r="A5548" t="s">
        <v>46</v>
      </c>
      <c r="B5548" s="1">
        <v>40998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</row>
    <row r="5549" spans="1:8" x14ac:dyDescent="0.3">
      <c r="A5549" t="s">
        <v>46</v>
      </c>
      <c r="B5549" s="1">
        <v>41005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</row>
    <row r="5550" spans="1:8" x14ac:dyDescent="0.3">
      <c r="A5550" t="s">
        <v>46</v>
      </c>
      <c r="B5550" s="1">
        <v>41012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</row>
    <row r="5551" spans="1:8" x14ac:dyDescent="0.3">
      <c r="A5551" t="s">
        <v>46</v>
      </c>
      <c r="B5551" s="1">
        <v>41019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</row>
    <row r="5552" spans="1:8" x14ac:dyDescent="0.3">
      <c r="A5552" t="s">
        <v>46</v>
      </c>
      <c r="B5552" s="1">
        <v>41026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</row>
    <row r="5553" spans="1:8" x14ac:dyDescent="0.3">
      <c r="A5553" t="s">
        <v>46</v>
      </c>
      <c r="B5553" s="1">
        <v>41033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</row>
    <row r="5554" spans="1:8" x14ac:dyDescent="0.3">
      <c r="A5554" t="s">
        <v>46</v>
      </c>
      <c r="B5554" s="1">
        <v>41040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</row>
    <row r="5555" spans="1:8" x14ac:dyDescent="0.3">
      <c r="A5555" t="s">
        <v>46</v>
      </c>
      <c r="B5555" s="1">
        <v>41047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</row>
    <row r="5556" spans="1:8" x14ac:dyDescent="0.3">
      <c r="A5556" t="s">
        <v>46</v>
      </c>
      <c r="B5556" s="1">
        <v>41054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</row>
    <row r="5557" spans="1:8" x14ac:dyDescent="0.3">
      <c r="A5557" t="s">
        <v>46</v>
      </c>
      <c r="B5557" s="1">
        <v>41061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</row>
    <row r="5558" spans="1:8" x14ac:dyDescent="0.3">
      <c r="A5558" t="s">
        <v>46</v>
      </c>
      <c r="B5558" s="1">
        <v>41068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</row>
    <row r="5559" spans="1:8" x14ac:dyDescent="0.3">
      <c r="A5559" t="s">
        <v>46</v>
      </c>
      <c r="B5559" s="1">
        <v>41075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</row>
    <row r="5560" spans="1:8" x14ac:dyDescent="0.3">
      <c r="A5560" t="s">
        <v>46</v>
      </c>
      <c r="B5560" s="1">
        <v>41082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</row>
    <row r="5561" spans="1:8" x14ac:dyDescent="0.3">
      <c r="A5561" t="s">
        <v>46</v>
      </c>
      <c r="B5561" s="1">
        <v>41089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</row>
    <row r="5562" spans="1:8" x14ac:dyDescent="0.3">
      <c r="A5562" t="s">
        <v>46</v>
      </c>
      <c r="B5562" s="1">
        <v>41096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</row>
    <row r="5563" spans="1:8" x14ac:dyDescent="0.3">
      <c r="A5563" t="s">
        <v>46</v>
      </c>
      <c r="B5563" s="1">
        <v>41103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</row>
    <row r="5564" spans="1:8" x14ac:dyDescent="0.3">
      <c r="A5564" t="s">
        <v>46</v>
      </c>
      <c r="B5564" s="1">
        <v>41110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</row>
    <row r="5565" spans="1:8" x14ac:dyDescent="0.3">
      <c r="A5565" t="s">
        <v>46</v>
      </c>
      <c r="B5565" s="1">
        <v>41117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</row>
    <row r="5566" spans="1:8" x14ac:dyDescent="0.3">
      <c r="A5566" t="s">
        <v>46</v>
      </c>
      <c r="B5566" s="1">
        <v>41124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</row>
    <row r="5567" spans="1:8" x14ac:dyDescent="0.3">
      <c r="A5567" t="s">
        <v>46</v>
      </c>
      <c r="B5567" s="1">
        <v>41131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</row>
    <row r="5568" spans="1:8" x14ac:dyDescent="0.3">
      <c r="A5568" t="s">
        <v>46</v>
      </c>
      <c r="B5568" s="1">
        <v>41138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</row>
    <row r="5569" spans="1:8" x14ac:dyDescent="0.3">
      <c r="A5569" t="s">
        <v>46</v>
      </c>
      <c r="B5569" s="1">
        <v>41145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</row>
    <row r="5570" spans="1:8" x14ac:dyDescent="0.3">
      <c r="A5570" t="s">
        <v>46</v>
      </c>
      <c r="B5570" s="1">
        <v>41152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</row>
    <row r="5571" spans="1:8" x14ac:dyDescent="0.3">
      <c r="A5571" t="s">
        <v>46</v>
      </c>
      <c r="B5571" s="1">
        <v>41159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</row>
    <row r="5572" spans="1:8" x14ac:dyDescent="0.3">
      <c r="A5572" t="s">
        <v>46</v>
      </c>
      <c r="B5572" s="1">
        <v>41166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</row>
    <row r="5573" spans="1:8" x14ac:dyDescent="0.3">
      <c r="A5573" t="s">
        <v>46</v>
      </c>
      <c r="B5573" s="1">
        <v>41173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</row>
    <row r="5574" spans="1:8" x14ac:dyDescent="0.3">
      <c r="A5574" t="s">
        <v>46</v>
      </c>
      <c r="B5574" s="1">
        <v>41180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</row>
    <row r="5575" spans="1:8" x14ac:dyDescent="0.3">
      <c r="A5575" t="s">
        <v>46</v>
      </c>
      <c r="B5575" s="1">
        <v>41187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</row>
    <row r="5576" spans="1:8" x14ac:dyDescent="0.3">
      <c r="A5576" t="s">
        <v>46</v>
      </c>
      <c r="B5576" s="1">
        <v>41194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</row>
    <row r="5577" spans="1:8" x14ac:dyDescent="0.3">
      <c r="A5577" t="s">
        <v>46</v>
      </c>
      <c r="B5577" s="1">
        <v>41201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</row>
    <row r="5578" spans="1:8" x14ac:dyDescent="0.3">
      <c r="A5578" t="s">
        <v>46</v>
      </c>
      <c r="B5578" s="1">
        <v>41208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</row>
    <row r="5579" spans="1:8" x14ac:dyDescent="0.3">
      <c r="A5579" t="s">
        <v>47</v>
      </c>
      <c r="B5579" s="1">
        <v>40214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</row>
    <row r="5580" spans="1:8" x14ac:dyDescent="0.3">
      <c r="A5580" t="s">
        <v>47</v>
      </c>
      <c r="B5580" s="1">
        <v>40221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</row>
    <row r="5581" spans="1:8" x14ac:dyDescent="0.3">
      <c r="A5581" t="s">
        <v>47</v>
      </c>
      <c r="B5581" s="1">
        <v>40228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</row>
    <row r="5582" spans="1:8" x14ac:dyDescent="0.3">
      <c r="A5582" t="s">
        <v>47</v>
      </c>
      <c r="B5582" s="1">
        <v>40235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</row>
    <row r="5583" spans="1:8" x14ac:dyDescent="0.3">
      <c r="A5583" t="s">
        <v>47</v>
      </c>
      <c r="B5583" s="1">
        <v>40242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</row>
    <row r="5584" spans="1:8" x14ac:dyDescent="0.3">
      <c r="A5584" t="s">
        <v>47</v>
      </c>
      <c r="B5584" s="1">
        <v>40249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</row>
    <row r="5585" spans="1:8" x14ac:dyDescent="0.3">
      <c r="A5585" t="s">
        <v>47</v>
      </c>
      <c r="B5585" s="1">
        <v>40256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</row>
    <row r="5586" spans="1:8" x14ac:dyDescent="0.3">
      <c r="A5586" t="s">
        <v>47</v>
      </c>
      <c r="B5586" s="1">
        <v>40263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</row>
    <row r="5587" spans="1:8" x14ac:dyDescent="0.3">
      <c r="A5587" t="s">
        <v>47</v>
      </c>
      <c r="B5587" s="1">
        <v>40270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</row>
    <row r="5588" spans="1:8" x14ac:dyDescent="0.3">
      <c r="A5588" t="s">
        <v>47</v>
      </c>
      <c r="B5588" s="1">
        <v>40277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</row>
    <row r="5589" spans="1:8" x14ac:dyDescent="0.3">
      <c r="A5589" t="s">
        <v>47</v>
      </c>
      <c r="B5589" s="1">
        <v>40284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</row>
    <row r="5590" spans="1:8" x14ac:dyDescent="0.3">
      <c r="A5590" t="s">
        <v>47</v>
      </c>
      <c r="B5590" s="1">
        <v>40291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</row>
    <row r="5591" spans="1:8" x14ac:dyDescent="0.3">
      <c r="A5591" t="s">
        <v>47</v>
      </c>
      <c r="B5591" s="1">
        <v>40298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</row>
    <row r="5592" spans="1:8" x14ac:dyDescent="0.3">
      <c r="A5592" t="s">
        <v>47</v>
      </c>
      <c r="B5592" s="1">
        <v>40305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</row>
    <row r="5593" spans="1:8" x14ac:dyDescent="0.3">
      <c r="A5593" t="s">
        <v>47</v>
      </c>
      <c r="B5593" s="1">
        <v>40312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</row>
    <row r="5594" spans="1:8" x14ac:dyDescent="0.3">
      <c r="A5594" t="s">
        <v>47</v>
      </c>
      <c r="B5594" s="1">
        <v>40319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</row>
    <row r="5595" spans="1:8" x14ac:dyDescent="0.3">
      <c r="A5595" t="s">
        <v>47</v>
      </c>
      <c r="B5595" s="1">
        <v>40326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</row>
    <row r="5596" spans="1:8" x14ac:dyDescent="0.3">
      <c r="A5596" t="s">
        <v>47</v>
      </c>
      <c r="B5596" s="1">
        <v>40333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</row>
    <row r="5597" spans="1:8" x14ac:dyDescent="0.3">
      <c r="A5597" t="s">
        <v>47</v>
      </c>
      <c r="B5597" s="1">
        <v>40340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</row>
    <row r="5598" spans="1:8" x14ac:dyDescent="0.3">
      <c r="A5598" t="s">
        <v>47</v>
      </c>
      <c r="B5598" s="1">
        <v>40347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</row>
    <row r="5599" spans="1:8" x14ac:dyDescent="0.3">
      <c r="A5599" t="s">
        <v>47</v>
      </c>
      <c r="B5599" s="1">
        <v>40354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</row>
    <row r="5600" spans="1:8" x14ac:dyDescent="0.3">
      <c r="A5600" t="s">
        <v>47</v>
      </c>
      <c r="B5600" s="1">
        <v>40361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</row>
    <row r="5601" spans="1:8" x14ac:dyDescent="0.3">
      <c r="A5601" t="s">
        <v>47</v>
      </c>
      <c r="B5601" s="1">
        <v>40368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</row>
    <row r="5602" spans="1:8" x14ac:dyDescent="0.3">
      <c r="A5602" t="s">
        <v>47</v>
      </c>
      <c r="B5602" s="1">
        <v>40375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</row>
    <row r="5603" spans="1:8" x14ac:dyDescent="0.3">
      <c r="A5603" t="s">
        <v>47</v>
      </c>
      <c r="B5603" s="1">
        <v>40382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</row>
    <row r="5604" spans="1:8" x14ac:dyDescent="0.3">
      <c r="A5604" t="s">
        <v>47</v>
      </c>
      <c r="B5604" s="1">
        <v>40389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</row>
    <row r="5605" spans="1:8" x14ac:dyDescent="0.3">
      <c r="A5605" t="s">
        <v>47</v>
      </c>
      <c r="B5605" s="1">
        <v>40396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</row>
    <row r="5606" spans="1:8" x14ac:dyDescent="0.3">
      <c r="A5606" t="s">
        <v>47</v>
      </c>
      <c r="B5606" s="1">
        <v>40403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</row>
    <row r="5607" spans="1:8" x14ac:dyDescent="0.3">
      <c r="A5607" t="s">
        <v>47</v>
      </c>
      <c r="B5607" s="1">
        <v>40410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</row>
    <row r="5608" spans="1:8" x14ac:dyDescent="0.3">
      <c r="A5608" t="s">
        <v>47</v>
      </c>
      <c r="B5608" s="1">
        <v>40417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</row>
    <row r="5609" spans="1:8" x14ac:dyDescent="0.3">
      <c r="A5609" t="s">
        <v>47</v>
      </c>
      <c r="B5609" s="1">
        <v>40424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</row>
    <row r="5610" spans="1:8" x14ac:dyDescent="0.3">
      <c r="A5610" t="s">
        <v>47</v>
      </c>
      <c r="B5610" s="1">
        <v>40431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</row>
    <row r="5611" spans="1:8" x14ac:dyDescent="0.3">
      <c r="A5611" t="s">
        <v>47</v>
      </c>
      <c r="B5611" s="1">
        <v>40438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</row>
    <row r="5612" spans="1:8" x14ac:dyDescent="0.3">
      <c r="A5612" t="s">
        <v>47</v>
      </c>
      <c r="B5612" s="1">
        <v>40445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</row>
    <row r="5613" spans="1:8" x14ac:dyDescent="0.3">
      <c r="A5613" t="s">
        <v>47</v>
      </c>
      <c r="B5613" s="1">
        <v>40452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</row>
    <row r="5614" spans="1:8" x14ac:dyDescent="0.3">
      <c r="A5614" t="s">
        <v>47</v>
      </c>
      <c r="B5614" s="1">
        <v>40459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</row>
    <row r="5615" spans="1:8" x14ac:dyDescent="0.3">
      <c r="A5615" t="s">
        <v>47</v>
      </c>
      <c r="B5615" s="1">
        <v>40466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</row>
    <row r="5616" spans="1:8" x14ac:dyDescent="0.3">
      <c r="A5616" t="s">
        <v>47</v>
      </c>
      <c r="B5616" s="1">
        <v>40473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</row>
    <row r="5617" spans="1:8" x14ac:dyDescent="0.3">
      <c r="A5617" t="s">
        <v>47</v>
      </c>
      <c r="B5617" s="1">
        <v>40480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</row>
    <row r="5618" spans="1:8" x14ac:dyDescent="0.3">
      <c r="A5618" t="s">
        <v>47</v>
      </c>
      <c r="B5618" s="1">
        <v>40487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</row>
    <row r="5619" spans="1:8" x14ac:dyDescent="0.3">
      <c r="A5619" t="s">
        <v>47</v>
      </c>
      <c r="B5619" s="1">
        <v>40494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</row>
    <row r="5620" spans="1:8" x14ac:dyDescent="0.3">
      <c r="A5620" t="s">
        <v>47</v>
      </c>
      <c r="B5620" s="1">
        <v>40501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</row>
    <row r="5621" spans="1:8" x14ac:dyDescent="0.3">
      <c r="A5621" t="s">
        <v>47</v>
      </c>
      <c r="B5621" s="1">
        <v>40508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</row>
    <row r="5622" spans="1:8" x14ac:dyDescent="0.3">
      <c r="A5622" t="s">
        <v>47</v>
      </c>
      <c r="B5622" s="1">
        <v>40515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</row>
    <row r="5623" spans="1:8" x14ac:dyDescent="0.3">
      <c r="A5623" t="s">
        <v>47</v>
      </c>
      <c r="B5623" s="1">
        <v>40522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</row>
    <row r="5624" spans="1:8" x14ac:dyDescent="0.3">
      <c r="A5624" t="s">
        <v>47</v>
      </c>
      <c r="B5624" s="1">
        <v>40529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</row>
    <row r="5625" spans="1:8" x14ac:dyDescent="0.3">
      <c r="A5625" t="s">
        <v>47</v>
      </c>
      <c r="B5625" s="1">
        <v>40536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</row>
    <row r="5626" spans="1:8" x14ac:dyDescent="0.3">
      <c r="A5626" t="s">
        <v>47</v>
      </c>
      <c r="B5626" s="1">
        <v>40543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</row>
    <row r="5627" spans="1:8" x14ac:dyDescent="0.3">
      <c r="A5627" t="s">
        <v>47</v>
      </c>
      <c r="B5627" s="1">
        <v>40550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</row>
    <row r="5628" spans="1:8" x14ac:dyDescent="0.3">
      <c r="A5628" t="s">
        <v>47</v>
      </c>
      <c r="B5628" s="1">
        <v>40557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</row>
    <row r="5629" spans="1:8" x14ac:dyDescent="0.3">
      <c r="A5629" t="s">
        <v>47</v>
      </c>
      <c r="B5629" s="1">
        <v>40564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</row>
    <row r="5630" spans="1:8" x14ac:dyDescent="0.3">
      <c r="A5630" t="s">
        <v>47</v>
      </c>
      <c r="B5630" s="1">
        <v>40571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</row>
    <row r="5631" spans="1:8" x14ac:dyDescent="0.3">
      <c r="A5631" t="s">
        <v>47</v>
      </c>
      <c r="B5631" s="1">
        <v>40578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</row>
    <row r="5632" spans="1:8" x14ac:dyDescent="0.3">
      <c r="A5632" t="s">
        <v>47</v>
      </c>
      <c r="B5632" s="1">
        <v>40585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</row>
    <row r="5633" spans="1:8" x14ac:dyDescent="0.3">
      <c r="A5633" t="s">
        <v>47</v>
      </c>
      <c r="B5633" s="1">
        <v>40592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</row>
    <row r="5634" spans="1:8" x14ac:dyDescent="0.3">
      <c r="A5634" t="s">
        <v>47</v>
      </c>
      <c r="B5634" s="1">
        <v>40599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</row>
    <row r="5635" spans="1:8" x14ac:dyDescent="0.3">
      <c r="A5635" t="s">
        <v>47</v>
      </c>
      <c r="B5635" s="1">
        <v>40606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</row>
    <row r="5636" spans="1:8" x14ac:dyDescent="0.3">
      <c r="A5636" t="s">
        <v>47</v>
      </c>
      <c r="B5636" s="1">
        <v>40613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</row>
    <row r="5637" spans="1:8" x14ac:dyDescent="0.3">
      <c r="A5637" t="s">
        <v>47</v>
      </c>
      <c r="B5637" s="1">
        <v>40620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</row>
    <row r="5638" spans="1:8" x14ac:dyDescent="0.3">
      <c r="A5638" t="s">
        <v>47</v>
      </c>
      <c r="B5638" s="1">
        <v>40627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</row>
    <row r="5639" spans="1:8" x14ac:dyDescent="0.3">
      <c r="A5639" t="s">
        <v>47</v>
      </c>
      <c r="B5639" s="1">
        <v>40634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</row>
    <row r="5640" spans="1:8" x14ac:dyDescent="0.3">
      <c r="A5640" t="s">
        <v>47</v>
      </c>
      <c r="B5640" s="1">
        <v>40641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</row>
    <row r="5641" spans="1:8" x14ac:dyDescent="0.3">
      <c r="A5641" t="s">
        <v>47</v>
      </c>
      <c r="B5641" s="1">
        <v>40648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</row>
    <row r="5642" spans="1:8" x14ac:dyDescent="0.3">
      <c r="A5642" t="s">
        <v>47</v>
      </c>
      <c r="B5642" s="1">
        <v>40655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</row>
    <row r="5643" spans="1:8" x14ac:dyDescent="0.3">
      <c r="A5643" t="s">
        <v>47</v>
      </c>
      <c r="B5643" s="1">
        <v>40662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</row>
    <row r="5644" spans="1:8" x14ac:dyDescent="0.3">
      <c r="A5644" t="s">
        <v>47</v>
      </c>
      <c r="B5644" s="1">
        <v>40669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</row>
    <row r="5645" spans="1:8" x14ac:dyDescent="0.3">
      <c r="A5645" t="s">
        <v>47</v>
      </c>
      <c r="B5645" s="1">
        <v>40676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</row>
    <row r="5646" spans="1:8" x14ac:dyDescent="0.3">
      <c r="A5646" t="s">
        <v>47</v>
      </c>
      <c r="B5646" s="1">
        <v>40683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</row>
    <row r="5647" spans="1:8" x14ac:dyDescent="0.3">
      <c r="A5647" t="s">
        <v>47</v>
      </c>
      <c r="B5647" s="1">
        <v>40690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</row>
    <row r="5648" spans="1:8" x14ac:dyDescent="0.3">
      <c r="A5648" t="s">
        <v>47</v>
      </c>
      <c r="B5648" s="1">
        <v>40697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</row>
    <row r="5649" spans="1:8" x14ac:dyDescent="0.3">
      <c r="A5649" t="s">
        <v>47</v>
      </c>
      <c r="B5649" s="1">
        <v>40704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</row>
    <row r="5650" spans="1:8" x14ac:dyDescent="0.3">
      <c r="A5650" t="s">
        <v>47</v>
      </c>
      <c r="B5650" s="1">
        <v>40711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</row>
    <row r="5651" spans="1:8" x14ac:dyDescent="0.3">
      <c r="A5651" t="s">
        <v>47</v>
      </c>
      <c r="B5651" s="1">
        <v>40718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</row>
    <row r="5652" spans="1:8" x14ac:dyDescent="0.3">
      <c r="A5652" t="s">
        <v>47</v>
      </c>
      <c r="B5652" s="1">
        <v>40725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</row>
    <row r="5653" spans="1:8" x14ac:dyDescent="0.3">
      <c r="A5653" t="s">
        <v>47</v>
      </c>
      <c r="B5653" s="1">
        <v>40732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</row>
    <row r="5654" spans="1:8" x14ac:dyDescent="0.3">
      <c r="A5654" t="s">
        <v>47</v>
      </c>
      <c r="B5654" s="1">
        <v>40739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</row>
    <row r="5655" spans="1:8" x14ac:dyDescent="0.3">
      <c r="A5655" t="s">
        <v>47</v>
      </c>
      <c r="B5655" s="1">
        <v>40746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</row>
    <row r="5656" spans="1:8" x14ac:dyDescent="0.3">
      <c r="A5656" t="s">
        <v>47</v>
      </c>
      <c r="B5656" s="1">
        <v>40753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</row>
    <row r="5657" spans="1:8" x14ac:dyDescent="0.3">
      <c r="A5657" t="s">
        <v>47</v>
      </c>
      <c r="B5657" s="1">
        <v>40760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</row>
    <row r="5658" spans="1:8" x14ac:dyDescent="0.3">
      <c r="A5658" t="s">
        <v>47</v>
      </c>
      <c r="B5658" s="1">
        <v>40767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</row>
    <row r="5659" spans="1:8" x14ac:dyDescent="0.3">
      <c r="A5659" t="s">
        <v>47</v>
      </c>
      <c r="B5659" s="1">
        <v>40774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</row>
    <row r="5660" spans="1:8" x14ac:dyDescent="0.3">
      <c r="A5660" t="s">
        <v>47</v>
      </c>
      <c r="B5660" s="1">
        <v>40781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</row>
    <row r="5661" spans="1:8" x14ac:dyDescent="0.3">
      <c r="A5661" t="s">
        <v>47</v>
      </c>
      <c r="B5661" s="1">
        <v>40788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</row>
    <row r="5662" spans="1:8" x14ac:dyDescent="0.3">
      <c r="A5662" t="s">
        <v>47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</row>
    <row r="5663" spans="1:8" x14ac:dyDescent="0.3">
      <c r="A5663" t="s">
        <v>47</v>
      </c>
      <c r="B5663" s="1">
        <v>40802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</row>
    <row r="5664" spans="1:8" x14ac:dyDescent="0.3">
      <c r="A5664" t="s">
        <v>47</v>
      </c>
      <c r="B5664" s="1">
        <v>40809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</row>
    <row r="5665" spans="1:8" x14ac:dyDescent="0.3">
      <c r="A5665" t="s">
        <v>47</v>
      </c>
      <c r="B5665" s="1">
        <v>40816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</row>
    <row r="5666" spans="1:8" x14ac:dyDescent="0.3">
      <c r="A5666" t="s">
        <v>47</v>
      </c>
      <c r="B5666" s="1">
        <v>40823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</row>
    <row r="5667" spans="1:8" x14ac:dyDescent="0.3">
      <c r="A5667" t="s">
        <v>47</v>
      </c>
      <c r="B5667" s="1">
        <v>40830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</row>
    <row r="5668" spans="1:8" x14ac:dyDescent="0.3">
      <c r="A5668" t="s">
        <v>47</v>
      </c>
      <c r="B5668" s="1">
        <v>40837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</row>
    <row r="5669" spans="1:8" x14ac:dyDescent="0.3">
      <c r="A5669" t="s">
        <v>47</v>
      </c>
      <c r="B5669" s="1">
        <v>40844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</row>
    <row r="5670" spans="1:8" x14ac:dyDescent="0.3">
      <c r="A5670" t="s">
        <v>47</v>
      </c>
      <c r="B5670" s="1">
        <v>40851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</row>
    <row r="5671" spans="1:8" x14ac:dyDescent="0.3">
      <c r="A5671" t="s">
        <v>47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</row>
    <row r="5672" spans="1:8" x14ac:dyDescent="0.3">
      <c r="A5672" t="s">
        <v>47</v>
      </c>
      <c r="B5672" s="1">
        <v>40865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</row>
    <row r="5673" spans="1:8" x14ac:dyDescent="0.3">
      <c r="A5673" t="s">
        <v>47</v>
      </c>
      <c r="B5673" s="1">
        <v>40872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</row>
    <row r="5674" spans="1:8" x14ac:dyDescent="0.3">
      <c r="A5674" t="s">
        <v>47</v>
      </c>
      <c r="B5674" s="1">
        <v>40879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</row>
    <row r="5675" spans="1:8" x14ac:dyDescent="0.3">
      <c r="A5675" t="s">
        <v>47</v>
      </c>
      <c r="B5675" s="1">
        <v>40886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</row>
    <row r="5676" spans="1:8" x14ac:dyDescent="0.3">
      <c r="A5676" t="s">
        <v>47</v>
      </c>
      <c r="B5676" s="1">
        <v>40893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</row>
    <row r="5677" spans="1:8" x14ac:dyDescent="0.3">
      <c r="A5677" t="s">
        <v>47</v>
      </c>
      <c r="B5677" s="1">
        <v>40900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</row>
    <row r="5678" spans="1:8" x14ac:dyDescent="0.3">
      <c r="A5678" t="s">
        <v>47</v>
      </c>
      <c r="B5678" s="1">
        <v>40907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</row>
    <row r="5679" spans="1:8" x14ac:dyDescent="0.3">
      <c r="A5679" t="s">
        <v>47</v>
      </c>
      <c r="B5679" s="1">
        <v>40914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</row>
    <row r="5680" spans="1:8" x14ac:dyDescent="0.3">
      <c r="A5680" t="s">
        <v>47</v>
      </c>
      <c r="B5680" s="1">
        <v>40921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</row>
    <row r="5681" spans="1:8" x14ac:dyDescent="0.3">
      <c r="A5681" t="s">
        <v>47</v>
      </c>
      <c r="B5681" s="1">
        <v>40928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</row>
    <row r="5682" spans="1:8" x14ac:dyDescent="0.3">
      <c r="A5682" t="s">
        <v>47</v>
      </c>
      <c r="B5682" s="1">
        <v>40935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</row>
    <row r="5683" spans="1:8" x14ac:dyDescent="0.3">
      <c r="A5683" t="s">
        <v>47</v>
      </c>
      <c r="B5683" s="1">
        <v>40942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</row>
    <row r="5684" spans="1:8" x14ac:dyDescent="0.3">
      <c r="A5684" t="s">
        <v>47</v>
      </c>
      <c r="B5684" s="1">
        <v>40949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</row>
    <row r="5685" spans="1:8" x14ac:dyDescent="0.3">
      <c r="A5685" t="s">
        <v>47</v>
      </c>
      <c r="B5685" s="1">
        <v>40956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</row>
    <row r="5686" spans="1:8" x14ac:dyDescent="0.3">
      <c r="A5686" t="s">
        <v>47</v>
      </c>
      <c r="B5686" s="1">
        <v>40963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</row>
    <row r="5687" spans="1:8" x14ac:dyDescent="0.3">
      <c r="A5687" t="s">
        <v>47</v>
      </c>
      <c r="B5687" s="1">
        <v>40970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</row>
    <row r="5688" spans="1:8" x14ac:dyDescent="0.3">
      <c r="A5688" t="s">
        <v>47</v>
      </c>
      <c r="B5688" s="1">
        <v>40977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</row>
    <row r="5689" spans="1:8" x14ac:dyDescent="0.3">
      <c r="A5689" t="s">
        <v>47</v>
      </c>
      <c r="B5689" s="1">
        <v>40984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</row>
    <row r="5690" spans="1:8" x14ac:dyDescent="0.3">
      <c r="A5690" t="s">
        <v>47</v>
      </c>
      <c r="B5690" s="1">
        <v>40991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</row>
    <row r="5691" spans="1:8" x14ac:dyDescent="0.3">
      <c r="A5691" t="s">
        <v>47</v>
      </c>
      <c r="B5691" s="1">
        <v>40998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</row>
    <row r="5692" spans="1:8" x14ac:dyDescent="0.3">
      <c r="A5692" t="s">
        <v>47</v>
      </c>
      <c r="B5692" s="1">
        <v>41005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</row>
    <row r="5693" spans="1:8" x14ac:dyDescent="0.3">
      <c r="A5693" t="s">
        <v>47</v>
      </c>
      <c r="B5693" s="1">
        <v>41012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</row>
    <row r="5694" spans="1:8" x14ac:dyDescent="0.3">
      <c r="A5694" t="s">
        <v>47</v>
      </c>
      <c r="B5694" s="1">
        <v>41019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</row>
    <row r="5695" spans="1:8" x14ac:dyDescent="0.3">
      <c r="A5695" t="s">
        <v>47</v>
      </c>
      <c r="B5695" s="1">
        <v>41026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</row>
    <row r="5696" spans="1:8" x14ac:dyDescent="0.3">
      <c r="A5696" t="s">
        <v>47</v>
      </c>
      <c r="B5696" s="1">
        <v>41033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</row>
    <row r="5697" spans="1:8" x14ac:dyDescent="0.3">
      <c r="A5697" t="s">
        <v>47</v>
      </c>
      <c r="B5697" s="1">
        <v>41040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</row>
    <row r="5698" spans="1:8" x14ac:dyDescent="0.3">
      <c r="A5698" t="s">
        <v>47</v>
      </c>
      <c r="B5698" s="1">
        <v>41047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 x14ac:dyDescent="0.3">
      <c r="A5699" t="s">
        <v>47</v>
      </c>
      <c r="B5699" s="1">
        <v>41054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</row>
    <row r="5700" spans="1:8" x14ac:dyDescent="0.3">
      <c r="A5700" t="s">
        <v>47</v>
      </c>
      <c r="B5700" s="1">
        <v>41061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</row>
    <row r="5701" spans="1:8" x14ac:dyDescent="0.3">
      <c r="A5701" t="s">
        <v>47</v>
      </c>
      <c r="B5701" s="1">
        <v>41068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</row>
    <row r="5702" spans="1:8" x14ac:dyDescent="0.3">
      <c r="A5702" t="s">
        <v>47</v>
      </c>
      <c r="B5702" s="1">
        <v>41075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</row>
    <row r="5703" spans="1:8" x14ac:dyDescent="0.3">
      <c r="A5703" t="s">
        <v>47</v>
      </c>
      <c r="B5703" s="1">
        <v>41082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</row>
    <row r="5704" spans="1:8" x14ac:dyDescent="0.3">
      <c r="A5704" t="s">
        <v>47</v>
      </c>
      <c r="B5704" s="1">
        <v>41089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 x14ac:dyDescent="0.3">
      <c r="A5705" t="s">
        <v>47</v>
      </c>
      <c r="B5705" s="1">
        <v>41096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</row>
    <row r="5706" spans="1:8" x14ac:dyDescent="0.3">
      <c r="A5706" t="s">
        <v>47</v>
      </c>
      <c r="B5706" s="1">
        <v>41103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</row>
    <row r="5707" spans="1:8" x14ac:dyDescent="0.3">
      <c r="A5707" t="s">
        <v>47</v>
      </c>
      <c r="B5707" s="1">
        <v>41110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</row>
    <row r="5708" spans="1:8" x14ac:dyDescent="0.3">
      <c r="A5708" t="s">
        <v>47</v>
      </c>
      <c r="B5708" s="1">
        <v>41117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</row>
    <row r="5709" spans="1:8" x14ac:dyDescent="0.3">
      <c r="A5709" t="s">
        <v>47</v>
      </c>
      <c r="B5709" s="1">
        <v>41124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</row>
    <row r="5710" spans="1:8" x14ac:dyDescent="0.3">
      <c r="A5710" t="s">
        <v>47</v>
      </c>
      <c r="B5710" s="1">
        <v>41131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</row>
    <row r="5711" spans="1:8" x14ac:dyDescent="0.3">
      <c r="A5711" t="s">
        <v>47</v>
      </c>
      <c r="B5711" s="1">
        <v>41138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</row>
    <row r="5712" spans="1:8" x14ac:dyDescent="0.3">
      <c r="A5712" t="s">
        <v>47</v>
      </c>
      <c r="B5712" s="1">
        <v>41145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</row>
    <row r="5713" spans="1:8" x14ac:dyDescent="0.3">
      <c r="A5713" t="s">
        <v>47</v>
      </c>
      <c r="B5713" s="1">
        <v>41152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</row>
    <row r="5714" spans="1:8" x14ac:dyDescent="0.3">
      <c r="A5714" t="s">
        <v>47</v>
      </c>
      <c r="B5714" s="1">
        <v>41159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</row>
    <row r="5715" spans="1:8" x14ac:dyDescent="0.3">
      <c r="A5715" t="s">
        <v>47</v>
      </c>
      <c r="B5715" s="1">
        <v>41166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</row>
    <row r="5716" spans="1:8" x14ac:dyDescent="0.3">
      <c r="A5716" t="s">
        <v>47</v>
      </c>
      <c r="B5716" s="1">
        <v>41173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</row>
    <row r="5717" spans="1:8" x14ac:dyDescent="0.3">
      <c r="A5717" t="s">
        <v>47</v>
      </c>
      <c r="B5717" s="1">
        <v>41180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</row>
    <row r="5718" spans="1:8" x14ac:dyDescent="0.3">
      <c r="A5718" t="s">
        <v>47</v>
      </c>
      <c r="B5718" s="1">
        <v>41187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</row>
    <row r="5719" spans="1:8" x14ac:dyDescent="0.3">
      <c r="A5719" t="s">
        <v>47</v>
      </c>
      <c r="B5719" s="1">
        <v>41194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</row>
    <row r="5720" spans="1:8" x14ac:dyDescent="0.3">
      <c r="A5720" t="s">
        <v>47</v>
      </c>
      <c r="B5720" s="1">
        <v>41201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</row>
    <row r="5721" spans="1:8" x14ac:dyDescent="0.3">
      <c r="A5721" t="s">
        <v>47</v>
      </c>
      <c r="B5721" s="1">
        <v>41208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</row>
    <row r="5722" spans="1:8" x14ac:dyDescent="0.3">
      <c r="A5722" t="s">
        <v>48</v>
      </c>
      <c r="B5722" s="1">
        <v>40214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</row>
    <row r="5723" spans="1:8" x14ac:dyDescent="0.3">
      <c r="A5723" t="s">
        <v>48</v>
      </c>
      <c r="B5723" s="1">
        <v>40221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</row>
    <row r="5724" spans="1:8" x14ac:dyDescent="0.3">
      <c r="A5724" t="s">
        <v>48</v>
      </c>
      <c r="B5724" s="1">
        <v>40228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</row>
    <row r="5725" spans="1:8" x14ac:dyDescent="0.3">
      <c r="A5725" t="s">
        <v>48</v>
      </c>
      <c r="B5725" s="1">
        <v>40235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</row>
    <row r="5726" spans="1:8" x14ac:dyDescent="0.3">
      <c r="A5726" t="s">
        <v>48</v>
      </c>
      <c r="B5726" s="1">
        <v>40242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</row>
    <row r="5727" spans="1:8" x14ac:dyDescent="0.3">
      <c r="A5727" t="s">
        <v>48</v>
      </c>
      <c r="B5727" s="1">
        <v>40249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</row>
    <row r="5728" spans="1:8" x14ac:dyDescent="0.3">
      <c r="A5728" t="s">
        <v>48</v>
      </c>
      <c r="B5728" s="1">
        <v>40256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</row>
    <row r="5729" spans="1:8" x14ac:dyDescent="0.3">
      <c r="A5729" t="s">
        <v>48</v>
      </c>
      <c r="B5729" s="1">
        <v>40263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</row>
    <row r="5730" spans="1:8" x14ac:dyDescent="0.3">
      <c r="A5730" t="s">
        <v>48</v>
      </c>
      <c r="B5730" s="1">
        <v>40270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</row>
    <row r="5731" spans="1:8" x14ac:dyDescent="0.3">
      <c r="A5731" t="s">
        <v>48</v>
      </c>
      <c r="B5731" s="1">
        <v>40277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</row>
    <row r="5732" spans="1:8" x14ac:dyDescent="0.3">
      <c r="A5732" t="s">
        <v>48</v>
      </c>
      <c r="B5732" s="1">
        <v>40284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</row>
    <row r="5733" spans="1:8" x14ac:dyDescent="0.3">
      <c r="A5733" t="s">
        <v>48</v>
      </c>
      <c r="B5733" s="1">
        <v>40291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</row>
    <row r="5734" spans="1:8" x14ac:dyDescent="0.3">
      <c r="A5734" t="s">
        <v>48</v>
      </c>
      <c r="B5734" s="1">
        <v>40298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</row>
    <row r="5735" spans="1:8" x14ac:dyDescent="0.3">
      <c r="A5735" t="s">
        <v>48</v>
      </c>
      <c r="B5735" s="1">
        <v>40305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</row>
    <row r="5736" spans="1:8" x14ac:dyDescent="0.3">
      <c r="A5736" t="s">
        <v>48</v>
      </c>
      <c r="B5736" s="1">
        <v>40312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</row>
    <row r="5737" spans="1:8" x14ac:dyDescent="0.3">
      <c r="A5737" t="s">
        <v>48</v>
      </c>
      <c r="B5737" s="1">
        <v>40319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</row>
    <row r="5738" spans="1:8" x14ac:dyDescent="0.3">
      <c r="A5738" t="s">
        <v>48</v>
      </c>
      <c r="B5738" s="1">
        <v>40326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</row>
    <row r="5739" spans="1:8" x14ac:dyDescent="0.3">
      <c r="A5739" t="s">
        <v>48</v>
      </c>
      <c r="B5739" s="1">
        <v>40333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</row>
    <row r="5740" spans="1:8" x14ac:dyDescent="0.3">
      <c r="A5740" t="s">
        <v>48</v>
      </c>
      <c r="B5740" s="1">
        <v>40340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</row>
    <row r="5741" spans="1:8" x14ac:dyDescent="0.3">
      <c r="A5741" t="s">
        <v>48</v>
      </c>
      <c r="B5741" s="1">
        <v>40347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</row>
    <row r="5742" spans="1:8" x14ac:dyDescent="0.3">
      <c r="A5742" t="s">
        <v>48</v>
      </c>
      <c r="B5742" s="1">
        <v>40354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</row>
    <row r="5743" spans="1:8" x14ac:dyDescent="0.3">
      <c r="A5743" t="s">
        <v>48</v>
      </c>
      <c r="B5743" s="1">
        <v>40361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</row>
    <row r="5744" spans="1:8" x14ac:dyDescent="0.3">
      <c r="A5744" t="s">
        <v>48</v>
      </c>
      <c r="B5744" s="1">
        <v>40368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</row>
    <row r="5745" spans="1:8" x14ac:dyDescent="0.3">
      <c r="A5745" t="s">
        <v>48</v>
      </c>
      <c r="B5745" s="1">
        <v>40375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</row>
    <row r="5746" spans="1:8" x14ac:dyDescent="0.3">
      <c r="A5746" t="s">
        <v>48</v>
      </c>
      <c r="B5746" s="1">
        <v>40382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</row>
    <row r="5747" spans="1:8" x14ac:dyDescent="0.3">
      <c r="A5747" t="s">
        <v>48</v>
      </c>
      <c r="B5747" s="1">
        <v>40389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</row>
    <row r="5748" spans="1:8" x14ac:dyDescent="0.3">
      <c r="A5748" t="s">
        <v>48</v>
      </c>
      <c r="B5748" s="1">
        <v>40396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</row>
    <row r="5749" spans="1:8" x14ac:dyDescent="0.3">
      <c r="A5749" t="s">
        <v>48</v>
      </c>
      <c r="B5749" s="1">
        <v>40403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</row>
    <row r="5750" spans="1:8" x14ac:dyDescent="0.3">
      <c r="A5750" t="s">
        <v>48</v>
      </c>
      <c r="B5750" s="1">
        <v>40410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</row>
    <row r="5751" spans="1:8" x14ac:dyDescent="0.3">
      <c r="A5751" t="s">
        <v>48</v>
      </c>
      <c r="B5751" s="1">
        <v>40417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</row>
    <row r="5752" spans="1:8" x14ac:dyDescent="0.3">
      <c r="A5752" t="s">
        <v>48</v>
      </c>
      <c r="B5752" s="1">
        <v>40424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</row>
    <row r="5753" spans="1:8" x14ac:dyDescent="0.3">
      <c r="A5753" t="s">
        <v>48</v>
      </c>
      <c r="B5753" s="1">
        <v>40431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 x14ac:dyDescent="0.3">
      <c r="A5754" t="s">
        <v>48</v>
      </c>
      <c r="B5754" s="1">
        <v>40438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</row>
    <row r="5755" spans="1:8" x14ac:dyDescent="0.3">
      <c r="A5755" t="s">
        <v>48</v>
      </c>
      <c r="B5755" s="1">
        <v>40445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</row>
    <row r="5756" spans="1:8" x14ac:dyDescent="0.3">
      <c r="A5756" t="s">
        <v>48</v>
      </c>
      <c r="B5756" s="1">
        <v>40452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</row>
    <row r="5757" spans="1:8" x14ac:dyDescent="0.3">
      <c r="A5757" t="s">
        <v>48</v>
      </c>
      <c r="B5757" s="1">
        <v>40459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</row>
    <row r="5758" spans="1:8" x14ac:dyDescent="0.3">
      <c r="A5758" t="s">
        <v>48</v>
      </c>
      <c r="B5758" s="1">
        <v>40466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 x14ac:dyDescent="0.3">
      <c r="A5759" t="s">
        <v>48</v>
      </c>
      <c r="B5759" s="1">
        <v>40473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 x14ac:dyDescent="0.3">
      <c r="A5760" t="s">
        <v>48</v>
      </c>
      <c r="B5760" s="1">
        <v>40480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</row>
    <row r="5761" spans="1:8" x14ac:dyDescent="0.3">
      <c r="A5761" t="s">
        <v>48</v>
      </c>
      <c r="B5761" s="1">
        <v>40487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</row>
    <row r="5762" spans="1:8" x14ac:dyDescent="0.3">
      <c r="A5762" t="s">
        <v>48</v>
      </c>
      <c r="B5762" s="1">
        <v>40494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</row>
    <row r="5763" spans="1:8" x14ac:dyDescent="0.3">
      <c r="A5763" t="s">
        <v>48</v>
      </c>
      <c r="B5763" s="1">
        <v>40501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</row>
    <row r="5764" spans="1:8" x14ac:dyDescent="0.3">
      <c r="A5764" t="s">
        <v>48</v>
      </c>
      <c r="B5764" s="1">
        <v>40508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 x14ac:dyDescent="0.3">
      <c r="A5765" t="s">
        <v>48</v>
      </c>
      <c r="B5765" s="1">
        <v>40515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</row>
    <row r="5766" spans="1:8" x14ac:dyDescent="0.3">
      <c r="A5766" t="s">
        <v>48</v>
      </c>
      <c r="B5766" s="1">
        <v>40522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</row>
    <row r="5767" spans="1:8" x14ac:dyDescent="0.3">
      <c r="A5767" t="s">
        <v>48</v>
      </c>
      <c r="B5767" s="1">
        <v>40529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 x14ac:dyDescent="0.3">
      <c r="A5768" t="s">
        <v>48</v>
      </c>
      <c r="B5768" s="1">
        <v>40536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</row>
    <row r="5769" spans="1:8" x14ac:dyDescent="0.3">
      <c r="A5769" t="s">
        <v>48</v>
      </c>
      <c r="B5769" s="1">
        <v>40543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</row>
    <row r="5770" spans="1:8" x14ac:dyDescent="0.3">
      <c r="A5770" t="s">
        <v>48</v>
      </c>
      <c r="B5770" s="1">
        <v>40550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</row>
    <row r="5771" spans="1:8" x14ac:dyDescent="0.3">
      <c r="A5771" t="s">
        <v>48</v>
      </c>
      <c r="B5771" s="1">
        <v>40557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</row>
    <row r="5772" spans="1:8" x14ac:dyDescent="0.3">
      <c r="A5772" t="s">
        <v>48</v>
      </c>
      <c r="B5772" s="1">
        <v>40564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</row>
    <row r="5773" spans="1:8" x14ac:dyDescent="0.3">
      <c r="A5773" t="s">
        <v>48</v>
      </c>
      <c r="B5773" s="1">
        <v>40571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</row>
    <row r="5774" spans="1:8" x14ac:dyDescent="0.3">
      <c r="A5774" t="s">
        <v>48</v>
      </c>
      <c r="B5774" s="1">
        <v>40578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</row>
    <row r="5775" spans="1:8" x14ac:dyDescent="0.3">
      <c r="A5775" t="s">
        <v>48</v>
      </c>
      <c r="B5775" s="1">
        <v>40585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</row>
    <row r="5776" spans="1:8" x14ac:dyDescent="0.3">
      <c r="A5776" t="s">
        <v>48</v>
      </c>
      <c r="B5776" s="1">
        <v>40592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</row>
    <row r="5777" spans="1:8" x14ac:dyDescent="0.3">
      <c r="A5777" t="s">
        <v>48</v>
      </c>
      <c r="B5777" s="1">
        <v>40599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</row>
    <row r="5778" spans="1:8" x14ac:dyDescent="0.3">
      <c r="A5778" t="s">
        <v>48</v>
      </c>
      <c r="B5778" s="1">
        <v>40606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</row>
    <row r="5779" spans="1:8" x14ac:dyDescent="0.3">
      <c r="A5779" t="s">
        <v>48</v>
      </c>
      <c r="B5779" s="1">
        <v>40613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</row>
    <row r="5780" spans="1:8" x14ac:dyDescent="0.3">
      <c r="A5780" t="s">
        <v>48</v>
      </c>
      <c r="B5780" s="1">
        <v>40620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</row>
    <row r="5781" spans="1:8" x14ac:dyDescent="0.3">
      <c r="A5781" t="s">
        <v>48</v>
      </c>
      <c r="B5781" s="1">
        <v>40627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</row>
    <row r="5782" spans="1:8" x14ac:dyDescent="0.3">
      <c r="A5782" t="s">
        <v>48</v>
      </c>
      <c r="B5782" s="1">
        <v>40634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</row>
    <row r="5783" spans="1:8" x14ac:dyDescent="0.3">
      <c r="A5783" t="s">
        <v>48</v>
      </c>
      <c r="B5783" s="1">
        <v>40641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</row>
    <row r="5784" spans="1:8" x14ac:dyDescent="0.3">
      <c r="A5784" t="s">
        <v>48</v>
      </c>
      <c r="B5784" s="1">
        <v>40648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</row>
    <row r="5785" spans="1:8" x14ac:dyDescent="0.3">
      <c r="A5785" t="s">
        <v>48</v>
      </c>
      <c r="B5785" s="1">
        <v>40655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</row>
    <row r="5786" spans="1:8" x14ac:dyDescent="0.3">
      <c r="A5786" t="s">
        <v>48</v>
      </c>
      <c r="B5786" s="1">
        <v>40662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</row>
    <row r="5787" spans="1:8" x14ac:dyDescent="0.3">
      <c r="A5787" t="s">
        <v>48</v>
      </c>
      <c r="B5787" s="1">
        <v>40669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</row>
    <row r="5788" spans="1:8" x14ac:dyDescent="0.3">
      <c r="A5788" t="s">
        <v>48</v>
      </c>
      <c r="B5788" s="1">
        <v>40676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</row>
    <row r="5789" spans="1:8" x14ac:dyDescent="0.3">
      <c r="A5789" t="s">
        <v>48</v>
      </c>
      <c r="B5789" s="1">
        <v>40683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</row>
    <row r="5790" spans="1:8" x14ac:dyDescent="0.3">
      <c r="A5790" t="s">
        <v>48</v>
      </c>
      <c r="B5790" s="1">
        <v>40690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</row>
    <row r="5791" spans="1:8" x14ac:dyDescent="0.3">
      <c r="A5791" t="s">
        <v>48</v>
      </c>
      <c r="B5791" s="1">
        <v>40697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</row>
    <row r="5792" spans="1:8" x14ac:dyDescent="0.3">
      <c r="A5792" t="s">
        <v>48</v>
      </c>
      <c r="B5792" s="1">
        <v>40704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</row>
    <row r="5793" spans="1:8" x14ac:dyDescent="0.3">
      <c r="A5793" t="s">
        <v>48</v>
      </c>
      <c r="B5793" s="1">
        <v>40711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</row>
    <row r="5794" spans="1:8" x14ac:dyDescent="0.3">
      <c r="A5794" t="s">
        <v>48</v>
      </c>
      <c r="B5794" s="1">
        <v>40718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</row>
    <row r="5795" spans="1:8" x14ac:dyDescent="0.3">
      <c r="A5795" t="s">
        <v>48</v>
      </c>
      <c r="B5795" s="1">
        <v>40725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</row>
    <row r="5796" spans="1:8" x14ac:dyDescent="0.3">
      <c r="A5796" t="s">
        <v>48</v>
      </c>
      <c r="B5796" s="1">
        <v>40732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</row>
    <row r="5797" spans="1:8" x14ac:dyDescent="0.3">
      <c r="A5797" t="s">
        <v>48</v>
      </c>
      <c r="B5797" s="1">
        <v>40739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</row>
    <row r="5798" spans="1:8" x14ac:dyDescent="0.3">
      <c r="A5798" t="s">
        <v>48</v>
      </c>
      <c r="B5798" s="1">
        <v>40746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</row>
    <row r="5799" spans="1:8" x14ac:dyDescent="0.3">
      <c r="A5799" t="s">
        <v>48</v>
      </c>
      <c r="B5799" s="1">
        <v>40753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</row>
    <row r="5800" spans="1:8" x14ac:dyDescent="0.3">
      <c r="A5800" t="s">
        <v>48</v>
      </c>
      <c r="B5800" s="1">
        <v>40760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</row>
    <row r="5801" spans="1:8" x14ac:dyDescent="0.3">
      <c r="A5801" t="s">
        <v>48</v>
      </c>
      <c r="B5801" s="1">
        <v>40767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</row>
    <row r="5802" spans="1:8" x14ac:dyDescent="0.3">
      <c r="A5802" t="s">
        <v>48</v>
      </c>
      <c r="B5802" s="1">
        <v>40774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</row>
    <row r="5803" spans="1:8" x14ac:dyDescent="0.3">
      <c r="A5803" t="s">
        <v>48</v>
      </c>
      <c r="B5803" s="1">
        <v>40781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</row>
    <row r="5804" spans="1:8" x14ac:dyDescent="0.3">
      <c r="A5804" t="s">
        <v>48</v>
      </c>
      <c r="B5804" s="1">
        <v>40788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</row>
    <row r="5805" spans="1:8" x14ac:dyDescent="0.3">
      <c r="A5805" t="s">
        <v>48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</row>
    <row r="5806" spans="1:8" x14ac:dyDescent="0.3">
      <c r="A5806" t="s">
        <v>48</v>
      </c>
      <c r="B5806" s="1">
        <v>40802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</row>
    <row r="5807" spans="1:8" x14ac:dyDescent="0.3">
      <c r="A5807" t="s">
        <v>48</v>
      </c>
      <c r="B5807" s="1">
        <v>40809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</row>
    <row r="5808" spans="1:8" x14ac:dyDescent="0.3">
      <c r="A5808" t="s">
        <v>48</v>
      </c>
      <c r="B5808" s="1">
        <v>40816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</row>
    <row r="5809" spans="1:8" x14ac:dyDescent="0.3">
      <c r="A5809" t="s">
        <v>48</v>
      </c>
      <c r="B5809" s="1">
        <v>40823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</row>
    <row r="5810" spans="1:8" x14ac:dyDescent="0.3">
      <c r="A5810" t="s">
        <v>48</v>
      </c>
      <c r="B5810" s="1">
        <v>40830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</row>
    <row r="5811" spans="1:8" x14ac:dyDescent="0.3">
      <c r="A5811" t="s">
        <v>48</v>
      </c>
      <c r="B5811" s="1">
        <v>40837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</row>
    <row r="5812" spans="1:8" x14ac:dyDescent="0.3">
      <c r="A5812" t="s">
        <v>48</v>
      </c>
      <c r="B5812" s="1">
        <v>40844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</row>
    <row r="5813" spans="1:8" x14ac:dyDescent="0.3">
      <c r="A5813" t="s">
        <v>48</v>
      </c>
      <c r="B5813" s="1">
        <v>40851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</row>
    <row r="5814" spans="1:8" x14ac:dyDescent="0.3">
      <c r="A5814" t="s">
        <v>48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</row>
    <row r="5815" spans="1:8" x14ac:dyDescent="0.3">
      <c r="A5815" t="s">
        <v>48</v>
      </c>
      <c r="B5815" s="1">
        <v>40865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</row>
    <row r="5816" spans="1:8" x14ac:dyDescent="0.3">
      <c r="A5816" t="s">
        <v>48</v>
      </c>
      <c r="B5816" s="1">
        <v>40872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</row>
    <row r="5817" spans="1:8" x14ac:dyDescent="0.3">
      <c r="A5817" t="s">
        <v>48</v>
      </c>
      <c r="B5817" s="1">
        <v>40879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</row>
    <row r="5818" spans="1:8" x14ac:dyDescent="0.3">
      <c r="A5818" t="s">
        <v>48</v>
      </c>
      <c r="B5818" s="1">
        <v>40886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</row>
    <row r="5819" spans="1:8" x14ac:dyDescent="0.3">
      <c r="A5819" t="s">
        <v>48</v>
      </c>
      <c r="B5819" s="1">
        <v>40893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</row>
    <row r="5820" spans="1:8" x14ac:dyDescent="0.3">
      <c r="A5820" t="s">
        <v>48</v>
      </c>
      <c r="B5820" s="1">
        <v>40900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</row>
    <row r="5821" spans="1:8" x14ac:dyDescent="0.3">
      <c r="A5821" t="s">
        <v>48</v>
      </c>
      <c r="B5821" s="1">
        <v>40907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</row>
    <row r="5822" spans="1:8" x14ac:dyDescent="0.3">
      <c r="A5822" t="s">
        <v>48</v>
      </c>
      <c r="B5822" s="1">
        <v>40914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</row>
    <row r="5823" spans="1:8" x14ac:dyDescent="0.3">
      <c r="A5823" t="s">
        <v>48</v>
      </c>
      <c r="B5823" s="1">
        <v>40921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</row>
    <row r="5824" spans="1:8" x14ac:dyDescent="0.3">
      <c r="A5824" t="s">
        <v>48</v>
      </c>
      <c r="B5824" s="1">
        <v>40928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</row>
    <row r="5825" spans="1:8" x14ac:dyDescent="0.3">
      <c r="A5825" t="s">
        <v>48</v>
      </c>
      <c r="B5825" s="1">
        <v>40935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</row>
    <row r="5826" spans="1:8" x14ac:dyDescent="0.3">
      <c r="A5826" t="s">
        <v>48</v>
      </c>
      <c r="B5826" s="1">
        <v>40942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</row>
    <row r="5827" spans="1:8" x14ac:dyDescent="0.3">
      <c r="A5827" t="s">
        <v>48</v>
      </c>
      <c r="B5827" s="1">
        <v>40949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</row>
    <row r="5828" spans="1:8" x14ac:dyDescent="0.3">
      <c r="A5828" t="s">
        <v>48</v>
      </c>
      <c r="B5828" s="1">
        <v>40956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</row>
    <row r="5829" spans="1:8" x14ac:dyDescent="0.3">
      <c r="A5829" t="s">
        <v>48</v>
      </c>
      <c r="B5829" s="1">
        <v>40963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</row>
    <row r="5830" spans="1:8" x14ac:dyDescent="0.3">
      <c r="A5830" t="s">
        <v>48</v>
      </c>
      <c r="B5830" s="1">
        <v>40970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</row>
    <row r="5831" spans="1:8" x14ac:dyDescent="0.3">
      <c r="A5831" t="s">
        <v>48</v>
      </c>
      <c r="B5831" s="1">
        <v>40977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</row>
    <row r="5832" spans="1:8" x14ac:dyDescent="0.3">
      <c r="A5832" t="s">
        <v>48</v>
      </c>
      <c r="B5832" s="1">
        <v>40984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</row>
    <row r="5833" spans="1:8" x14ac:dyDescent="0.3">
      <c r="A5833" t="s">
        <v>48</v>
      </c>
      <c r="B5833" s="1">
        <v>40991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</row>
    <row r="5834" spans="1:8" x14ac:dyDescent="0.3">
      <c r="A5834" t="s">
        <v>48</v>
      </c>
      <c r="B5834" s="1">
        <v>40998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</row>
    <row r="5835" spans="1:8" x14ac:dyDescent="0.3">
      <c r="A5835" t="s">
        <v>48</v>
      </c>
      <c r="B5835" s="1">
        <v>41005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</row>
    <row r="5836" spans="1:8" x14ac:dyDescent="0.3">
      <c r="A5836" t="s">
        <v>48</v>
      </c>
      <c r="B5836" s="1">
        <v>41012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</row>
    <row r="5837" spans="1:8" x14ac:dyDescent="0.3">
      <c r="A5837" t="s">
        <v>48</v>
      </c>
      <c r="B5837" s="1">
        <v>41019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</row>
    <row r="5838" spans="1:8" x14ac:dyDescent="0.3">
      <c r="A5838" t="s">
        <v>48</v>
      </c>
      <c r="B5838" s="1">
        <v>41026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</row>
    <row r="5839" spans="1:8" x14ac:dyDescent="0.3">
      <c r="A5839" t="s">
        <v>48</v>
      </c>
      <c r="B5839" s="1">
        <v>41033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</row>
    <row r="5840" spans="1:8" x14ac:dyDescent="0.3">
      <c r="A5840" t="s">
        <v>48</v>
      </c>
      <c r="B5840" s="1">
        <v>41040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</row>
    <row r="5841" spans="1:8" x14ac:dyDescent="0.3">
      <c r="A5841" t="s">
        <v>48</v>
      </c>
      <c r="B5841" s="1">
        <v>41047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</row>
    <row r="5842" spans="1:8" x14ac:dyDescent="0.3">
      <c r="A5842" t="s">
        <v>48</v>
      </c>
      <c r="B5842" s="1">
        <v>41054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</row>
    <row r="5843" spans="1:8" x14ac:dyDescent="0.3">
      <c r="A5843" t="s">
        <v>48</v>
      </c>
      <c r="B5843" s="1">
        <v>41061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</row>
    <row r="5844" spans="1:8" x14ac:dyDescent="0.3">
      <c r="A5844" t="s">
        <v>48</v>
      </c>
      <c r="B5844" s="1">
        <v>41068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</row>
    <row r="5845" spans="1:8" x14ac:dyDescent="0.3">
      <c r="A5845" t="s">
        <v>48</v>
      </c>
      <c r="B5845" s="1">
        <v>41075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</row>
    <row r="5846" spans="1:8" x14ac:dyDescent="0.3">
      <c r="A5846" t="s">
        <v>48</v>
      </c>
      <c r="B5846" s="1">
        <v>41082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</row>
    <row r="5847" spans="1:8" x14ac:dyDescent="0.3">
      <c r="A5847" t="s">
        <v>48</v>
      </c>
      <c r="B5847" s="1">
        <v>41089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</row>
    <row r="5848" spans="1:8" x14ac:dyDescent="0.3">
      <c r="A5848" t="s">
        <v>48</v>
      </c>
      <c r="B5848" s="1">
        <v>41096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</row>
    <row r="5849" spans="1:8" x14ac:dyDescent="0.3">
      <c r="A5849" t="s">
        <v>48</v>
      </c>
      <c r="B5849" s="1">
        <v>41103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</row>
    <row r="5850" spans="1:8" x14ac:dyDescent="0.3">
      <c r="A5850" t="s">
        <v>48</v>
      </c>
      <c r="B5850" s="1">
        <v>41110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</row>
    <row r="5851" spans="1:8" x14ac:dyDescent="0.3">
      <c r="A5851" t="s">
        <v>48</v>
      </c>
      <c r="B5851" s="1">
        <v>41117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</row>
    <row r="5852" spans="1:8" x14ac:dyDescent="0.3">
      <c r="A5852" t="s">
        <v>48</v>
      </c>
      <c r="B5852" s="1">
        <v>41124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</row>
    <row r="5853" spans="1:8" x14ac:dyDescent="0.3">
      <c r="A5853" t="s">
        <v>48</v>
      </c>
      <c r="B5853" s="1">
        <v>41131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</row>
    <row r="5854" spans="1:8" x14ac:dyDescent="0.3">
      <c r="A5854" t="s">
        <v>48</v>
      </c>
      <c r="B5854" s="1">
        <v>41138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</row>
    <row r="5855" spans="1:8" x14ac:dyDescent="0.3">
      <c r="A5855" t="s">
        <v>48</v>
      </c>
      <c r="B5855" s="1">
        <v>41145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</row>
    <row r="5856" spans="1:8" x14ac:dyDescent="0.3">
      <c r="A5856" t="s">
        <v>48</v>
      </c>
      <c r="B5856" s="1">
        <v>41152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</row>
    <row r="5857" spans="1:8" x14ac:dyDescent="0.3">
      <c r="A5857" t="s">
        <v>48</v>
      </c>
      <c r="B5857" s="1">
        <v>41159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</row>
    <row r="5858" spans="1:8" x14ac:dyDescent="0.3">
      <c r="A5858" t="s">
        <v>48</v>
      </c>
      <c r="B5858" s="1">
        <v>41166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</row>
    <row r="5859" spans="1:8" x14ac:dyDescent="0.3">
      <c r="A5859" t="s">
        <v>48</v>
      </c>
      <c r="B5859" s="1">
        <v>41173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</row>
    <row r="5860" spans="1:8" x14ac:dyDescent="0.3">
      <c r="A5860" t="s">
        <v>48</v>
      </c>
      <c r="B5860" s="1">
        <v>41180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</row>
    <row r="5861" spans="1:8" x14ac:dyDescent="0.3">
      <c r="A5861" t="s">
        <v>48</v>
      </c>
      <c r="B5861" s="1">
        <v>41187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</row>
    <row r="5862" spans="1:8" x14ac:dyDescent="0.3">
      <c r="A5862" t="s">
        <v>48</v>
      </c>
      <c r="B5862" s="1">
        <v>41194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</row>
    <row r="5863" spans="1:8" x14ac:dyDescent="0.3">
      <c r="A5863" t="s">
        <v>48</v>
      </c>
      <c r="B5863" s="1">
        <v>41201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</row>
    <row r="5864" spans="1:8" x14ac:dyDescent="0.3">
      <c r="A5864" t="s">
        <v>48</v>
      </c>
      <c r="B5864" s="1">
        <v>41208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</row>
    <row r="5865" spans="1:8" x14ac:dyDescent="0.3">
      <c r="A5865" t="s">
        <v>49</v>
      </c>
      <c r="B5865" s="1">
        <v>40214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</row>
    <row r="5866" spans="1:8" x14ac:dyDescent="0.3">
      <c r="A5866" t="s">
        <v>49</v>
      </c>
      <c r="B5866" s="1">
        <v>40221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</row>
    <row r="5867" spans="1:8" x14ac:dyDescent="0.3">
      <c r="A5867" t="s">
        <v>49</v>
      </c>
      <c r="B5867" s="1">
        <v>40228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</row>
    <row r="5868" spans="1:8" x14ac:dyDescent="0.3">
      <c r="A5868" t="s">
        <v>49</v>
      </c>
      <c r="B5868" s="1">
        <v>40235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</row>
    <row r="5869" spans="1:8" x14ac:dyDescent="0.3">
      <c r="A5869" t="s">
        <v>49</v>
      </c>
      <c r="B5869" s="1">
        <v>40242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</row>
    <row r="5870" spans="1:8" x14ac:dyDescent="0.3">
      <c r="A5870" t="s">
        <v>49</v>
      </c>
      <c r="B5870" s="1">
        <v>40249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</row>
    <row r="5871" spans="1:8" x14ac:dyDescent="0.3">
      <c r="A5871" t="s">
        <v>49</v>
      </c>
      <c r="B5871" s="1">
        <v>40256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</row>
    <row r="5872" spans="1:8" x14ac:dyDescent="0.3">
      <c r="A5872" t="s">
        <v>49</v>
      </c>
      <c r="B5872" s="1">
        <v>40263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</row>
    <row r="5873" spans="1:8" x14ac:dyDescent="0.3">
      <c r="A5873" t="s">
        <v>49</v>
      </c>
      <c r="B5873" s="1">
        <v>40270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</row>
    <row r="5874" spans="1:8" x14ac:dyDescent="0.3">
      <c r="A5874" t="s">
        <v>49</v>
      </c>
      <c r="B5874" s="1">
        <v>40277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</row>
    <row r="5875" spans="1:8" x14ac:dyDescent="0.3">
      <c r="A5875" t="s">
        <v>49</v>
      </c>
      <c r="B5875" s="1">
        <v>40284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</row>
    <row r="5876" spans="1:8" x14ac:dyDescent="0.3">
      <c r="A5876" t="s">
        <v>49</v>
      </c>
      <c r="B5876" s="1">
        <v>40291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</row>
    <row r="5877" spans="1:8" x14ac:dyDescent="0.3">
      <c r="A5877" t="s">
        <v>49</v>
      </c>
      <c r="B5877" s="1">
        <v>40298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</row>
    <row r="5878" spans="1:8" x14ac:dyDescent="0.3">
      <c r="A5878" t="s">
        <v>49</v>
      </c>
      <c r="B5878" s="1">
        <v>40305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</row>
    <row r="5879" spans="1:8" x14ac:dyDescent="0.3">
      <c r="A5879" t="s">
        <v>49</v>
      </c>
      <c r="B5879" s="1">
        <v>40312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</row>
    <row r="5880" spans="1:8" x14ac:dyDescent="0.3">
      <c r="A5880" t="s">
        <v>49</v>
      </c>
      <c r="B5880" s="1">
        <v>40319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</row>
    <row r="5881" spans="1:8" x14ac:dyDescent="0.3">
      <c r="A5881" t="s">
        <v>49</v>
      </c>
      <c r="B5881" s="1">
        <v>40326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</row>
    <row r="5882" spans="1:8" x14ac:dyDescent="0.3">
      <c r="A5882" t="s">
        <v>49</v>
      </c>
      <c r="B5882" s="1">
        <v>40333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</row>
    <row r="5883" spans="1:8" x14ac:dyDescent="0.3">
      <c r="A5883" t="s">
        <v>49</v>
      </c>
      <c r="B5883" s="1">
        <v>40340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</row>
    <row r="5884" spans="1:8" x14ac:dyDescent="0.3">
      <c r="A5884" t="s">
        <v>49</v>
      </c>
      <c r="B5884" s="1">
        <v>40347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</row>
    <row r="5885" spans="1:8" x14ac:dyDescent="0.3">
      <c r="A5885" t="s">
        <v>49</v>
      </c>
      <c r="B5885" s="1">
        <v>40354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</row>
    <row r="5886" spans="1:8" x14ac:dyDescent="0.3">
      <c r="A5886" t="s">
        <v>49</v>
      </c>
      <c r="B5886" s="1">
        <v>40361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</row>
    <row r="5887" spans="1:8" x14ac:dyDescent="0.3">
      <c r="A5887" t="s">
        <v>49</v>
      </c>
      <c r="B5887" s="1">
        <v>40368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</row>
    <row r="5888" spans="1:8" x14ac:dyDescent="0.3">
      <c r="A5888" t="s">
        <v>49</v>
      </c>
      <c r="B5888" s="1">
        <v>40375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</row>
    <row r="5889" spans="1:8" x14ac:dyDescent="0.3">
      <c r="A5889" t="s">
        <v>49</v>
      </c>
      <c r="B5889" s="1">
        <v>40382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</row>
    <row r="5890" spans="1:8" x14ac:dyDescent="0.3">
      <c r="A5890" t="s">
        <v>49</v>
      </c>
      <c r="B5890" s="1">
        <v>40389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</row>
    <row r="5891" spans="1:8" x14ac:dyDescent="0.3">
      <c r="A5891" t="s">
        <v>49</v>
      </c>
      <c r="B5891" s="1">
        <v>40396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</row>
    <row r="5892" spans="1:8" x14ac:dyDescent="0.3">
      <c r="A5892" t="s">
        <v>49</v>
      </c>
      <c r="B5892" s="1">
        <v>40403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</row>
    <row r="5893" spans="1:8" x14ac:dyDescent="0.3">
      <c r="A5893" t="s">
        <v>49</v>
      </c>
      <c r="B5893" s="1">
        <v>40410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</row>
    <row r="5894" spans="1:8" x14ac:dyDescent="0.3">
      <c r="A5894" t="s">
        <v>49</v>
      </c>
      <c r="B5894" s="1">
        <v>40417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</row>
    <row r="5895" spans="1:8" x14ac:dyDescent="0.3">
      <c r="A5895" t="s">
        <v>49</v>
      </c>
      <c r="B5895" s="1">
        <v>40424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</row>
    <row r="5896" spans="1:8" x14ac:dyDescent="0.3">
      <c r="A5896" t="s">
        <v>49</v>
      </c>
      <c r="B5896" s="1">
        <v>40431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</row>
    <row r="5897" spans="1:8" x14ac:dyDescent="0.3">
      <c r="A5897" t="s">
        <v>49</v>
      </c>
      <c r="B5897" s="1">
        <v>40438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</row>
    <row r="5898" spans="1:8" x14ac:dyDescent="0.3">
      <c r="A5898" t="s">
        <v>49</v>
      </c>
      <c r="B5898" s="1">
        <v>40445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</row>
    <row r="5899" spans="1:8" x14ac:dyDescent="0.3">
      <c r="A5899" t="s">
        <v>49</v>
      </c>
      <c r="B5899" s="1">
        <v>40452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</row>
    <row r="5900" spans="1:8" x14ac:dyDescent="0.3">
      <c r="A5900" t="s">
        <v>49</v>
      </c>
      <c r="B5900" s="1">
        <v>40459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</row>
    <row r="5901" spans="1:8" x14ac:dyDescent="0.3">
      <c r="A5901" t="s">
        <v>49</v>
      </c>
      <c r="B5901" s="1">
        <v>40466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</row>
    <row r="5902" spans="1:8" x14ac:dyDescent="0.3">
      <c r="A5902" t="s">
        <v>49</v>
      </c>
      <c r="B5902" s="1">
        <v>40473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</row>
    <row r="5903" spans="1:8" x14ac:dyDescent="0.3">
      <c r="A5903" t="s">
        <v>49</v>
      </c>
      <c r="B5903" s="1">
        <v>40480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</row>
    <row r="5904" spans="1:8" x14ac:dyDescent="0.3">
      <c r="A5904" t="s">
        <v>49</v>
      </c>
      <c r="B5904" s="1">
        <v>40487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</row>
    <row r="5905" spans="1:8" x14ac:dyDescent="0.3">
      <c r="A5905" t="s">
        <v>49</v>
      </c>
      <c r="B5905" s="1">
        <v>40494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</row>
    <row r="5906" spans="1:8" x14ac:dyDescent="0.3">
      <c r="A5906" t="s">
        <v>49</v>
      </c>
      <c r="B5906" s="1">
        <v>40501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</row>
    <row r="5907" spans="1:8" x14ac:dyDescent="0.3">
      <c r="A5907" t="s">
        <v>49</v>
      </c>
      <c r="B5907" s="1">
        <v>40508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</row>
    <row r="5908" spans="1:8" x14ac:dyDescent="0.3">
      <c r="A5908" t="s">
        <v>49</v>
      </c>
      <c r="B5908" s="1">
        <v>40515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</row>
    <row r="5909" spans="1:8" x14ac:dyDescent="0.3">
      <c r="A5909" t="s">
        <v>49</v>
      </c>
      <c r="B5909" s="1">
        <v>40522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</row>
    <row r="5910" spans="1:8" x14ac:dyDescent="0.3">
      <c r="A5910" t="s">
        <v>49</v>
      </c>
      <c r="B5910" s="1">
        <v>40529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</row>
    <row r="5911" spans="1:8" x14ac:dyDescent="0.3">
      <c r="A5911" t="s">
        <v>49</v>
      </c>
      <c r="B5911" s="1">
        <v>40536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</row>
    <row r="5912" spans="1:8" x14ac:dyDescent="0.3">
      <c r="A5912" t="s">
        <v>49</v>
      </c>
      <c r="B5912" s="1">
        <v>40543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</row>
    <row r="5913" spans="1:8" x14ac:dyDescent="0.3">
      <c r="A5913" t="s">
        <v>49</v>
      </c>
      <c r="B5913" s="1">
        <v>40550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</row>
    <row r="5914" spans="1:8" x14ac:dyDescent="0.3">
      <c r="A5914" t="s">
        <v>49</v>
      </c>
      <c r="B5914" s="1">
        <v>40557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</row>
    <row r="5915" spans="1:8" x14ac:dyDescent="0.3">
      <c r="A5915" t="s">
        <v>49</v>
      </c>
      <c r="B5915" s="1">
        <v>40564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</row>
    <row r="5916" spans="1:8" x14ac:dyDescent="0.3">
      <c r="A5916" t="s">
        <v>49</v>
      </c>
      <c r="B5916" s="1">
        <v>40571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</row>
    <row r="5917" spans="1:8" x14ac:dyDescent="0.3">
      <c r="A5917" t="s">
        <v>49</v>
      </c>
      <c r="B5917" s="1">
        <v>40578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</row>
    <row r="5918" spans="1:8" x14ac:dyDescent="0.3">
      <c r="A5918" t="s">
        <v>49</v>
      </c>
      <c r="B5918" s="1">
        <v>40585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</row>
    <row r="5919" spans="1:8" x14ac:dyDescent="0.3">
      <c r="A5919" t="s">
        <v>49</v>
      </c>
      <c r="B5919" s="1">
        <v>40592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</row>
    <row r="5920" spans="1:8" x14ac:dyDescent="0.3">
      <c r="A5920" t="s">
        <v>49</v>
      </c>
      <c r="B5920" s="1">
        <v>40599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</row>
    <row r="5921" spans="1:8" x14ac:dyDescent="0.3">
      <c r="A5921" t="s">
        <v>49</v>
      </c>
      <c r="B5921" s="1">
        <v>40606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</row>
    <row r="5922" spans="1:8" x14ac:dyDescent="0.3">
      <c r="A5922" t="s">
        <v>49</v>
      </c>
      <c r="B5922" s="1">
        <v>40613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</row>
    <row r="5923" spans="1:8" x14ac:dyDescent="0.3">
      <c r="A5923" t="s">
        <v>49</v>
      </c>
      <c r="B5923" s="1">
        <v>40620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</row>
    <row r="5924" spans="1:8" x14ac:dyDescent="0.3">
      <c r="A5924" t="s">
        <v>49</v>
      </c>
      <c r="B5924" s="1">
        <v>40627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</row>
    <row r="5925" spans="1:8" x14ac:dyDescent="0.3">
      <c r="A5925" t="s">
        <v>49</v>
      </c>
      <c r="B5925" s="1">
        <v>40634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</row>
    <row r="5926" spans="1:8" x14ac:dyDescent="0.3">
      <c r="A5926" t="s">
        <v>49</v>
      </c>
      <c r="B5926" s="1">
        <v>40641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</row>
    <row r="5927" spans="1:8" x14ac:dyDescent="0.3">
      <c r="A5927" t="s">
        <v>49</v>
      </c>
      <c r="B5927" s="1">
        <v>40648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</row>
    <row r="5928" spans="1:8" x14ac:dyDescent="0.3">
      <c r="A5928" t="s">
        <v>49</v>
      </c>
      <c r="B5928" s="1">
        <v>40655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</row>
    <row r="5929" spans="1:8" x14ac:dyDescent="0.3">
      <c r="A5929" t="s">
        <v>49</v>
      </c>
      <c r="B5929" s="1">
        <v>40662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</row>
    <row r="5930" spans="1:8" x14ac:dyDescent="0.3">
      <c r="A5930" t="s">
        <v>49</v>
      </c>
      <c r="B5930" s="1">
        <v>40669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</row>
    <row r="5931" spans="1:8" x14ac:dyDescent="0.3">
      <c r="A5931" t="s">
        <v>49</v>
      </c>
      <c r="B5931" s="1">
        <v>40676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</row>
    <row r="5932" spans="1:8" x14ac:dyDescent="0.3">
      <c r="A5932" t="s">
        <v>49</v>
      </c>
      <c r="B5932" s="1">
        <v>40683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</row>
    <row r="5933" spans="1:8" x14ac:dyDescent="0.3">
      <c r="A5933" t="s">
        <v>49</v>
      </c>
      <c r="B5933" s="1">
        <v>40690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</row>
    <row r="5934" spans="1:8" x14ac:dyDescent="0.3">
      <c r="A5934" t="s">
        <v>49</v>
      </c>
      <c r="B5934" s="1">
        <v>40697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</row>
    <row r="5935" spans="1:8" x14ac:dyDescent="0.3">
      <c r="A5935" t="s">
        <v>49</v>
      </c>
      <c r="B5935" s="1">
        <v>40704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</row>
    <row r="5936" spans="1:8" x14ac:dyDescent="0.3">
      <c r="A5936" t="s">
        <v>49</v>
      </c>
      <c r="B5936" s="1">
        <v>40711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</row>
    <row r="5937" spans="1:8" x14ac:dyDescent="0.3">
      <c r="A5937" t="s">
        <v>49</v>
      </c>
      <c r="B5937" s="1">
        <v>40718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</row>
    <row r="5938" spans="1:8" x14ac:dyDescent="0.3">
      <c r="A5938" t="s">
        <v>49</v>
      </c>
      <c r="B5938" s="1">
        <v>40725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</row>
    <row r="5939" spans="1:8" x14ac:dyDescent="0.3">
      <c r="A5939" t="s">
        <v>49</v>
      </c>
      <c r="B5939" s="1">
        <v>40732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</row>
    <row r="5940" spans="1:8" x14ac:dyDescent="0.3">
      <c r="A5940" t="s">
        <v>49</v>
      </c>
      <c r="B5940" s="1">
        <v>40739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</row>
    <row r="5941" spans="1:8" x14ac:dyDescent="0.3">
      <c r="A5941" t="s">
        <v>49</v>
      </c>
      <c r="B5941" s="1">
        <v>40746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</row>
    <row r="5942" spans="1:8" x14ac:dyDescent="0.3">
      <c r="A5942" t="s">
        <v>49</v>
      </c>
      <c r="B5942" s="1">
        <v>40753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</row>
    <row r="5943" spans="1:8" x14ac:dyDescent="0.3">
      <c r="A5943" t="s">
        <v>49</v>
      </c>
      <c r="B5943" s="1">
        <v>40760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</row>
    <row r="5944" spans="1:8" x14ac:dyDescent="0.3">
      <c r="A5944" t="s">
        <v>49</v>
      </c>
      <c r="B5944" s="1">
        <v>40767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</row>
    <row r="5945" spans="1:8" x14ac:dyDescent="0.3">
      <c r="A5945" t="s">
        <v>49</v>
      </c>
      <c r="B5945" s="1">
        <v>40774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</row>
    <row r="5946" spans="1:8" x14ac:dyDescent="0.3">
      <c r="A5946" t="s">
        <v>49</v>
      </c>
      <c r="B5946" s="1">
        <v>40781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</row>
    <row r="5947" spans="1:8" x14ac:dyDescent="0.3">
      <c r="A5947" t="s">
        <v>49</v>
      </c>
      <c r="B5947" s="1">
        <v>40788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</row>
    <row r="5948" spans="1:8" x14ac:dyDescent="0.3">
      <c r="A5948" t="s">
        <v>49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</row>
    <row r="5949" spans="1:8" x14ac:dyDescent="0.3">
      <c r="A5949" t="s">
        <v>49</v>
      </c>
      <c r="B5949" s="1">
        <v>40802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</row>
    <row r="5950" spans="1:8" x14ac:dyDescent="0.3">
      <c r="A5950" t="s">
        <v>49</v>
      </c>
      <c r="B5950" s="1">
        <v>40809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</row>
    <row r="5951" spans="1:8" x14ac:dyDescent="0.3">
      <c r="A5951" t="s">
        <v>49</v>
      </c>
      <c r="B5951" s="1">
        <v>40816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</row>
    <row r="5952" spans="1:8" x14ac:dyDescent="0.3">
      <c r="A5952" t="s">
        <v>49</v>
      </c>
      <c r="B5952" s="1">
        <v>40823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</row>
    <row r="5953" spans="1:8" x14ac:dyDescent="0.3">
      <c r="A5953" t="s">
        <v>49</v>
      </c>
      <c r="B5953" s="1">
        <v>40830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</row>
    <row r="5954" spans="1:8" x14ac:dyDescent="0.3">
      <c r="A5954" t="s">
        <v>49</v>
      </c>
      <c r="B5954" s="1">
        <v>40837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</row>
    <row r="5955" spans="1:8" x14ac:dyDescent="0.3">
      <c r="A5955" t="s">
        <v>49</v>
      </c>
      <c r="B5955" s="1">
        <v>40844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</row>
    <row r="5956" spans="1:8" x14ac:dyDescent="0.3">
      <c r="A5956" t="s">
        <v>49</v>
      </c>
      <c r="B5956" s="1">
        <v>40851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</row>
    <row r="5957" spans="1:8" x14ac:dyDescent="0.3">
      <c r="A5957" t="s">
        <v>49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</row>
    <row r="5958" spans="1:8" x14ac:dyDescent="0.3">
      <c r="A5958" t="s">
        <v>49</v>
      </c>
      <c r="B5958" s="1">
        <v>40865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</row>
    <row r="5959" spans="1:8" x14ac:dyDescent="0.3">
      <c r="A5959" t="s">
        <v>49</v>
      </c>
      <c r="B5959" s="1">
        <v>40872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</row>
    <row r="5960" spans="1:8" x14ac:dyDescent="0.3">
      <c r="A5960" t="s">
        <v>49</v>
      </c>
      <c r="B5960" s="1">
        <v>40879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</row>
    <row r="5961" spans="1:8" x14ac:dyDescent="0.3">
      <c r="A5961" t="s">
        <v>49</v>
      </c>
      <c r="B5961" s="1">
        <v>40886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</row>
    <row r="5962" spans="1:8" x14ac:dyDescent="0.3">
      <c r="A5962" t="s">
        <v>49</v>
      </c>
      <c r="B5962" s="1">
        <v>40893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</row>
    <row r="5963" spans="1:8" x14ac:dyDescent="0.3">
      <c r="A5963" t="s">
        <v>49</v>
      </c>
      <c r="B5963" s="1">
        <v>40900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</row>
    <row r="5964" spans="1:8" x14ac:dyDescent="0.3">
      <c r="A5964" t="s">
        <v>49</v>
      </c>
      <c r="B5964" s="1">
        <v>40907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</row>
    <row r="5965" spans="1:8" x14ac:dyDescent="0.3">
      <c r="A5965" t="s">
        <v>49</v>
      </c>
      <c r="B5965" s="1">
        <v>40914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</row>
    <row r="5966" spans="1:8" x14ac:dyDescent="0.3">
      <c r="A5966" t="s">
        <v>49</v>
      </c>
      <c r="B5966" s="1">
        <v>40921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</row>
    <row r="5967" spans="1:8" x14ac:dyDescent="0.3">
      <c r="A5967" t="s">
        <v>49</v>
      </c>
      <c r="B5967" s="1">
        <v>40928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</row>
    <row r="5968" spans="1:8" x14ac:dyDescent="0.3">
      <c r="A5968" t="s">
        <v>49</v>
      </c>
      <c r="B5968" s="1">
        <v>40935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</row>
    <row r="5969" spans="1:8" x14ac:dyDescent="0.3">
      <c r="A5969" t="s">
        <v>49</v>
      </c>
      <c r="B5969" s="1">
        <v>40942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</row>
    <row r="5970" spans="1:8" x14ac:dyDescent="0.3">
      <c r="A5970" t="s">
        <v>49</v>
      </c>
      <c r="B5970" s="1">
        <v>40949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</row>
    <row r="5971" spans="1:8" x14ac:dyDescent="0.3">
      <c r="A5971" t="s">
        <v>49</v>
      </c>
      <c r="B5971" s="1">
        <v>40956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</row>
    <row r="5972" spans="1:8" x14ac:dyDescent="0.3">
      <c r="A5972" t="s">
        <v>49</v>
      </c>
      <c r="B5972" s="1">
        <v>40963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</row>
    <row r="5973" spans="1:8" x14ac:dyDescent="0.3">
      <c r="A5973" t="s">
        <v>49</v>
      </c>
      <c r="B5973" s="1">
        <v>40970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</row>
    <row r="5974" spans="1:8" x14ac:dyDescent="0.3">
      <c r="A5974" t="s">
        <v>49</v>
      </c>
      <c r="B5974" s="1">
        <v>40977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</row>
    <row r="5975" spans="1:8" x14ac:dyDescent="0.3">
      <c r="A5975" t="s">
        <v>49</v>
      </c>
      <c r="B5975" s="1">
        <v>40984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</row>
    <row r="5976" spans="1:8" x14ac:dyDescent="0.3">
      <c r="A5976" t="s">
        <v>49</v>
      </c>
      <c r="B5976" s="1">
        <v>40991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</row>
    <row r="5977" spans="1:8" x14ac:dyDescent="0.3">
      <c r="A5977" t="s">
        <v>49</v>
      </c>
      <c r="B5977" s="1">
        <v>40998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</row>
    <row r="5978" spans="1:8" x14ac:dyDescent="0.3">
      <c r="A5978" t="s">
        <v>49</v>
      </c>
      <c r="B5978" s="1">
        <v>41005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</row>
    <row r="5979" spans="1:8" x14ac:dyDescent="0.3">
      <c r="A5979" t="s">
        <v>49</v>
      </c>
      <c r="B5979" s="1">
        <v>41012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</row>
    <row r="5980" spans="1:8" x14ac:dyDescent="0.3">
      <c r="A5980" t="s">
        <v>49</v>
      </c>
      <c r="B5980" s="1">
        <v>41019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</row>
    <row r="5981" spans="1:8" x14ac:dyDescent="0.3">
      <c r="A5981" t="s">
        <v>49</v>
      </c>
      <c r="B5981" s="1">
        <v>41026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</row>
    <row r="5982" spans="1:8" x14ac:dyDescent="0.3">
      <c r="A5982" t="s">
        <v>49</v>
      </c>
      <c r="B5982" s="1">
        <v>41033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</row>
    <row r="5983" spans="1:8" x14ac:dyDescent="0.3">
      <c r="A5983" t="s">
        <v>49</v>
      </c>
      <c r="B5983" s="1">
        <v>41040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</row>
    <row r="5984" spans="1:8" x14ac:dyDescent="0.3">
      <c r="A5984" t="s">
        <v>49</v>
      </c>
      <c r="B5984" s="1">
        <v>41047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</row>
    <row r="5985" spans="1:8" x14ac:dyDescent="0.3">
      <c r="A5985" t="s">
        <v>49</v>
      </c>
      <c r="B5985" s="1">
        <v>41054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</row>
    <row r="5986" spans="1:8" x14ac:dyDescent="0.3">
      <c r="A5986" t="s">
        <v>49</v>
      </c>
      <c r="B5986" s="1">
        <v>41061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</row>
    <row r="5987" spans="1:8" x14ac:dyDescent="0.3">
      <c r="A5987" t="s">
        <v>49</v>
      </c>
      <c r="B5987" s="1">
        <v>41068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</row>
    <row r="5988" spans="1:8" x14ac:dyDescent="0.3">
      <c r="A5988" t="s">
        <v>49</v>
      </c>
      <c r="B5988" s="1">
        <v>41075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</row>
    <row r="5989" spans="1:8" x14ac:dyDescent="0.3">
      <c r="A5989" t="s">
        <v>49</v>
      </c>
      <c r="B5989" s="1">
        <v>41082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</row>
    <row r="5990" spans="1:8" x14ac:dyDescent="0.3">
      <c r="A5990" t="s">
        <v>49</v>
      </c>
      <c r="B5990" s="1">
        <v>41089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</row>
    <row r="5991" spans="1:8" x14ac:dyDescent="0.3">
      <c r="A5991" t="s">
        <v>49</v>
      </c>
      <c r="B5991" s="1">
        <v>41096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</row>
    <row r="5992" spans="1:8" x14ac:dyDescent="0.3">
      <c r="A5992" t="s">
        <v>49</v>
      </c>
      <c r="B5992" s="1">
        <v>41103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</row>
    <row r="5993" spans="1:8" x14ac:dyDescent="0.3">
      <c r="A5993" t="s">
        <v>49</v>
      </c>
      <c r="B5993" s="1">
        <v>41110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</row>
    <row r="5994" spans="1:8" x14ac:dyDescent="0.3">
      <c r="A5994" t="s">
        <v>49</v>
      </c>
      <c r="B5994" s="1">
        <v>41117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</row>
    <row r="5995" spans="1:8" x14ac:dyDescent="0.3">
      <c r="A5995" t="s">
        <v>49</v>
      </c>
      <c r="B5995" s="1">
        <v>41124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</row>
    <row r="5996" spans="1:8" x14ac:dyDescent="0.3">
      <c r="A5996" t="s">
        <v>49</v>
      </c>
      <c r="B5996" s="1">
        <v>41131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</row>
    <row r="5997" spans="1:8" x14ac:dyDescent="0.3">
      <c r="A5997" t="s">
        <v>49</v>
      </c>
      <c r="B5997" s="1">
        <v>41138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</row>
    <row r="5998" spans="1:8" x14ac:dyDescent="0.3">
      <c r="A5998" t="s">
        <v>49</v>
      </c>
      <c r="B5998" s="1">
        <v>41145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</row>
    <row r="5999" spans="1:8" x14ac:dyDescent="0.3">
      <c r="A5999" t="s">
        <v>49</v>
      </c>
      <c r="B5999" s="1">
        <v>41152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</row>
    <row r="6000" spans="1:8" x14ac:dyDescent="0.3">
      <c r="A6000" t="s">
        <v>49</v>
      </c>
      <c r="B6000" s="1">
        <v>41159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</row>
    <row r="6001" spans="1:8" x14ac:dyDescent="0.3">
      <c r="A6001" t="s">
        <v>49</v>
      </c>
      <c r="B6001" s="1">
        <v>41166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</row>
    <row r="6002" spans="1:8" x14ac:dyDescent="0.3">
      <c r="A6002" t="s">
        <v>49</v>
      </c>
      <c r="B6002" s="1">
        <v>41173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</row>
    <row r="6003" spans="1:8" x14ac:dyDescent="0.3">
      <c r="A6003" t="s">
        <v>49</v>
      </c>
      <c r="B6003" s="1">
        <v>41180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</row>
    <row r="6004" spans="1:8" x14ac:dyDescent="0.3">
      <c r="A6004" t="s">
        <v>49</v>
      </c>
      <c r="B6004" s="1">
        <v>41187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</row>
    <row r="6005" spans="1:8" x14ac:dyDescent="0.3">
      <c r="A6005" t="s">
        <v>49</v>
      </c>
      <c r="B6005" s="1">
        <v>41194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</row>
    <row r="6006" spans="1:8" x14ac:dyDescent="0.3">
      <c r="A6006" t="s">
        <v>49</v>
      </c>
      <c r="B6006" s="1">
        <v>41201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</row>
    <row r="6007" spans="1:8" x14ac:dyDescent="0.3">
      <c r="A6007" t="s">
        <v>49</v>
      </c>
      <c r="B6007" s="1">
        <v>41208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</row>
    <row r="6008" spans="1:8" x14ac:dyDescent="0.3">
      <c r="A6008" t="s">
        <v>50</v>
      </c>
      <c r="B6008" s="1">
        <v>40214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</row>
    <row r="6009" spans="1:8" x14ac:dyDescent="0.3">
      <c r="A6009" t="s">
        <v>50</v>
      </c>
      <c r="B6009" s="1">
        <v>40221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</row>
    <row r="6010" spans="1:8" x14ac:dyDescent="0.3">
      <c r="A6010" t="s">
        <v>50</v>
      </c>
      <c r="B6010" s="1">
        <v>40228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</row>
    <row r="6011" spans="1:8" x14ac:dyDescent="0.3">
      <c r="A6011" t="s">
        <v>50</v>
      </c>
      <c r="B6011" s="1">
        <v>40235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</row>
    <row r="6012" spans="1:8" x14ac:dyDescent="0.3">
      <c r="A6012" t="s">
        <v>50</v>
      </c>
      <c r="B6012" s="1">
        <v>40242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</row>
    <row r="6013" spans="1:8" x14ac:dyDescent="0.3">
      <c r="A6013" t="s">
        <v>50</v>
      </c>
      <c r="B6013" s="1">
        <v>40249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</row>
    <row r="6014" spans="1:8" x14ac:dyDescent="0.3">
      <c r="A6014" t="s">
        <v>50</v>
      </c>
      <c r="B6014" s="1">
        <v>40256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</row>
    <row r="6015" spans="1:8" x14ac:dyDescent="0.3">
      <c r="A6015" t="s">
        <v>50</v>
      </c>
      <c r="B6015" s="1">
        <v>40263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</row>
    <row r="6016" spans="1:8" x14ac:dyDescent="0.3">
      <c r="A6016" t="s">
        <v>50</v>
      </c>
      <c r="B6016" s="1">
        <v>40270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</row>
    <row r="6017" spans="1:8" x14ac:dyDescent="0.3">
      <c r="A6017" t="s">
        <v>50</v>
      </c>
      <c r="B6017" s="1">
        <v>40277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</row>
    <row r="6018" spans="1:8" x14ac:dyDescent="0.3">
      <c r="A6018" t="s">
        <v>50</v>
      </c>
      <c r="B6018" s="1">
        <v>40284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</row>
    <row r="6019" spans="1:8" x14ac:dyDescent="0.3">
      <c r="A6019" t="s">
        <v>50</v>
      </c>
      <c r="B6019" s="1">
        <v>40291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</row>
    <row r="6020" spans="1:8" x14ac:dyDescent="0.3">
      <c r="A6020" t="s">
        <v>50</v>
      </c>
      <c r="B6020" s="1">
        <v>40298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 x14ac:dyDescent="0.3">
      <c r="A6021" t="s">
        <v>50</v>
      </c>
      <c r="B6021" s="1">
        <v>40305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</row>
    <row r="6022" spans="1:8" x14ac:dyDescent="0.3">
      <c r="A6022" t="s">
        <v>50</v>
      </c>
      <c r="B6022" s="1">
        <v>40312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</row>
    <row r="6023" spans="1:8" x14ac:dyDescent="0.3">
      <c r="A6023" t="s">
        <v>50</v>
      </c>
      <c r="B6023" s="1">
        <v>40319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</row>
    <row r="6024" spans="1:8" x14ac:dyDescent="0.3">
      <c r="A6024" t="s">
        <v>50</v>
      </c>
      <c r="B6024" s="1">
        <v>40326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</row>
    <row r="6025" spans="1:8" x14ac:dyDescent="0.3">
      <c r="A6025" t="s">
        <v>50</v>
      </c>
      <c r="B6025" s="1">
        <v>40333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</row>
    <row r="6026" spans="1:8" x14ac:dyDescent="0.3">
      <c r="A6026" t="s">
        <v>50</v>
      </c>
      <c r="B6026" s="1">
        <v>40340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</row>
    <row r="6027" spans="1:8" x14ac:dyDescent="0.3">
      <c r="A6027" t="s">
        <v>50</v>
      </c>
      <c r="B6027" s="1">
        <v>40347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</row>
    <row r="6028" spans="1:8" x14ac:dyDescent="0.3">
      <c r="A6028" t="s">
        <v>50</v>
      </c>
      <c r="B6028" s="1">
        <v>40354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</row>
    <row r="6029" spans="1:8" x14ac:dyDescent="0.3">
      <c r="A6029" t="s">
        <v>50</v>
      </c>
      <c r="B6029" s="1">
        <v>40361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</row>
    <row r="6030" spans="1:8" x14ac:dyDescent="0.3">
      <c r="A6030" t="s">
        <v>50</v>
      </c>
      <c r="B6030" s="1">
        <v>40368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</row>
    <row r="6031" spans="1:8" x14ac:dyDescent="0.3">
      <c r="A6031" t="s">
        <v>50</v>
      </c>
      <c r="B6031" s="1">
        <v>40375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</row>
    <row r="6032" spans="1:8" x14ac:dyDescent="0.3">
      <c r="A6032" t="s">
        <v>50</v>
      </c>
      <c r="B6032" s="1">
        <v>40382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</row>
    <row r="6033" spans="1:8" x14ac:dyDescent="0.3">
      <c r="A6033" t="s">
        <v>50</v>
      </c>
      <c r="B6033" s="1">
        <v>40389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</row>
    <row r="6034" spans="1:8" x14ac:dyDescent="0.3">
      <c r="A6034" t="s">
        <v>50</v>
      </c>
      <c r="B6034" s="1">
        <v>40396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</row>
    <row r="6035" spans="1:8" x14ac:dyDescent="0.3">
      <c r="A6035" t="s">
        <v>50</v>
      </c>
      <c r="B6035" s="1">
        <v>40403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</row>
    <row r="6036" spans="1:8" x14ac:dyDescent="0.3">
      <c r="A6036" t="s">
        <v>50</v>
      </c>
      <c r="B6036" s="1">
        <v>40410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</row>
    <row r="6037" spans="1:8" x14ac:dyDescent="0.3">
      <c r="A6037" t="s">
        <v>50</v>
      </c>
      <c r="B6037" s="1">
        <v>40417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</row>
    <row r="6038" spans="1:8" x14ac:dyDescent="0.3">
      <c r="A6038" t="s">
        <v>50</v>
      </c>
      <c r="B6038" s="1">
        <v>40424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</row>
    <row r="6039" spans="1:8" x14ac:dyDescent="0.3">
      <c r="A6039" t="s">
        <v>50</v>
      </c>
      <c r="B6039" s="1">
        <v>40431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</row>
    <row r="6040" spans="1:8" x14ac:dyDescent="0.3">
      <c r="A6040" t="s">
        <v>50</v>
      </c>
      <c r="B6040" s="1">
        <v>40438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</row>
    <row r="6041" spans="1:8" x14ac:dyDescent="0.3">
      <c r="A6041" t="s">
        <v>50</v>
      </c>
      <c r="B6041" s="1">
        <v>40445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</row>
    <row r="6042" spans="1:8" x14ac:dyDescent="0.3">
      <c r="A6042" t="s">
        <v>50</v>
      </c>
      <c r="B6042" s="1">
        <v>40452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</row>
    <row r="6043" spans="1:8" x14ac:dyDescent="0.3">
      <c r="A6043" t="s">
        <v>50</v>
      </c>
      <c r="B6043" s="1">
        <v>40459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</row>
    <row r="6044" spans="1:8" x14ac:dyDescent="0.3">
      <c r="A6044" t="s">
        <v>50</v>
      </c>
      <c r="B6044" s="1">
        <v>40466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</row>
    <row r="6045" spans="1:8" x14ac:dyDescent="0.3">
      <c r="A6045" t="s">
        <v>50</v>
      </c>
      <c r="B6045" s="1">
        <v>40473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</row>
    <row r="6046" spans="1:8" x14ac:dyDescent="0.3">
      <c r="A6046" t="s">
        <v>50</v>
      </c>
      <c r="B6046" s="1">
        <v>40480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</row>
    <row r="6047" spans="1:8" x14ac:dyDescent="0.3">
      <c r="A6047" t="s">
        <v>50</v>
      </c>
      <c r="B6047" s="1">
        <v>40487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</row>
    <row r="6048" spans="1:8" x14ac:dyDescent="0.3">
      <c r="A6048" t="s">
        <v>50</v>
      </c>
      <c r="B6048" s="1">
        <v>40494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</row>
    <row r="6049" spans="1:8" x14ac:dyDescent="0.3">
      <c r="A6049" t="s">
        <v>50</v>
      </c>
      <c r="B6049" s="1">
        <v>40501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</row>
    <row r="6050" spans="1:8" x14ac:dyDescent="0.3">
      <c r="A6050" t="s">
        <v>50</v>
      </c>
      <c r="B6050" s="1">
        <v>40508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</row>
    <row r="6051" spans="1:8" x14ac:dyDescent="0.3">
      <c r="A6051" t="s">
        <v>50</v>
      </c>
      <c r="B6051" s="1">
        <v>40515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</row>
    <row r="6052" spans="1:8" x14ac:dyDescent="0.3">
      <c r="A6052" t="s">
        <v>50</v>
      </c>
      <c r="B6052" s="1">
        <v>40522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</row>
    <row r="6053" spans="1:8" x14ac:dyDescent="0.3">
      <c r="A6053" t="s">
        <v>50</v>
      </c>
      <c r="B6053" s="1">
        <v>40529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</row>
    <row r="6054" spans="1:8" x14ac:dyDescent="0.3">
      <c r="A6054" t="s">
        <v>50</v>
      </c>
      <c r="B6054" s="1">
        <v>40536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</row>
    <row r="6055" spans="1:8" x14ac:dyDescent="0.3">
      <c r="A6055" t="s">
        <v>50</v>
      </c>
      <c r="B6055" s="1">
        <v>40543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</row>
    <row r="6056" spans="1:8" x14ac:dyDescent="0.3">
      <c r="A6056" t="s">
        <v>50</v>
      </c>
      <c r="B6056" s="1">
        <v>40550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</row>
    <row r="6057" spans="1:8" x14ac:dyDescent="0.3">
      <c r="A6057" t="s">
        <v>50</v>
      </c>
      <c r="B6057" s="1">
        <v>40557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</row>
    <row r="6058" spans="1:8" x14ac:dyDescent="0.3">
      <c r="A6058" t="s">
        <v>50</v>
      </c>
      <c r="B6058" s="1">
        <v>40564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</row>
    <row r="6059" spans="1:8" x14ac:dyDescent="0.3">
      <c r="A6059" t="s">
        <v>50</v>
      </c>
      <c r="B6059" s="1">
        <v>40571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</row>
    <row r="6060" spans="1:8" x14ac:dyDescent="0.3">
      <c r="A6060" t="s">
        <v>50</v>
      </c>
      <c r="B6060" s="1">
        <v>40578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</row>
    <row r="6061" spans="1:8" x14ac:dyDescent="0.3">
      <c r="A6061" t="s">
        <v>50</v>
      </c>
      <c r="B6061" s="1">
        <v>40585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</row>
    <row r="6062" spans="1:8" x14ac:dyDescent="0.3">
      <c r="A6062" t="s">
        <v>50</v>
      </c>
      <c r="B6062" s="1">
        <v>40592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</row>
    <row r="6063" spans="1:8" x14ac:dyDescent="0.3">
      <c r="A6063" t="s">
        <v>50</v>
      </c>
      <c r="B6063" s="1">
        <v>40599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</row>
    <row r="6064" spans="1:8" x14ac:dyDescent="0.3">
      <c r="A6064" t="s">
        <v>50</v>
      </c>
      <c r="B6064" s="1">
        <v>40606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</row>
    <row r="6065" spans="1:8" x14ac:dyDescent="0.3">
      <c r="A6065" t="s">
        <v>50</v>
      </c>
      <c r="B6065" s="1">
        <v>40613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</row>
    <row r="6066" spans="1:8" x14ac:dyDescent="0.3">
      <c r="A6066" t="s">
        <v>50</v>
      </c>
      <c r="B6066" s="1">
        <v>40620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</row>
    <row r="6067" spans="1:8" x14ac:dyDescent="0.3">
      <c r="A6067" t="s">
        <v>50</v>
      </c>
      <c r="B6067" s="1">
        <v>40627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</row>
    <row r="6068" spans="1:8" x14ac:dyDescent="0.3">
      <c r="A6068" t="s">
        <v>50</v>
      </c>
      <c r="B6068" s="1">
        <v>40634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</row>
    <row r="6069" spans="1:8" x14ac:dyDescent="0.3">
      <c r="A6069" t="s">
        <v>50</v>
      </c>
      <c r="B6069" s="1">
        <v>40641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</row>
    <row r="6070" spans="1:8" x14ac:dyDescent="0.3">
      <c r="A6070" t="s">
        <v>50</v>
      </c>
      <c r="B6070" s="1">
        <v>40648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</row>
    <row r="6071" spans="1:8" x14ac:dyDescent="0.3">
      <c r="A6071" t="s">
        <v>50</v>
      </c>
      <c r="B6071" s="1">
        <v>40655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</row>
    <row r="6072" spans="1:8" x14ac:dyDescent="0.3">
      <c r="A6072" t="s">
        <v>50</v>
      </c>
      <c r="B6072" s="1">
        <v>40662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 x14ac:dyDescent="0.3">
      <c r="A6073" t="s">
        <v>50</v>
      </c>
      <c r="B6073" s="1">
        <v>40669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</row>
    <row r="6074" spans="1:8" x14ac:dyDescent="0.3">
      <c r="A6074" t="s">
        <v>50</v>
      </c>
      <c r="B6074" s="1">
        <v>40676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</row>
    <row r="6075" spans="1:8" x14ac:dyDescent="0.3">
      <c r="A6075" t="s">
        <v>50</v>
      </c>
      <c r="B6075" s="1">
        <v>40683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</row>
    <row r="6076" spans="1:8" x14ac:dyDescent="0.3">
      <c r="A6076" t="s">
        <v>50</v>
      </c>
      <c r="B6076" s="1">
        <v>40690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 x14ac:dyDescent="0.3">
      <c r="A6077" t="s">
        <v>50</v>
      </c>
      <c r="B6077" s="1">
        <v>40697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</row>
    <row r="6078" spans="1:8" x14ac:dyDescent="0.3">
      <c r="A6078" t="s">
        <v>50</v>
      </c>
      <c r="B6078" s="1">
        <v>40704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</row>
    <row r="6079" spans="1:8" x14ac:dyDescent="0.3">
      <c r="A6079" t="s">
        <v>50</v>
      </c>
      <c r="B6079" s="1">
        <v>40711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</row>
    <row r="6080" spans="1:8" x14ac:dyDescent="0.3">
      <c r="A6080" t="s">
        <v>50</v>
      </c>
      <c r="B6080" s="1">
        <v>40718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</row>
    <row r="6081" spans="1:8" x14ac:dyDescent="0.3">
      <c r="A6081" t="s">
        <v>50</v>
      </c>
      <c r="B6081" s="1">
        <v>40725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</row>
    <row r="6082" spans="1:8" x14ac:dyDescent="0.3">
      <c r="A6082" t="s">
        <v>50</v>
      </c>
      <c r="B6082" s="1">
        <v>40732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</row>
    <row r="6083" spans="1:8" x14ac:dyDescent="0.3">
      <c r="A6083" t="s">
        <v>50</v>
      </c>
      <c r="B6083" s="1">
        <v>40739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</row>
    <row r="6084" spans="1:8" x14ac:dyDescent="0.3">
      <c r="A6084" t="s">
        <v>50</v>
      </c>
      <c r="B6084" s="1">
        <v>40746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</row>
    <row r="6085" spans="1:8" x14ac:dyDescent="0.3">
      <c r="A6085" t="s">
        <v>50</v>
      </c>
      <c r="B6085" s="1">
        <v>40753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</row>
    <row r="6086" spans="1:8" x14ac:dyDescent="0.3">
      <c r="A6086" t="s">
        <v>50</v>
      </c>
      <c r="B6086" s="1">
        <v>40760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</row>
    <row r="6087" spans="1:8" x14ac:dyDescent="0.3">
      <c r="A6087" t="s">
        <v>50</v>
      </c>
      <c r="B6087" s="1">
        <v>40767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</row>
    <row r="6088" spans="1:8" x14ac:dyDescent="0.3">
      <c r="A6088" t="s">
        <v>50</v>
      </c>
      <c r="B6088" s="1">
        <v>40774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</row>
    <row r="6089" spans="1:8" x14ac:dyDescent="0.3">
      <c r="A6089" t="s">
        <v>50</v>
      </c>
      <c r="B6089" s="1">
        <v>40781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</row>
    <row r="6090" spans="1:8" x14ac:dyDescent="0.3">
      <c r="A6090" t="s">
        <v>50</v>
      </c>
      <c r="B6090" s="1">
        <v>40788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</row>
    <row r="6091" spans="1:8" x14ac:dyDescent="0.3">
      <c r="A6091" t="s">
        <v>50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</row>
    <row r="6092" spans="1:8" x14ac:dyDescent="0.3">
      <c r="A6092" t="s">
        <v>50</v>
      </c>
      <c r="B6092" s="1">
        <v>40802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</row>
    <row r="6093" spans="1:8" x14ac:dyDescent="0.3">
      <c r="A6093" t="s">
        <v>50</v>
      </c>
      <c r="B6093" s="1">
        <v>40809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</row>
    <row r="6094" spans="1:8" x14ac:dyDescent="0.3">
      <c r="A6094" t="s">
        <v>50</v>
      </c>
      <c r="B6094" s="1">
        <v>40816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</row>
    <row r="6095" spans="1:8" x14ac:dyDescent="0.3">
      <c r="A6095" t="s">
        <v>50</v>
      </c>
      <c r="B6095" s="1">
        <v>40823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</row>
    <row r="6096" spans="1:8" x14ac:dyDescent="0.3">
      <c r="A6096" t="s">
        <v>50</v>
      </c>
      <c r="B6096" s="1">
        <v>40830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 x14ac:dyDescent="0.3">
      <c r="A6097" t="s">
        <v>50</v>
      </c>
      <c r="B6097" s="1">
        <v>40837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</row>
    <row r="6098" spans="1:8" x14ac:dyDescent="0.3">
      <c r="A6098" t="s">
        <v>50</v>
      </c>
      <c r="B6098" s="1">
        <v>40844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</row>
    <row r="6099" spans="1:8" x14ac:dyDescent="0.3">
      <c r="A6099" t="s">
        <v>50</v>
      </c>
      <c r="B6099" s="1">
        <v>40851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</row>
    <row r="6100" spans="1:8" x14ac:dyDescent="0.3">
      <c r="A6100" t="s">
        <v>50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</row>
    <row r="6101" spans="1:8" x14ac:dyDescent="0.3">
      <c r="A6101" t="s">
        <v>50</v>
      </c>
      <c r="B6101" s="1">
        <v>40865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</row>
    <row r="6102" spans="1:8" x14ac:dyDescent="0.3">
      <c r="A6102" t="s">
        <v>50</v>
      </c>
      <c r="B6102" s="1">
        <v>40872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</row>
    <row r="6103" spans="1:8" x14ac:dyDescent="0.3">
      <c r="A6103" t="s">
        <v>50</v>
      </c>
      <c r="B6103" s="1">
        <v>40879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</row>
    <row r="6104" spans="1:8" x14ac:dyDescent="0.3">
      <c r="A6104" t="s">
        <v>50</v>
      </c>
      <c r="B6104" s="1">
        <v>40886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</row>
    <row r="6105" spans="1:8" x14ac:dyDescent="0.3">
      <c r="A6105" t="s">
        <v>50</v>
      </c>
      <c r="B6105" s="1">
        <v>40893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</row>
    <row r="6106" spans="1:8" x14ac:dyDescent="0.3">
      <c r="A6106" t="s">
        <v>50</v>
      </c>
      <c r="B6106" s="1">
        <v>40900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</row>
    <row r="6107" spans="1:8" x14ac:dyDescent="0.3">
      <c r="A6107" t="s">
        <v>50</v>
      </c>
      <c r="B6107" s="1">
        <v>40907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 x14ac:dyDescent="0.3">
      <c r="A6108" t="s">
        <v>50</v>
      </c>
      <c r="B6108" s="1">
        <v>40914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</row>
    <row r="6109" spans="1:8" x14ac:dyDescent="0.3">
      <c r="A6109" t="s">
        <v>50</v>
      </c>
      <c r="B6109" s="1">
        <v>40921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</row>
    <row r="6110" spans="1:8" x14ac:dyDescent="0.3">
      <c r="A6110" t="s">
        <v>50</v>
      </c>
      <c r="B6110" s="1">
        <v>40928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</row>
    <row r="6111" spans="1:8" x14ac:dyDescent="0.3">
      <c r="A6111" t="s">
        <v>50</v>
      </c>
      <c r="B6111" s="1">
        <v>40935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</row>
    <row r="6112" spans="1:8" x14ac:dyDescent="0.3">
      <c r="A6112" t="s">
        <v>50</v>
      </c>
      <c r="B6112" s="1">
        <v>40942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</row>
    <row r="6113" spans="1:8" x14ac:dyDescent="0.3">
      <c r="A6113" t="s">
        <v>50</v>
      </c>
      <c r="B6113" s="1">
        <v>40949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</row>
    <row r="6114" spans="1:8" x14ac:dyDescent="0.3">
      <c r="A6114" t="s">
        <v>50</v>
      </c>
      <c r="B6114" s="1">
        <v>40956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</row>
    <row r="6115" spans="1:8" x14ac:dyDescent="0.3">
      <c r="A6115" t="s">
        <v>50</v>
      </c>
      <c r="B6115" s="1">
        <v>40963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</row>
    <row r="6116" spans="1:8" x14ac:dyDescent="0.3">
      <c r="A6116" t="s">
        <v>50</v>
      </c>
      <c r="B6116" s="1">
        <v>40970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</row>
    <row r="6117" spans="1:8" x14ac:dyDescent="0.3">
      <c r="A6117" t="s">
        <v>50</v>
      </c>
      <c r="B6117" s="1">
        <v>40977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</row>
    <row r="6118" spans="1:8" x14ac:dyDescent="0.3">
      <c r="A6118" t="s">
        <v>50</v>
      </c>
      <c r="B6118" s="1">
        <v>40984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</row>
    <row r="6119" spans="1:8" x14ac:dyDescent="0.3">
      <c r="A6119" t="s">
        <v>50</v>
      </c>
      <c r="B6119" s="1">
        <v>40991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</row>
    <row r="6120" spans="1:8" x14ac:dyDescent="0.3">
      <c r="A6120" t="s">
        <v>50</v>
      </c>
      <c r="B6120" s="1">
        <v>40998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</row>
    <row r="6121" spans="1:8" x14ac:dyDescent="0.3">
      <c r="A6121" t="s">
        <v>50</v>
      </c>
      <c r="B6121" s="1">
        <v>41005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</row>
    <row r="6122" spans="1:8" x14ac:dyDescent="0.3">
      <c r="A6122" t="s">
        <v>50</v>
      </c>
      <c r="B6122" s="1">
        <v>41012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</row>
    <row r="6123" spans="1:8" x14ac:dyDescent="0.3">
      <c r="A6123" t="s">
        <v>50</v>
      </c>
      <c r="B6123" s="1">
        <v>41019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</row>
    <row r="6124" spans="1:8" x14ac:dyDescent="0.3">
      <c r="A6124" t="s">
        <v>50</v>
      </c>
      <c r="B6124" s="1">
        <v>41026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</row>
    <row r="6125" spans="1:8" x14ac:dyDescent="0.3">
      <c r="A6125" t="s">
        <v>50</v>
      </c>
      <c r="B6125" s="1">
        <v>41033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</row>
    <row r="6126" spans="1:8" x14ac:dyDescent="0.3">
      <c r="A6126" t="s">
        <v>50</v>
      </c>
      <c r="B6126" s="1">
        <v>41040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</row>
    <row r="6127" spans="1:8" x14ac:dyDescent="0.3">
      <c r="A6127" t="s">
        <v>50</v>
      </c>
      <c r="B6127" s="1">
        <v>41047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</row>
    <row r="6128" spans="1:8" x14ac:dyDescent="0.3">
      <c r="A6128" t="s">
        <v>50</v>
      </c>
      <c r="B6128" s="1">
        <v>41054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</row>
    <row r="6129" spans="1:8" x14ac:dyDescent="0.3">
      <c r="A6129" t="s">
        <v>50</v>
      </c>
      <c r="B6129" s="1">
        <v>41061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</row>
    <row r="6130" spans="1:8" x14ac:dyDescent="0.3">
      <c r="A6130" t="s">
        <v>50</v>
      </c>
      <c r="B6130" s="1">
        <v>41068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</row>
    <row r="6131" spans="1:8" x14ac:dyDescent="0.3">
      <c r="A6131" t="s">
        <v>50</v>
      </c>
      <c r="B6131" s="1">
        <v>41075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</row>
    <row r="6132" spans="1:8" x14ac:dyDescent="0.3">
      <c r="A6132" t="s">
        <v>50</v>
      </c>
      <c r="B6132" s="1">
        <v>41082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</row>
    <row r="6133" spans="1:8" x14ac:dyDescent="0.3">
      <c r="A6133" t="s">
        <v>50</v>
      </c>
      <c r="B6133" s="1">
        <v>41089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</row>
    <row r="6134" spans="1:8" x14ac:dyDescent="0.3">
      <c r="A6134" t="s">
        <v>50</v>
      </c>
      <c r="B6134" s="1">
        <v>41096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</row>
    <row r="6135" spans="1:8" x14ac:dyDescent="0.3">
      <c r="A6135" t="s">
        <v>50</v>
      </c>
      <c r="B6135" s="1">
        <v>41103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</row>
    <row r="6136" spans="1:8" x14ac:dyDescent="0.3">
      <c r="A6136" t="s">
        <v>50</v>
      </c>
      <c r="B6136" s="1">
        <v>41110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</row>
    <row r="6137" spans="1:8" x14ac:dyDescent="0.3">
      <c r="A6137" t="s">
        <v>50</v>
      </c>
      <c r="B6137" s="1">
        <v>41117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</row>
    <row r="6138" spans="1:8" x14ac:dyDescent="0.3">
      <c r="A6138" t="s">
        <v>50</v>
      </c>
      <c r="B6138" s="1">
        <v>41124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</row>
    <row r="6139" spans="1:8" x14ac:dyDescent="0.3">
      <c r="A6139" t="s">
        <v>50</v>
      </c>
      <c r="B6139" s="1">
        <v>41131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</row>
    <row r="6140" spans="1:8" x14ac:dyDescent="0.3">
      <c r="A6140" t="s">
        <v>50</v>
      </c>
      <c r="B6140" s="1">
        <v>41138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</row>
    <row r="6141" spans="1:8" x14ac:dyDescent="0.3">
      <c r="A6141" t="s">
        <v>50</v>
      </c>
      <c r="B6141" s="1">
        <v>41145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</row>
    <row r="6142" spans="1:8" x14ac:dyDescent="0.3">
      <c r="A6142" t="s">
        <v>50</v>
      </c>
      <c r="B6142" s="1">
        <v>41152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</row>
    <row r="6143" spans="1:8" x14ac:dyDescent="0.3">
      <c r="A6143" t="s">
        <v>50</v>
      </c>
      <c r="B6143" s="1">
        <v>41159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</row>
    <row r="6144" spans="1:8" x14ac:dyDescent="0.3">
      <c r="A6144" t="s">
        <v>50</v>
      </c>
      <c r="B6144" s="1">
        <v>41166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</row>
    <row r="6145" spans="1:8" x14ac:dyDescent="0.3">
      <c r="A6145" t="s">
        <v>50</v>
      </c>
      <c r="B6145" s="1">
        <v>41173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</row>
    <row r="6146" spans="1:8" x14ac:dyDescent="0.3">
      <c r="A6146" t="s">
        <v>50</v>
      </c>
      <c r="B6146" s="1">
        <v>41180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</row>
    <row r="6147" spans="1:8" x14ac:dyDescent="0.3">
      <c r="A6147" t="s">
        <v>50</v>
      </c>
      <c r="B6147" s="1">
        <v>41187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</row>
    <row r="6148" spans="1:8" x14ac:dyDescent="0.3">
      <c r="A6148" t="s">
        <v>50</v>
      </c>
      <c r="B6148" s="1">
        <v>41194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</row>
    <row r="6149" spans="1:8" x14ac:dyDescent="0.3">
      <c r="A6149" t="s">
        <v>50</v>
      </c>
      <c r="B6149" s="1">
        <v>41201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</row>
    <row r="6150" spans="1:8" x14ac:dyDescent="0.3">
      <c r="A6150" t="s">
        <v>50</v>
      </c>
      <c r="B6150" s="1">
        <v>41208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</row>
    <row r="6151" spans="1:8" x14ac:dyDescent="0.3">
      <c r="A6151" t="s">
        <v>51</v>
      </c>
      <c r="B6151" s="1">
        <v>40214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</row>
    <row r="6152" spans="1:8" x14ac:dyDescent="0.3">
      <c r="A6152" t="s">
        <v>51</v>
      </c>
      <c r="B6152" s="1">
        <v>40221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</row>
    <row r="6153" spans="1:8" x14ac:dyDescent="0.3">
      <c r="A6153" t="s">
        <v>51</v>
      </c>
      <c r="B6153" s="1">
        <v>40228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</row>
    <row r="6154" spans="1:8" x14ac:dyDescent="0.3">
      <c r="A6154" t="s">
        <v>51</v>
      </c>
      <c r="B6154" s="1">
        <v>40235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</row>
    <row r="6155" spans="1:8" x14ac:dyDescent="0.3">
      <c r="A6155" t="s">
        <v>51</v>
      </c>
      <c r="B6155" s="1">
        <v>40242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</row>
    <row r="6156" spans="1:8" x14ac:dyDescent="0.3">
      <c r="A6156" t="s">
        <v>51</v>
      </c>
      <c r="B6156" s="1">
        <v>40249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</row>
    <row r="6157" spans="1:8" x14ac:dyDescent="0.3">
      <c r="A6157" t="s">
        <v>51</v>
      </c>
      <c r="B6157" s="1">
        <v>40256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</row>
    <row r="6158" spans="1:8" x14ac:dyDescent="0.3">
      <c r="A6158" t="s">
        <v>51</v>
      </c>
      <c r="B6158" s="1">
        <v>40263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</row>
    <row r="6159" spans="1:8" x14ac:dyDescent="0.3">
      <c r="A6159" t="s">
        <v>51</v>
      </c>
      <c r="B6159" s="1">
        <v>40270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</row>
    <row r="6160" spans="1:8" x14ac:dyDescent="0.3">
      <c r="A6160" t="s">
        <v>51</v>
      </c>
      <c r="B6160" s="1">
        <v>40277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</row>
    <row r="6161" spans="1:8" x14ac:dyDescent="0.3">
      <c r="A6161" t="s">
        <v>51</v>
      </c>
      <c r="B6161" s="1">
        <v>40284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</row>
    <row r="6162" spans="1:8" x14ac:dyDescent="0.3">
      <c r="A6162" t="s">
        <v>51</v>
      </c>
      <c r="B6162" s="1">
        <v>40291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</row>
    <row r="6163" spans="1:8" x14ac:dyDescent="0.3">
      <c r="A6163" t="s">
        <v>51</v>
      </c>
      <c r="B6163" s="1">
        <v>40298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</row>
    <row r="6164" spans="1:8" x14ac:dyDescent="0.3">
      <c r="A6164" t="s">
        <v>51</v>
      </c>
      <c r="B6164" s="1">
        <v>40305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</row>
    <row r="6165" spans="1:8" x14ac:dyDescent="0.3">
      <c r="A6165" t="s">
        <v>51</v>
      </c>
      <c r="B6165" s="1">
        <v>40312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</row>
    <row r="6166" spans="1:8" x14ac:dyDescent="0.3">
      <c r="A6166" t="s">
        <v>51</v>
      </c>
      <c r="B6166" s="1">
        <v>40319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</row>
    <row r="6167" spans="1:8" x14ac:dyDescent="0.3">
      <c r="A6167" t="s">
        <v>51</v>
      </c>
      <c r="B6167" s="1">
        <v>40326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</row>
    <row r="6168" spans="1:8" x14ac:dyDescent="0.3">
      <c r="A6168" t="s">
        <v>51</v>
      </c>
      <c r="B6168" s="1">
        <v>40333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</row>
    <row r="6169" spans="1:8" x14ac:dyDescent="0.3">
      <c r="A6169" t="s">
        <v>51</v>
      </c>
      <c r="B6169" s="1">
        <v>40340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</row>
    <row r="6170" spans="1:8" x14ac:dyDescent="0.3">
      <c r="A6170" t="s">
        <v>51</v>
      </c>
      <c r="B6170" s="1">
        <v>40347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</row>
    <row r="6171" spans="1:8" x14ac:dyDescent="0.3">
      <c r="A6171" t="s">
        <v>51</v>
      </c>
      <c r="B6171" s="1">
        <v>40354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</row>
    <row r="6172" spans="1:8" x14ac:dyDescent="0.3">
      <c r="A6172" t="s">
        <v>51</v>
      </c>
      <c r="B6172" s="1">
        <v>40361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</row>
    <row r="6173" spans="1:8" x14ac:dyDescent="0.3">
      <c r="A6173" t="s">
        <v>51</v>
      </c>
      <c r="B6173" s="1">
        <v>40368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</row>
    <row r="6174" spans="1:8" x14ac:dyDescent="0.3">
      <c r="A6174" t="s">
        <v>51</v>
      </c>
      <c r="B6174" s="1">
        <v>40375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</row>
    <row r="6175" spans="1:8" x14ac:dyDescent="0.3">
      <c r="A6175" t="s">
        <v>51</v>
      </c>
      <c r="B6175" s="1">
        <v>40382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</row>
    <row r="6176" spans="1:8" x14ac:dyDescent="0.3">
      <c r="A6176" t="s">
        <v>51</v>
      </c>
      <c r="B6176" s="1">
        <v>40389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</row>
    <row r="6177" spans="1:8" x14ac:dyDescent="0.3">
      <c r="A6177" t="s">
        <v>51</v>
      </c>
      <c r="B6177" s="1">
        <v>40396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</row>
    <row r="6178" spans="1:8" x14ac:dyDescent="0.3">
      <c r="A6178" t="s">
        <v>51</v>
      </c>
      <c r="B6178" s="1">
        <v>40403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</row>
    <row r="6179" spans="1:8" x14ac:dyDescent="0.3">
      <c r="A6179" t="s">
        <v>51</v>
      </c>
      <c r="B6179" s="1">
        <v>40410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</row>
    <row r="6180" spans="1:8" x14ac:dyDescent="0.3">
      <c r="A6180" t="s">
        <v>51</v>
      </c>
      <c r="B6180" s="1">
        <v>40417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</row>
    <row r="6181" spans="1:8" x14ac:dyDescent="0.3">
      <c r="A6181" t="s">
        <v>51</v>
      </c>
      <c r="B6181" s="1">
        <v>40424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</row>
    <row r="6182" spans="1:8" x14ac:dyDescent="0.3">
      <c r="A6182" t="s">
        <v>51</v>
      </c>
      <c r="B6182" s="1">
        <v>40431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</row>
    <row r="6183" spans="1:8" x14ac:dyDescent="0.3">
      <c r="A6183" t="s">
        <v>51</v>
      </c>
      <c r="B6183" s="1">
        <v>40438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</row>
    <row r="6184" spans="1:8" x14ac:dyDescent="0.3">
      <c r="A6184" t="s">
        <v>51</v>
      </c>
      <c r="B6184" s="1">
        <v>40445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</row>
    <row r="6185" spans="1:8" x14ac:dyDescent="0.3">
      <c r="A6185" t="s">
        <v>51</v>
      </c>
      <c r="B6185" s="1">
        <v>40452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</row>
    <row r="6186" spans="1:8" x14ac:dyDescent="0.3">
      <c r="A6186" t="s">
        <v>51</v>
      </c>
      <c r="B6186" s="1">
        <v>40459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</row>
    <row r="6187" spans="1:8" x14ac:dyDescent="0.3">
      <c r="A6187" t="s">
        <v>51</v>
      </c>
      <c r="B6187" s="1">
        <v>40466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</row>
    <row r="6188" spans="1:8" x14ac:dyDescent="0.3">
      <c r="A6188" t="s">
        <v>51</v>
      </c>
      <c r="B6188" s="1">
        <v>40473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</row>
    <row r="6189" spans="1:8" x14ac:dyDescent="0.3">
      <c r="A6189" t="s">
        <v>51</v>
      </c>
      <c r="B6189" s="1">
        <v>40480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</row>
    <row r="6190" spans="1:8" x14ac:dyDescent="0.3">
      <c r="A6190" t="s">
        <v>51</v>
      </c>
      <c r="B6190" s="1">
        <v>40487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 x14ac:dyDescent="0.3">
      <c r="A6191" t="s">
        <v>51</v>
      </c>
      <c r="B6191" s="1">
        <v>40494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</row>
    <row r="6192" spans="1:8" x14ac:dyDescent="0.3">
      <c r="A6192" t="s">
        <v>51</v>
      </c>
      <c r="B6192" s="1">
        <v>40501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</row>
    <row r="6193" spans="1:8" x14ac:dyDescent="0.3">
      <c r="A6193" t="s">
        <v>51</v>
      </c>
      <c r="B6193" s="1">
        <v>40508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</row>
    <row r="6194" spans="1:8" x14ac:dyDescent="0.3">
      <c r="A6194" t="s">
        <v>51</v>
      </c>
      <c r="B6194" s="1">
        <v>40515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</row>
    <row r="6195" spans="1:8" x14ac:dyDescent="0.3">
      <c r="A6195" t="s">
        <v>51</v>
      </c>
      <c r="B6195" s="1">
        <v>40522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</row>
    <row r="6196" spans="1:8" x14ac:dyDescent="0.3">
      <c r="A6196" t="s">
        <v>51</v>
      </c>
      <c r="B6196" s="1">
        <v>40529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</row>
    <row r="6197" spans="1:8" x14ac:dyDescent="0.3">
      <c r="A6197" t="s">
        <v>51</v>
      </c>
      <c r="B6197" s="1">
        <v>40536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</row>
    <row r="6198" spans="1:8" x14ac:dyDescent="0.3">
      <c r="A6198" t="s">
        <v>51</v>
      </c>
      <c r="B6198" s="1">
        <v>40543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</row>
    <row r="6199" spans="1:8" x14ac:dyDescent="0.3">
      <c r="A6199" t="s">
        <v>51</v>
      </c>
      <c r="B6199" s="1">
        <v>40550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</row>
    <row r="6200" spans="1:8" x14ac:dyDescent="0.3">
      <c r="A6200" t="s">
        <v>51</v>
      </c>
      <c r="B6200" s="1">
        <v>40557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</row>
    <row r="6201" spans="1:8" x14ac:dyDescent="0.3">
      <c r="A6201" t="s">
        <v>51</v>
      </c>
      <c r="B6201" s="1">
        <v>40564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</row>
    <row r="6202" spans="1:8" x14ac:dyDescent="0.3">
      <c r="A6202" t="s">
        <v>51</v>
      </c>
      <c r="B6202" s="1">
        <v>40571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</row>
    <row r="6203" spans="1:8" x14ac:dyDescent="0.3">
      <c r="A6203" t="s">
        <v>51</v>
      </c>
      <c r="B6203" s="1">
        <v>40578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</row>
    <row r="6204" spans="1:8" x14ac:dyDescent="0.3">
      <c r="A6204" t="s">
        <v>51</v>
      </c>
      <c r="B6204" s="1">
        <v>40585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</row>
    <row r="6205" spans="1:8" x14ac:dyDescent="0.3">
      <c r="A6205" t="s">
        <v>51</v>
      </c>
      <c r="B6205" s="1">
        <v>40592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</row>
    <row r="6206" spans="1:8" x14ac:dyDescent="0.3">
      <c r="A6206" t="s">
        <v>51</v>
      </c>
      <c r="B6206" s="1">
        <v>40599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</row>
    <row r="6207" spans="1:8" x14ac:dyDescent="0.3">
      <c r="A6207" t="s">
        <v>51</v>
      </c>
      <c r="B6207" s="1">
        <v>40606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</row>
    <row r="6208" spans="1:8" x14ac:dyDescent="0.3">
      <c r="A6208" t="s">
        <v>51</v>
      </c>
      <c r="B6208" s="1">
        <v>40613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</row>
    <row r="6209" spans="1:8" x14ac:dyDescent="0.3">
      <c r="A6209" t="s">
        <v>51</v>
      </c>
      <c r="B6209" s="1">
        <v>40620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</row>
    <row r="6210" spans="1:8" x14ac:dyDescent="0.3">
      <c r="A6210" t="s">
        <v>51</v>
      </c>
      <c r="B6210" s="1">
        <v>40627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</row>
    <row r="6211" spans="1:8" x14ac:dyDescent="0.3">
      <c r="A6211" t="s">
        <v>51</v>
      </c>
      <c r="B6211" s="1">
        <v>40634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</row>
    <row r="6212" spans="1:8" x14ac:dyDescent="0.3">
      <c r="A6212" t="s">
        <v>51</v>
      </c>
      <c r="B6212" s="1">
        <v>40641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</row>
    <row r="6213" spans="1:8" x14ac:dyDescent="0.3">
      <c r="A6213" t="s">
        <v>51</v>
      </c>
      <c r="B6213" s="1">
        <v>40648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</row>
    <row r="6214" spans="1:8" x14ac:dyDescent="0.3">
      <c r="A6214" t="s">
        <v>51</v>
      </c>
      <c r="B6214" s="1">
        <v>40655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</row>
    <row r="6215" spans="1:8" x14ac:dyDescent="0.3">
      <c r="A6215" t="s">
        <v>51</v>
      </c>
      <c r="B6215" s="1">
        <v>40662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</row>
    <row r="6216" spans="1:8" x14ac:dyDescent="0.3">
      <c r="A6216" t="s">
        <v>51</v>
      </c>
      <c r="B6216" s="1">
        <v>40669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</row>
    <row r="6217" spans="1:8" x14ac:dyDescent="0.3">
      <c r="A6217" t="s">
        <v>51</v>
      </c>
      <c r="B6217" s="1">
        <v>40676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</row>
    <row r="6218" spans="1:8" x14ac:dyDescent="0.3">
      <c r="A6218" t="s">
        <v>51</v>
      </c>
      <c r="B6218" s="1">
        <v>40683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</row>
    <row r="6219" spans="1:8" x14ac:dyDescent="0.3">
      <c r="A6219" t="s">
        <v>51</v>
      </c>
      <c r="B6219" s="1">
        <v>40690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</row>
    <row r="6220" spans="1:8" x14ac:dyDescent="0.3">
      <c r="A6220" t="s">
        <v>51</v>
      </c>
      <c r="B6220" s="1">
        <v>40697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</row>
    <row r="6221" spans="1:8" x14ac:dyDescent="0.3">
      <c r="A6221" t="s">
        <v>51</v>
      </c>
      <c r="B6221" s="1">
        <v>40704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</row>
    <row r="6222" spans="1:8" x14ac:dyDescent="0.3">
      <c r="A6222" t="s">
        <v>51</v>
      </c>
      <c r="B6222" s="1">
        <v>40711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</row>
    <row r="6223" spans="1:8" x14ac:dyDescent="0.3">
      <c r="A6223" t="s">
        <v>51</v>
      </c>
      <c r="B6223" s="1">
        <v>40718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</row>
    <row r="6224" spans="1:8" x14ac:dyDescent="0.3">
      <c r="A6224" t="s">
        <v>51</v>
      </c>
      <c r="B6224" s="1">
        <v>40725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</row>
    <row r="6225" spans="1:8" x14ac:dyDescent="0.3">
      <c r="A6225" t="s">
        <v>51</v>
      </c>
      <c r="B6225" s="1">
        <v>40732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</row>
    <row r="6226" spans="1:8" x14ac:dyDescent="0.3">
      <c r="A6226" t="s">
        <v>51</v>
      </c>
      <c r="B6226" s="1">
        <v>40739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</row>
    <row r="6227" spans="1:8" x14ac:dyDescent="0.3">
      <c r="A6227" t="s">
        <v>51</v>
      </c>
      <c r="B6227" s="1">
        <v>40746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</row>
    <row r="6228" spans="1:8" x14ac:dyDescent="0.3">
      <c r="A6228" t="s">
        <v>51</v>
      </c>
      <c r="B6228" s="1">
        <v>40753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</row>
    <row r="6229" spans="1:8" x14ac:dyDescent="0.3">
      <c r="A6229" t="s">
        <v>51</v>
      </c>
      <c r="B6229" s="1">
        <v>40760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</row>
    <row r="6230" spans="1:8" x14ac:dyDescent="0.3">
      <c r="A6230" t="s">
        <v>51</v>
      </c>
      <c r="B6230" s="1">
        <v>40767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</row>
    <row r="6231" spans="1:8" x14ac:dyDescent="0.3">
      <c r="A6231" t="s">
        <v>51</v>
      </c>
      <c r="B6231" s="1">
        <v>40774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</row>
    <row r="6232" spans="1:8" x14ac:dyDescent="0.3">
      <c r="A6232" t="s">
        <v>51</v>
      </c>
      <c r="B6232" s="1">
        <v>40781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</row>
    <row r="6233" spans="1:8" x14ac:dyDescent="0.3">
      <c r="A6233" t="s">
        <v>51</v>
      </c>
      <c r="B6233" s="1">
        <v>40788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</row>
    <row r="6234" spans="1:8" x14ac:dyDescent="0.3">
      <c r="A6234" t="s">
        <v>51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</row>
    <row r="6235" spans="1:8" x14ac:dyDescent="0.3">
      <c r="A6235" t="s">
        <v>51</v>
      </c>
      <c r="B6235" s="1">
        <v>40802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</row>
    <row r="6236" spans="1:8" x14ac:dyDescent="0.3">
      <c r="A6236" t="s">
        <v>51</v>
      </c>
      <c r="B6236" s="1">
        <v>40809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</row>
    <row r="6237" spans="1:8" x14ac:dyDescent="0.3">
      <c r="A6237" t="s">
        <v>51</v>
      </c>
      <c r="B6237" s="1">
        <v>40816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</row>
    <row r="6238" spans="1:8" x14ac:dyDescent="0.3">
      <c r="A6238" t="s">
        <v>51</v>
      </c>
      <c r="B6238" s="1">
        <v>40823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</row>
    <row r="6239" spans="1:8" x14ac:dyDescent="0.3">
      <c r="A6239" t="s">
        <v>51</v>
      </c>
      <c r="B6239" s="1">
        <v>40830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</row>
    <row r="6240" spans="1:8" x14ac:dyDescent="0.3">
      <c r="A6240" t="s">
        <v>51</v>
      </c>
      <c r="B6240" s="1">
        <v>40837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</row>
    <row r="6241" spans="1:8" x14ac:dyDescent="0.3">
      <c r="A6241" t="s">
        <v>51</v>
      </c>
      <c r="B6241" s="1">
        <v>40844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</row>
    <row r="6242" spans="1:8" x14ac:dyDescent="0.3">
      <c r="A6242" t="s">
        <v>51</v>
      </c>
      <c r="B6242" s="1">
        <v>40851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</row>
    <row r="6243" spans="1:8" x14ac:dyDescent="0.3">
      <c r="A6243" t="s">
        <v>51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</row>
    <row r="6244" spans="1:8" x14ac:dyDescent="0.3">
      <c r="A6244" t="s">
        <v>51</v>
      </c>
      <c r="B6244" s="1">
        <v>40865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</row>
    <row r="6245" spans="1:8" x14ac:dyDescent="0.3">
      <c r="A6245" t="s">
        <v>51</v>
      </c>
      <c r="B6245" s="1">
        <v>40872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</row>
    <row r="6246" spans="1:8" x14ac:dyDescent="0.3">
      <c r="A6246" t="s">
        <v>51</v>
      </c>
      <c r="B6246" s="1">
        <v>40879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</row>
    <row r="6247" spans="1:8" x14ac:dyDescent="0.3">
      <c r="A6247" t="s">
        <v>51</v>
      </c>
      <c r="B6247" s="1">
        <v>40886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</row>
    <row r="6248" spans="1:8" x14ac:dyDescent="0.3">
      <c r="A6248" t="s">
        <v>51</v>
      </c>
      <c r="B6248" s="1">
        <v>40893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</row>
    <row r="6249" spans="1:8" x14ac:dyDescent="0.3">
      <c r="A6249" t="s">
        <v>51</v>
      </c>
      <c r="B6249" s="1">
        <v>40900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</row>
    <row r="6250" spans="1:8" x14ac:dyDescent="0.3">
      <c r="A6250" t="s">
        <v>51</v>
      </c>
      <c r="B6250" s="1">
        <v>40907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</row>
    <row r="6251" spans="1:8" x14ac:dyDescent="0.3">
      <c r="A6251" t="s">
        <v>51</v>
      </c>
      <c r="B6251" s="1">
        <v>40914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</row>
    <row r="6252" spans="1:8" x14ac:dyDescent="0.3">
      <c r="A6252" t="s">
        <v>51</v>
      </c>
      <c r="B6252" s="1">
        <v>40921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 x14ac:dyDescent="0.3">
      <c r="A6253" t="s">
        <v>51</v>
      </c>
      <c r="B6253" s="1">
        <v>40928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</row>
    <row r="6254" spans="1:8" x14ac:dyDescent="0.3">
      <c r="A6254" t="s">
        <v>51</v>
      </c>
      <c r="B6254" s="1">
        <v>40935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</row>
    <row r="6255" spans="1:8" x14ac:dyDescent="0.3">
      <c r="A6255" t="s">
        <v>51</v>
      </c>
      <c r="B6255" s="1">
        <v>40942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</row>
    <row r="6256" spans="1:8" x14ac:dyDescent="0.3">
      <c r="A6256" t="s">
        <v>51</v>
      </c>
      <c r="B6256" s="1">
        <v>40949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</row>
    <row r="6257" spans="1:8" x14ac:dyDescent="0.3">
      <c r="A6257" t="s">
        <v>51</v>
      </c>
      <c r="B6257" s="1">
        <v>40956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</row>
    <row r="6258" spans="1:8" x14ac:dyDescent="0.3">
      <c r="A6258" t="s">
        <v>51</v>
      </c>
      <c r="B6258" s="1">
        <v>40963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</row>
    <row r="6259" spans="1:8" x14ac:dyDescent="0.3">
      <c r="A6259" t="s">
        <v>51</v>
      </c>
      <c r="B6259" s="1">
        <v>40970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</row>
    <row r="6260" spans="1:8" x14ac:dyDescent="0.3">
      <c r="A6260" t="s">
        <v>51</v>
      </c>
      <c r="B6260" s="1">
        <v>40977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</row>
    <row r="6261" spans="1:8" x14ac:dyDescent="0.3">
      <c r="A6261" t="s">
        <v>51</v>
      </c>
      <c r="B6261" s="1">
        <v>40984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</row>
    <row r="6262" spans="1:8" x14ac:dyDescent="0.3">
      <c r="A6262" t="s">
        <v>51</v>
      </c>
      <c r="B6262" s="1">
        <v>40991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</row>
    <row r="6263" spans="1:8" x14ac:dyDescent="0.3">
      <c r="A6263" t="s">
        <v>51</v>
      </c>
      <c r="B6263" s="1">
        <v>40998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</row>
    <row r="6264" spans="1:8" x14ac:dyDescent="0.3">
      <c r="A6264" t="s">
        <v>51</v>
      </c>
      <c r="B6264" s="1">
        <v>41005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</row>
    <row r="6265" spans="1:8" x14ac:dyDescent="0.3">
      <c r="A6265" t="s">
        <v>51</v>
      </c>
      <c r="B6265" s="1">
        <v>41012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</row>
    <row r="6266" spans="1:8" x14ac:dyDescent="0.3">
      <c r="A6266" t="s">
        <v>51</v>
      </c>
      <c r="B6266" s="1">
        <v>41019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</row>
    <row r="6267" spans="1:8" x14ac:dyDescent="0.3">
      <c r="A6267" t="s">
        <v>51</v>
      </c>
      <c r="B6267" s="1">
        <v>41026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</row>
    <row r="6268" spans="1:8" x14ac:dyDescent="0.3">
      <c r="A6268" t="s">
        <v>51</v>
      </c>
      <c r="B6268" s="1">
        <v>41033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</row>
    <row r="6269" spans="1:8" x14ac:dyDescent="0.3">
      <c r="A6269" t="s">
        <v>51</v>
      </c>
      <c r="B6269" s="1">
        <v>41040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</row>
    <row r="6270" spans="1:8" x14ac:dyDescent="0.3">
      <c r="A6270" t="s">
        <v>51</v>
      </c>
      <c r="B6270" s="1">
        <v>41047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</row>
    <row r="6271" spans="1:8" x14ac:dyDescent="0.3">
      <c r="A6271" t="s">
        <v>51</v>
      </c>
      <c r="B6271" s="1">
        <v>41054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</row>
    <row r="6272" spans="1:8" x14ac:dyDescent="0.3">
      <c r="A6272" t="s">
        <v>51</v>
      </c>
      <c r="B6272" s="1">
        <v>41061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</row>
    <row r="6273" spans="1:8" x14ac:dyDescent="0.3">
      <c r="A6273" t="s">
        <v>51</v>
      </c>
      <c r="B6273" s="1">
        <v>41068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</row>
    <row r="6274" spans="1:8" x14ac:dyDescent="0.3">
      <c r="A6274" t="s">
        <v>51</v>
      </c>
      <c r="B6274" s="1">
        <v>41075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</row>
    <row r="6275" spans="1:8" x14ac:dyDescent="0.3">
      <c r="A6275" t="s">
        <v>51</v>
      </c>
      <c r="B6275" s="1">
        <v>41082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</row>
    <row r="6276" spans="1:8" x14ac:dyDescent="0.3">
      <c r="A6276" t="s">
        <v>51</v>
      </c>
      <c r="B6276" s="1">
        <v>41089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</row>
    <row r="6277" spans="1:8" x14ac:dyDescent="0.3">
      <c r="A6277" t="s">
        <v>51</v>
      </c>
      <c r="B6277" s="1">
        <v>41096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 x14ac:dyDescent="0.3">
      <c r="A6278" t="s">
        <v>51</v>
      </c>
      <c r="B6278" s="1">
        <v>41103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</row>
    <row r="6279" spans="1:8" x14ac:dyDescent="0.3">
      <c r="A6279" t="s">
        <v>51</v>
      </c>
      <c r="B6279" s="1">
        <v>41110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</row>
    <row r="6280" spans="1:8" x14ac:dyDescent="0.3">
      <c r="A6280" t="s">
        <v>51</v>
      </c>
      <c r="B6280" s="1">
        <v>41117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</row>
    <row r="6281" spans="1:8" x14ac:dyDescent="0.3">
      <c r="A6281" t="s">
        <v>51</v>
      </c>
      <c r="B6281" s="1">
        <v>41124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</row>
    <row r="6282" spans="1:8" x14ac:dyDescent="0.3">
      <c r="A6282" t="s">
        <v>51</v>
      </c>
      <c r="B6282" s="1">
        <v>41131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</row>
    <row r="6283" spans="1:8" x14ac:dyDescent="0.3">
      <c r="A6283" t="s">
        <v>51</v>
      </c>
      <c r="B6283" s="1">
        <v>41138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</row>
    <row r="6284" spans="1:8" x14ac:dyDescent="0.3">
      <c r="A6284" t="s">
        <v>51</v>
      </c>
      <c r="B6284" s="1">
        <v>41145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</row>
    <row r="6285" spans="1:8" x14ac:dyDescent="0.3">
      <c r="A6285" t="s">
        <v>51</v>
      </c>
      <c r="B6285" s="1">
        <v>41152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</row>
    <row r="6286" spans="1:8" x14ac:dyDescent="0.3">
      <c r="A6286" t="s">
        <v>51</v>
      </c>
      <c r="B6286" s="1">
        <v>41159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</row>
    <row r="6287" spans="1:8" x14ac:dyDescent="0.3">
      <c r="A6287" t="s">
        <v>51</v>
      </c>
      <c r="B6287" s="1">
        <v>41166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</row>
    <row r="6288" spans="1:8" x14ac:dyDescent="0.3">
      <c r="A6288" t="s">
        <v>51</v>
      </c>
      <c r="B6288" s="1">
        <v>41173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</row>
    <row r="6289" spans="1:8" x14ac:dyDescent="0.3">
      <c r="A6289" t="s">
        <v>51</v>
      </c>
      <c r="B6289" s="1">
        <v>41180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</row>
    <row r="6290" spans="1:8" x14ac:dyDescent="0.3">
      <c r="A6290" t="s">
        <v>51</v>
      </c>
      <c r="B6290" s="1">
        <v>41187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</row>
    <row r="6291" spans="1:8" x14ac:dyDescent="0.3">
      <c r="A6291" t="s">
        <v>51</v>
      </c>
      <c r="B6291" s="1">
        <v>41194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</row>
    <row r="6292" spans="1:8" x14ac:dyDescent="0.3">
      <c r="A6292" t="s">
        <v>51</v>
      </c>
      <c r="B6292" s="1">
        <v>41201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</row>
    <row r="6293" spans="1:8" x14ac:dyDescent="0.3">
      <c r="A6293" t="s">
        <v>51</v>
      </c>
      <c r="B6293" s="1">
        <v>41208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</row>
    <row r="6294" spans="1:8" x14ac:dyDescent="0.3">
      <c r="A6294" t="s">
        <v>52</v>
      </c>
      <c r="B6294" s="1">
        <v>40214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</row>
    <row r="6295" spans="1:8" x14ac:dyDescent="0.3">
      <c r="A6295" t="s">
        <v>52</v>
      </c>
      <c r="B6295" s="1">
        <v>40221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</row>
    <row r="6296" spans="1:8" x14ac:dyDescent="0.3">
      <c r="A6296" t="s">
        <v>52</v>
      </c>
      <c r="B6296" s="1">
        <v>40228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</row>
    <row r="6297" spans="1:8" x14ac:dyDescent="0.3">
      <c r="A6297" t="s">
        <v>52</v>
      </c>
      <c r="B6297" s="1">
        <v>40235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</row>
    <row r="6298" spans="1:8" x14ac:dyDescent="0.3">
      <c r="A6298" t="s">
        <v>52</v>
      </c>
      <c r="B6298" s="1">
        <v>40242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</row>
    <row r="6299" spans="1:8" x14ac:dyDescent="0.3">
      <c r="A6299" t="s">
        <v>52</v>
      </c>
      <c r="B6299" s="1">
        <v>40249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</row>
    <row r="6300" spans="1:8" x14ac:dyDescent="0.3">
      <c r="A6300" t="s">
        <v>52</v>
      </c>
      <c r="B6300" s="1">
        <v>40256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</row>
    <row r="6301" spans="1:8" x14ac:dyDescent="0.3">
      <c r="A6301" t="s">
        <v>52</v>
      </c>
      <c r="B6301" s="1">
        <v>40263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</row>
    <row r="6302" spans="1:8" x14ac:dyDescent="0.3">
      <c r="A6302" t="s">
        <v>52</v>
      </c>
      <c r="B6302" s="1">
        <v>40270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</row>
    <row r="6303" spans="1:8" x14ac:dyDescent="0.3">
      <c r="A6303" t="s">
        <v>52</v>
      </c>
      <c r="B6303" s="1">
        <v>40277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</row>
    <row r="6304" spans="1:8" x14ac:dyDescent="0.3">
      <c r="A6304" t="s">
        <v>52</v>
      </c>
      <c r="B6304" s="1">
        <v>40284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</row>
    <row r="6305" spans="1:8" x14ac:dyDescent="0.3">
      <c r="A6305" t="s">
        <v>52</v>
      </c>
      <c r="B6305" s="1">
        <v>40291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</row>
    <row r="6306" spans="1:8" x14ac:dyDescent="0.3">
      <c r="A6306" t="s">
        <v>52</v>
      </c>
      <c r="B6306" s="1">
        <v>40298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</row>
    <row r="6307" spans="1:8" x14ac:dyDescent="0.3">
      <c r="A6307" t="s">
        <v>52</v>
      </c>
      <c r="B6307" s="1">
        <v>40305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</row>
    <row r="6308" spans="1:8" x14ac:dyDescent="0.3">
      <c r="A6308" t="s">
        <v>52</v>
      </c>
      <c r="B6308" s="1">
        <v>40312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</row>
    <row r="6309" spans="1:8" x14ac:dyDescent="0.3">
      <c r="A6309" t="s">
        <v>52</v>
      </c>
      <c r="B6309" s="1">
        <v>40319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</row>
    <row r="6310" spans="1:8" x14ac:dyDescent="0.3">
      <c r="A6310" t="s">
        <v>52</v>
      </c>
      <c r="B6310" s="1">
        <v>40326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</row>
    <row r="6311" spans="1:8" x14ac:dyDescent="0.3">
      <c r="A6311" t="s">
        <v>52</v>
      </c>
      <c r="B6311" s="1">
        <v>40333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</row>
    <row r="6312" spans="1:8" x14ac:dyDescent="0.3">
      <c r="A6312" t="s">
        <v>52</v>
      </c>
      <c r="B6312" s="1">
        <v>40340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</row>
    <row r="6313" spans="1:8" x14ac:dyDescent="0.3">
      <c r="A6313" t="s">
        <v>52</v>
      </c>
      <c r="B6313" s="1">
        <v>40347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</row>
    <row r="6314" spans="1:8" x14ac:dyDescent="0.3">
      <c r="A6314" t="s">
        <v>52</v>
      </c>
      <c r="B6314" s="1">
        <v>40354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</row>
    <row r="6315" spans="1:8" x14ac:dyDescent="0.3">
      <c r="A6315" t="s">
        <v>52</v>
      </c>
      <c r="B6315" s="1">
        <v>40361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</row>
    <row r="6316" spans="1:8" x14ac:dyDescent="0.3">
      <c r="A6316" t="s">
        <v>52</v>
      </c>
      <c r="B6316" s="1">
        <v>40368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</row>
    <row r="6317" spans="1:8" x14ac:dyDescent="0.3">
      <c r="A6317" t="s">
        <v>52</v>
      </c>
      <c r="B6317" s="1">
        <v>40375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</row>
    <row r="6318" spans="1:8" x14ac:dyDescent="0.3">
      <c r="A6318" t="s">
        <v>52</v>
      </c>
      <c r="B6318" s="1">
        <v>40382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</row>
    <row r="6319" spans="1:8" x14ac:dyDescent="0.3">
      <c r="A6319" t="s">
        <v>52</v>
      </c>
      <c r="B6319" s="1">
        <v>40389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</row>
    <row r="6320" spans="1:8" x14ac:dyDescent="0.3">
      <c r="A6320" t="s">
        <v>52</v>
      </c>
      <c r="B6320" s="1">
        <v>40396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</row>
    <row r="6321" spans="1:8" x14ac:dyDescent="0.3">
      <c r="A6321" t="s">
        <v>52</v>
      </c>
      <c r="B6321" s="1">
        <v>40403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</row>
    <row r="6322" spans="1:8" x14ac:dyDescent="0.3">
      <c r="A6322" t="s">
        <v>52</v>
      </c>
      <c r="B6322" s="1">
        <v>40410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</row>
    <row r="6323" spans="1:8" x14ac:dyDescent="0.3">
      <c r="A6323" t="s">
        <v>52</v>
      </c>
      <c r="B6323" s="1">
        <v>40417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</row>
    <row r="6324" spans="1:8" x14ac:dyDescent="0.3">
      <c r="A6324" t="s">
        <v>52</v>
      </c>
      <c r="B6324" s="1">
        <v>40424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</row>
    <row r="6325" spans="1:8" x14ac:dyDescent="0.3">
      <c r="A6325" t="s">
        <v>52</v>
      </c>
      <c r="B6325" s="1">
        <v>40431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</row>
    <row r="6326" spans="1:8" x14ac:dyDescent="0.3">
      <c r="A6326" t="s">
        <v>52</v>
      </c>
      <c r="B6326" s="1">
        <v>40438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</row>
    <row r="6327" spans="1:8" x14ac:dyDescent="0.3">
      <c r="A6327" t="s">
        <v>52</v>
      </c>
      <c r="B6327" s="1">
        <v>40445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</row>
    <row r="6328" spans="1:8" x14ac:dyDescent="0.3">
      <c r="A6328" t="s">
        <v>52</v>
      </c>
      <c r="B6328" s="1">
        <v>40452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</row>
    <row r="6329" spans="1:8" x14ac:dyDescent="0.3">
      <c r="A6329" t="s">
        <v>52</v>
      </c>
      <c r="B6329" s="1">
        <v>40459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</row>
    <row r="6330" spans="1:8" x14ac:dyDescent="0.3">
      <c r="A6330" t="s">
        <v>52</v>
      </c>
      <c r="B6330" s="1">
        <v>40466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</row>
    <row r="6331" spans="1:8" x14ac:dyDescent="0.3">
      <c r="A6331" t="s">
        <v>52</v>
      </c>
      <c r="B6331" s="1">
        <v>40473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</row>
    <row r="6332" spans="1:8" x14ac:dyDescent="0.3">
      <c r="A6332" t="s">
        <v>52</v>
      </c>
      <c r="B6332" s="1">
        <v>40480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</row>
    <row r="6333" spans="1:8" x14ac:dyDescent="0.3">
      <c r="A6333" t="s">
        <v>52</v>
      </c>
      <c r="B6333" s="1">
        <v>40487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</row>
    <row r="6334" spans="1:8" x14ac:dyDescent="0.3">
      <c r="A6334" t="s">
        <v>52</v>
      </c>
      <c r="B6334" s="1">
        <v>40494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</row>
    <row r="6335" spans="1:8" x14ac:dyDescent="0.3">
      <c r="A6335" t="s">
        <v>52</v>
      </c>
      <c r="B6335" s="1">
        <v>40501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</row>
    <row r="6336" spans="1:8" x14ac:dyDescent="0.3">
      <c r="A6336" t="s">
        <v>52</v>
      </c>
      <c r="B6336" s="1">
        <v>40508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</row>
    <row r="6337" spans="1:8" x14ac:dyDescent="0.3">
      <c r="A6337" t="s">
        <v>52</v>
      </c>
      <c r="B6337" s="1">
        <v>40515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</row>
    <row r="6338" spans="1:8" x14ac:dyDescent="0.3">
      <c r="A6338" t="s">
        <v>52</v>
      </c>
      <c r="B6338" s="1">
        <v>40522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</row>
    <row r="6339" spans="1:8" x14ac:dyDescent="0.3">
      <c r="A6339" t="s">
        <v>52</v>
      </c>
      <c r="B6339" s="1">
        <v>40529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</row>
    <row r="6340" spans="1:8" x14ac:dyDescent="0.3">
      <c r="A6340" t="s">
        <v>52</v>
      </c>
      <c r="B6340" s="1">
        <v>40536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</row>
    <row r="6341" spans="1:8" x14ac:dyDescent="0.3">
      <c r="A6341" t="s">
        <v>52</v>
      </c>
      <c r="B6341" s="1">
        <v>40543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</row>
    <row r="6342" spans="1:8" x14ac:dyDescent="0.3">
      <c r="A6342" t="s">
        <v>52</v>
      </c>
      <c r="B6342" s="1">
        <v>40550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</row>
    <row r="6343" spans="1:8" x14ac:dyDescent="0.3">
      <c r="A6343" t="s">
        <v>52</v>
      </c>
      <c r="B6343" s="1">
        <v>40557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</row>
    <row r="6344" spans="1:8" x14ac:dyDescent="0.3">
      <c r="A6344" t="s">
        <v>52</v>
      </c>
      <c r="B6344" s="1">
        <v>40564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</row>
    <row r="6345" spans="1:8" x14ac:dyDescent="0.3">
      <c r="A6345" t="s">
        <v>52</v>
      </c>
      <c r="B6345" s="1">
        <v>40571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</row>
    <row r="6346" spans="1:8" x14ac:dyDescent="0.3">
      <c r="A6346" t="s">
        <v>52</v>
      </c>
      <c r="B6346" s="1">
        <v>40578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</row>
    <row r="6347" spans="1:8" x14ac:dyDescent="0.3">
      <c r="A6347" t="s">
        <v>52</v>
      </c>
      <c r="B6347" s="1">
        <v>40585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</row>
    <row r="6348" spans="1:8" x14ac:dyDescent="0.3">
      <c r="A6348" t="s">
        <v>52</v>
      </c>
      <c r="B6348" s="1">
        <v>40592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</row>
    <row r="6349" spans="1:8" x14ac:dyDescent="0.3">
      <c r="A6349" t="s">
        <v>52</v>
      </c>
      <c r="B6349" s="1">
        <v>40599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</row>
    <row r="6350" spans="1:8" x14ac:dyDescent="0.3">
      <c r="A6350" t="s">
        <v>52</v>
      </c>
      <c r="B6350" s="1">
        <v>40606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</row>
    <row r="6351" spans="1:8" x14ac:dyDescent="0.3">
      <c r="A6351" t="s">
        <v>52</v>
      </c>
      <c r="B6351" s="1">
        <v>40613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</row>
    <row r="6352" spans="1:8" x14ac:dyDescent="0.3">
      <c r="A6352" t="s">
        <v>52</v>
      </c>
      <c r="B6352" s="1">
        <v>40620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</row>
    <row r="6353" spans="1:8" x14ac:dyDescent="0.3">
      <c r="A6353" t="s">
        <v>52</v>
      </c>
      <c r="B6353" s="1">
        <v>40627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</row>
    <row r="6354" spans="1:8" x14ac:dyDescent="0.3">
      <c r="A6354" t="s">
        <v>52</v>
      </c>
      <c r="B6354" s="1">
        <v>40634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</row>
    <row r="6355" spans="1:8" x14ac:dyDescent="0.3">
      <c r="A6355" t="s">
        <v>52</v>
      </c>
      <c r="B6355" s="1">
        <v>40641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</row>
    <row r="6356" spans="1:8" x14ac:dyDescent="0.3">
      <c r="A6356" t="s">
        <v>52</v>
      </c>
      <c r="B6356" s="1">
        <v>40648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</row>
    <row r="6357" spans="1:8" x14ac:dyDescent="0.3">
      <c r="A6357" t="s">
        <v>52</v>
      </c>
      <c r="B6357" s="1">
        <v>40655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</row>
    <row r="6358" spans="1:8" x14ac:dyDescent="0.3">
      <c r="A6358" t="s">
        <v>52</v>
      </c>
      <c r="B6358" s="1">
        <v>40662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</row>
    <row r="6359" spans="1:8" x14ac:dyDescent="0.3">
      <c r="A6359" t="s">
        <v>52</v>
      </c>
      <c r="B6359" s="1">
        <v>40669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</row>
    <row r="6360" spans="1:8" x14ac:dyDescent="0.3">
      <c r="A6360" t="s">
        <v>52</v>
      </c>
      <c r="B6360" s="1">
        <v>40676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</row>
    <row r="6361" spans="1:8" x14ac:dyDescent="0.3">
      <c r="A6361" t="s">
        <v>52</v>
      </c>
      <c r="B6361" s="1">
        <v>40683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</row>
    <row r="6362" spans="1:8" x14ac:dyDescent="0.3">
      <c r="A6362" t="s">
        <v>52</v>
      </c>
      <c r="B6362" s="1">
        <v>40690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</row>
    <row r="6363" spans="1:8" x14ac:dyDescent="0.3">
      <c r="A6363" t="s">
        <v>52</v>
      </c>
      <c r="B6363" s="1">
        <v>40697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</row>
    <row r="6364" spans="1:8" x14ac:dyDescent="0.3">
      <c r="A6364" t="s">
        <v>52</v>
      </c>
      <c r="B6364" s="1">
        <v>40704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</row>
    <row r="6365" spans="1:8" x14ac:dyDescent="0.3">
      <c r="A6365" t="s">
        <v>52</v>
      </c>
      <c r="B6365" s="1">
        <v>40711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</row>
    <row r="6366" spans="1:8" x14ac:dyDescent="0.3">
      <c r="A6366" t="s">
        <v>52</v>
      </c>
      <c r="B6366" s="1">
        <v>40718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</row>
    <row r="6367" spans="1:8" x14ac:dyDescent="0.3">
      <c r="A6367" t="s">
        <v>52</v>
      </c>
      <c r="B6367" s="1">
        <v>40725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</row>
    <row r="6368" spans="1:8" x14ac:dyDescent="0.3">
      <c r="A6368" t="s">
        <v>52</v>
      </c>
      <c r="B6368" s="1">
        <v>40732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</row>
    <row r="6369" spans="1:8" x14ac:dyDescent="0.3">
      <c r="A6369" t="s">
        <v>52</v>
      </c>
      <c r="B6369" s="1">
        <v>40739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</row>
    <row r="6370" spans="1:8" x14ac:dyDescent="0.3">
      <c r="A6370" t="s">
        <v>52</v>
      </c>
      <c r="B6370" s="1">
        <v>40746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</row>
    <row r="6371" spans="1:8" x14ac:dyDescent="0.3">
      <c r="A6371" t="s">
        <v>52</v>
      </c>
      <c r="B6371" s="1">
        <v>40753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</row>
    <row r="6372" spans="1:8" x14ac:dyDescent="0.3">
      <c r="A6372" t="s">
        <v>52</v>
      </c>
      <c r="B6372" s="1">
        <v>40760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</row>
    <row r="6373" spans="1:8" x14ac:dyDescent="0.3">
      <c r="A6373" t="s">
        <v>52</v>
      </c>
      <c r="B6373" s="1">
        <v>40767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</row>
    <row r="6374" spans="1:8" x14ac:dyDescent="0.3">
      <c r="A6374" t="s">
        <v>52</v>
      </c>
      <c r="B6374" s="1">
        <v>40774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</row>
    <row r="6375" spans="1:8" x14ac:dyDescent="0.3">
      <c r="A6375" t="s">
        <v>52</v>
      </c>
      <c r="B6375" s="1">
        <v>40781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</row>
    <row r="6376" spans="1:8" x14ac:dyDescent="0.3">
      <c r="A6376" t="s">
        <v>52</v>
      </c>
      <c r="B6376" s="1">
        <v>40788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</row>
    <row r="6377" spans="1:8" x14ac:dyDescent="0.3">
      <c r="A6377" t="s">
        <v>52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</row>
    <row r="6378" spans="1:8" x14ac:dyDescent="0.3">
      <c r="A6378" t="s">
        <v>52</v>
      </c>
      <c r="B6378" s="1">
        <v>40802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</row>
    <row r="6379" spans="1:8" x14ac:dyDescent="0.3">
      <c r="A6379" t="s">
        <v>52</v>
      </c>
      <c r="B6379" s="1">
        <v>40809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</row>
    <row r="6380" spans="1:8" x14ac:dyDescent="0.3">
      <c r="A6380" t="s">
        <v>52</v>
      </c>
      <c r="B6380" s="1">
        <v>40816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</row>
    <row r="6381" spans="1:8" x14ac:dyDescent="0.3">
      <c r="A6381" t="s">
        <v>52</v>
      </c>
      <c r="B6381" s="1">
        <v>40823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</row>
    <row r="6382" spans="1:8" x14ac:dyDescent="0.3">
      <c r="A6382" t="s">
        <v>52</v>
      </c>
      <c r="B6382" s="1">
        <v>40830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</row>
    <row r="6383" spans="1:8" x14ac:dyDescent="0.3">
      <c r="A6383" t="s">
        <v>52</v>
      </c>
      <c r="B6383" s="1">
        <v>40837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</row>
    <row r="6384" spans="1:8" x14ac:dyDescent="0.3">
      <c r="A6384" t="s">
        <v>52</v>
      </c>
      <c r="B6384" s="1">
        <v>40844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</row>
    <row r="6385" spans="1:8" x14ac:dyDescent="0.3">
      <c r="A6385" t="s">
        <v>52</v>
      </c>
      <c r="B6385" s="1">
        <v>40851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</row>
    <row r="6386" spans="1:8" x14ac:dyDescent="0.3">
      <c r="A6386" t="s">
        <v>52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</row>
    <row r="6387" spans="1:8" x14ac:dyDescent="0.3">
      <c r="A6387" t="s">
        <v>52</v>
      </c>
      <c r="B6387" s="1">
        <v>40865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</row>
    <row r="6388" spans="1:8" x14ac:dyDescent="0.3">
      <c r="A6388" t="s">
        <v>52</v>
      </c>
      <c r="B6388" s="1">
        <v>40872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</row>
    <row r="6389" spans="1:8" x14ac:dyDescent="0.3">
      <c r="A6389" t="s">
        <v>52</v>
      </c>
      <c r="B6389" s="1">
        <v>40879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</row>
    <row r="6390" spans="1:8" x14ac:dyDescent="0.3">
      <c r="A6390" t="s">
        <v>52</v>
      </c>
      <c r="B6390" s="1">
        <v>40886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</row>
    <row r="6391" spans="1:8" x14ac:dyDescent="0.3">
      <c r="A6391" t="s">
        <v>52</v>
      </c>
      <c r="B6391" s="1">
        <v>40893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</row>
    <row r="6392" spans="1:8" x14ac:dyDescent="0.3">
      <c r="A6392" t="s">
        <v>52</v>
      </c>
      <c r="B6392" s="1">
        <v>40900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</row>
    <row r="6393" spans="1:8" x14ac:dyDescent="0.3">
      <c r="A6393" t="s">
        <v>52</v>
      </c>
      <c r="B6393" s="1">
        <v>40907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</row>
    <row r="6394" spans="1:8" x14ac:dyDescent="0.3">
      <c r="A6394" t="s">
        <v>52</v>
      </c>
      <c r="B6394" s="1">
        <v>40914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</row>
    <row r="6395" spans="1:8" x14ac:dyDescent="0.3">
      <c r="A6395" t="s">
        <v>52</v>
      </c>
      <c r="B6395" s="1">
        <v>40921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</row>
    <row r="6396" spans="1:8" x14ac:dyDescent="0.3">
      <c r="A6396" t="s">
        <v>52</v>
      </c>
      <c r="B6396" s="1">
        <v>40928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</row>
    <row r="6397" spans="1:8" x14ac:dyDescent="0.3">
      <c r="A6397" t="s">
        <v>52</v>
      </c>
      <c r="B6397" s="1">
        <v>40935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</row>
    <row r="6398" spans="1:8" x14ac:dyDescent="0.3">
      <c r="A6398" t="s">
        <v>52</v>
      </c>
      <c r="B6398" s="1">
        <v>40942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</row>
    <row r="6399" spans="1:8" x14ac:dyDescent="0.3">
      <c r="A6399" t="s">
        <v>52</v>
      </c>
      <c r="B6399" s="1">
        <v>40949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</row>
    <row r="6400" spans="1:8" x14ac:dyDescent="0.3">
      <c r="A6400" t="s">
        <v>52</v>
      </c>
      <c r="B6400" s="1">
        <v>40956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</row>
    <row r="6401" spans="1:8" x14ac:dyDescent="0.3">
      <c r="A6401" t="s">
        <v>52</v>
      </c>
      <c r="B6401" s="1">
        <v>40963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</row>
    <row r="6402" spans="1:8" x14ac:dyDescent="0.3">
      <c r="A6402" t="s">
        <v>52</v>
      </c>
      <c r="B6402" s="1">
        <v>40970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</row>
    <row r="6403" spans="1:8" x14ac:dyDescent="0.3">
      <c r="A6403" t="s">
        <v>52</v>
      </c>
      <c r="B6403" s="1">
        <v>40977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</row>
    <row r="6404" spans="1:8" x14ac:dyDescent="0.3">
      <c r="A6404" t="s">
        <v>52</v>
      </c>
      <c r="B6404" s="1">
        <v>40984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</row>
    <row r="6405" spans="1:8" x14ac:dyDescent="0.3">
      <c r="A6405" t="s">
        <v>52</v>
      </c>
      <c r="B6405" s="1">
        <v>40991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</row>
    <row r="6406" spans="1:8" x14ac:dyDescent="0.3">
      <c r="A6406" t="s">
        <v>52</v>
      </c>
      <c r="B6406" s="1">
        <v>40998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</row>
    <row r="6407" spans="1:8" x14ac:dyDescent="0.3">
      <c r="A6407" t="s">
        <v>52</v>
      </c>
      <c r="B6407" s="1">
        <v>41005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</row>
    <row r="6408" spans="1:8" x14ac:dyDescent="0.3">
      <c r="A6408" t="s">
        <v>52</v>
      </c>
      <c r="B6408" s="1">
        <v>41012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</row>
    <row r="6409" spans="1:8" x14ac:dyDescent="0.3">
      <c r="A6409" t="s">
        <v>52</v>
      </c>
      <c r="B6409" s="1">
        <v>41019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</row>
    <row r="6410" spans="1:8" x14ac:dyDescent="0.3">
      <c r="A6410" t="s">
        <v>52</v>
      </c>
      <c r="B6410" s="1">
        <v>41026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</row>
    <row r="6411" spans="1:8" x14ac:dyDescent="0.3">
      <c r="A6411" t="s">
        <v>52</v>
      </c>
      <c r="B6411" s="1">
        <v>41033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</row>
    <row r="6412" spans="1:8" x14ac:dyDescent="0.3">
      <c r="A6412" t="s">
        <v>52</v>
      </c>
      <c r="B6412" s="1">
        <v>41040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</row>
    <row r="6413" spans="1:8" x14ac:dyDescent="0.3">
      <c r="A6413" t="s">
        <v>52</v>
      </c>
      <c r="B6413" s="1">
        <v>41047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</row>
    <row r="6414" spans="1:8" x14ac:dyDescent="0.3">
      <c r="A6414" t="s">
        <v>52</v>
      </c>
      <c r="B6414" s="1">
        <v>41054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</row>
    <row r="6415" spans="1:8" x14ac:dyDescent="0.3">
      <c r="A6415" t="s">
        <v>52</v>
      </c>
      <c r="B6415" s="1">
        <v>41061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</row>
    <row r="6416" spans="1:8" x14ac:dyDescent="0.3">
      <c r="A6416" t="s">
        <v>52</v>
      </c>
      <c r="B6416" s="1">
        <v>41068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</row>
    <row r="6417" spans="1:8" x14ac:dyDescent="0.3">
      <c r="A6417" t="s">
        <v>52</v>
      </c>
      <c r="B6417" s="1">
        <v>41075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</row>
    <row r="6418" spans="1:8" x14ac:dyDescent="0.3">
      <c r="A6418" t="s">
        <v>52</v>
      </c>
      <c r="B6418" s="1">
        <v>41082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</row>
    <row r="6419" spans="1:8" x14ac:dyDescent="0.3">
      <c r="A6419" t="s">
        <v>52</v>
      </c>
      <c r="B6419" s="1">
        <v>41089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</row>
    <row r="6420" spans="1:8" x14ac:dyDescent="0.3">
      <c r="A6420" t="s">
        <v>52</v>
      </c>
      <c r="B6420" s="1">
        <v>41096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</row>
    <row r="6421" spans="1:8" x14ac:dyDescent="0.3">
      <c r="A6421" t="s">
        <v>52</v>
      </c>
      <c r="B6421" s="1">
        <v>41103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</row>
    <row r="6422" spans="1:8" x14ac:dyDescent="0.3">
      <c r="A6422" t="s">
        <v>52</v>
      </c>
      <c r="B6422" s="1">
        <v>41110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</row>
    <row r="6423" spans="1:8" x14ac:dyDescent="0.3">
      <c r="A6423" t="s">
        <v>52</v>
      </c>
      <c r="B6423" s="1">
        <v>41117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</row>
    <row r="6424" spans="1:8" x14ac:dyDescent="0.3">
      <c r="A6424" t="s">
        <v>52</v>
      </c>
      <c r="B6424" s="1">
        <v>41124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</row>
    <row r="6425" spans="1:8" x14ac:dyDescent="0.3">
      <c r="A6425" t="s">
        <v>52</v>
      </c>
      <c r="B6425" s="1">
        <v>41131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</row>
    <row r="6426" spans="1:8" x14ac:dyDescent="0.3">
      <c r="A6426" t="s">
        <v>52</v>
      </c>
      <c r="B6426" s="1">
        <v>41138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</row>
    <row r="6427" spans="1:8" x14ac:dyDescent="0.3">
      <c r="A6427" t="s">
        <v>52</v>
      </c>
      <c r="B6427" s="1">
        <v>41145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</row>
    <row r="6428" spans="1:8" x14ac:dyDescent="0.3">
      <c r="A6428" t="s">
        <v>52</v>
      </c>
      <c r="B6428" s="1">
        <v>41152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</row>
    <row r="6429" spans="1:8" x14ac:dyDescent="0.3">
      <c r="A6429" t="s">
        <v>52</v>
      </c>
      <c r="B6429" s="1">
        <v>41159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</row>
    <row r="6430" spans="1:8" x14ac:dyDescent="0.3">
      <c r="A6430" t="s">
        <v>52</v>
      </c>
      <c r="B6430" s="1">
        <v>41166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</row>
    <row r="6431" spans="1:8" x14ac:dyDescent="0.3">
      <c r="A6431" t="s">
        <v>52</v>
      </c>
      <c r="B6431" s="1">
        <v>41173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</row>
    <row r="6432" spans="1:8" x14ac:dyDescent="0.3">
      <c r="A6432" t="s">
        <v>52</v>
      </c>
      <c r="B6432" s="1">
        <v>41180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</row>
    <row r="6433" spans="1:8" x14ac:dyDescent="0.3">
      <c r="A6433" t="s">
        <v>52</v>
      </c>
      <c r="B6433" s="1">
        <v>41187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</row>
    <row r="6434" spans="1:8" x14ac:dyDescent="0.3">
      <c r="A6434" t="s">
        <v>52</v>
      </c>
      <c r="B6434" s="1">
        <v>41194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</row>
    <row r="6435" spans="1:8" x14ac:dyDescent="0.3">
      <c r="A6435" t="s">
        <v>52</v>
      </c>
      <c r="B6435" s="1">
        <v>41201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</row>
    <row r="6436" spans="1:8" x14ac:dyDescent="0.3">
      <c r="A6436" t="s">
        <v>52</v>
      </c>
      <c r="B6436" s="1">
        <v>41208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91F1-6DC3-4175-BF14-268299BA43D9}">
  <dimension ref="A1:R150"/>
  <sheetViews>
    <sheetView showGridLines="0" showRowColHeaders="0" tabSelected="1" zoomScaleNormal="100" workbookViewId="0">
      <selection activeCell="P32" sqref="P32"/>
    </sheetView>
  </sheetViews>
  <sheetFormatPr defaultRowHeight="14.4" x14ac:dyDescent="0.3"/>
  <cols>
    <col min="1" max="1" width="7.44140625" customWidth="1"/>
    <col min="2" max="2" width="17.21875" customWidth="1"/>
    <col min="3" max="3" width="10.6640625" customWidth="1"/>
    <col min="4" max="4" width="12" customWidth="1"/>
    <col min="5" max="5" width="10" customWidth="1"/>
    <col min="6" max="6" width="5.33203125" customWidth="1"/>
    <col min="7" max="7" width="7.6640625" bestFit="1" customWidth="1"/>
    <col min="8" max="8" width="17.88671875" bestFit="1" customWidth="1"/>
    <col min="9" max="9" width="4.109375" customWidth="1"/>
    <col min="10" max="10" width="12.5546875" bestFit="1" customWidth="1"/>
    <col min="11" max="11" width="19.109375" bestFit="1" customWidth="1"/>
    <col min="12" max="12" width="4" customWidth="1"/>
    <col min="13" max="13" width="9" bestFit="1" customWidth="1"/>
    <col min="14" max="14" width="19.109375" bestFit="1" customWidth="1"/>
    <col min="15" max="15" width="5.6640625" customWidth="1"/>
    <col min="16" max="16" width="22.33203125" customWidth="1"/>
    <col min="17" max="17" width="19.44140625" customWidth="1"/>
  </cols>
  <sheetData>
    <row r="1" spans="1:18" x14ac:dyDescent="0.3">
      <c r="A1" s="9"/>
      <c r="B1" s="9"/>
      <c r="C1" s="9"/>
      <c r="D1" s="9"/>
      <c r="E1" s="9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x14ac:dyDescent="0.3">
      <c r="A2" s="9"/>
      <c r="B2" s="51" t="s">
        <v>53</v>
      </c>
      <c r="C2" s="51"/>
      <c r="D2" s="51"/>
      <c r="E2" s="9"/>
      <c r="F2" s="38"/>
      <c r="G2" s="38"/>
      <c r="H2" s="53" t="s">
        <v>90</v>
      </c>
      <c r="I2" s="53"/>
      <c r="J2" s="53"/>
      <c r="K2" s="53"/>
      <c r="L2" s="38"/>
      <c r="M2" s="38"/>
      <c r="N2" s="38"/>
      <c r="O2" s="38"/>
      <c r="P2" s="54" t="s">
        <v>98</v>
      </c>
      <c r="Q2" s="54"/>
      <c r="R2" s="38"/>
    </row>
    <row r="3" spans="1:18" x14ac:dyDescent="0.3">
      <c r="A3" s="9"/>
      <c r="B3" s="9"/>
      <c r="C3" s="9"/>
      <c r="D3" s="9"/>
      <c r="E3" s="9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1:18" x14ac:dyDescent="0.3">
      <c r="A4" s="9"/>
      <c r="B4" s="9"/>
      <c r="C4" s="9"/>
      <c r="D4" s="9"/>
      <c r="E4" s="9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</row>
    <row r="5" spans="1:18" x14ac:dyDescent="0.3">
      <c r="A5" s="9"/>
      <c r="B5" s="10" t="s">
        <v>54</v>
      </c>
      <c r="C5" s="11">
        <v>45</v>
      </c>
      <c r="D5" s="11"/>
      <c r="E5" s="9"/>
      <c r="F5" s="38"/>
      <c r="G5" s="47" t="s">
        <v>0</v>
      </c>
      <c r="H5" s="47" t="s">
        <v>84</v>
      </c>
      <c r="I5" s="38"/>
      <c r="J5" s="48" t="s">
        <v>1</v>
      </c>
      <c r="K5" s="48" t="s">
        <v>64</v>
      </c>
      <c r="L5" s="38"/>
      <c r="M5" s="48" t="s">
        <v>85</v>
      </c>
      <c r="N5" s="48" t="s">
        <v>64</v>
      </c>
      <c r="O5" s="38"/>
      <c r="P5" s="47" t="s">
        <v>59</v>
      </c>
      <c r="Q5" s="47" t="s">
        <v>89</v>
      </c>
      <c r="R5" s="38"/>
    </row>
    <row r="6" spans="1:18" x14ac:dyDescent="0.3">
      <c r="A6" s="9"/>
      <c r="B6" s="10" t="s">
        <v>1</v>
      </c>
      <c r="C6" s="12">
        <f>MIN(Walmart[Date])</f>
        <v>40214</v>
      </c>
      <c r="D6" s="12">
        <f>MAX(Walmart[Date])</f>
        <v>41208</v>
      </c>
      <c r="E6" s="9"/>
      <c r="F6" s="38"/>
      <c r="G6" s="39" t="s">
        <v>27</v>
      </c>
      <c r="H6" s="40">
        <v>301397792.46000004</v>
      </c>
      <c r="I6" s="38"/>
      <c r="J6" s="41">
        <v>40214</v>
      </c>
      <c r="K6" s="42">
        <v>49750740.499999993</v>
      </c>
      <c r="L6" s="38"/>
      <c r="M6" s="43" t="s">
        <v>65</v>
      </c>
      <c r="N6" s="42">
        <v>332598438.48999983</v>
      </c>
      <c r="O6" s="38"/>
      <c r="P6" s="39">
        <v>0</v>
      </c>
      <c r="Q6" s="46">
        <v>1041256.3802088564</v>
      </c>
      <c r="R6" s="38"/>
    </row>
    <row r="7" spans="1:18" x14ac:dyDescent="0.3">
      <c r="A7" s="9"/>
      <c r="B7" s="13" t="s">
        <v>55</v>
      </c>
      <c r="C7" s="14">
        <f>SUM(Walmart[Weekly_Sales])</f>
        <v>6737218987.1100101</v>
      </c>
      <c r="D7" s="15"/>
      <c r="E7" s="9"/>
      <c r="F7" s="38"/>
      <c r="G7" s="39" t="s">
        <v>11</v>
      </c>
      <c r="H7" s="40">
        <v>299543953.38</v>
      </c>
      <c r="I7" s="38"/>
      <c r="J7" s="41">
        <v>40221</v>
      </c>
      <c r="K7" s="42">
        <v>48336677.630000018</v>
      </c>
      <c r="L7" s="38"/>
      <c r="M7" s="43" t="s">
        <v>66</v>
      </c>
      <c r="N7" s="42">
        <v>568727890.44999933</v>
      </c>
      <c r="O7" s="38"/>
      <c r="P7" s="39">
        <v>1</v>
      </c>
      <c r="Q7" s="46">
        <v>1122887.8923555554</v>
      </c>
      <c r="R7" s="38"/>
    </row>
    <row r="8" spans="1:18" x14ac:dyDescent="0.3">
      <c r="A8" s="9"/>
      <c r="B8" s="13" t="s">
        <v>56</v>
      </c>
      <c r="C8" s="16">
        <f>C7/C5</f>
        <v>149715977.49133354</v>
      </c>
      <c r="D8" s="15"/>
      <c r="E8" s="9"/>
      <c r="F8" s="38"/>
      <c r="G8" s="39" t="s">
        <v>21</v>
      </c>
      <c r="H8" s="40">
        <v>288999911.34000003</v>
      </c>
      <c r="I8" s="38"/>
      <c r="J8" s="41">
        <v>40228</v>
      </c>
      <c r="K8" s="42">
        <v>48276993.779999994</v>
      </c>
      <c r="L8" s="38"/>
      <c r="M8" s="43" t="s">
        <v>67</v>
      </c>
      <c r="N8" s="42">
        <v>592785901.27999997</v>
      </c>
      <c r="O8" s="38"/>
      <c r="P8" s="38"/>
      <c r="Q8" s="38"/>
      <c r="R8" s="38"/>
    </row>
    <row r="9" spans="1:18" x14ac:dyDescent="0.3">
      <c r="A9" s="9"/>
      <c r="B9" s="9"/>
      <c r="C9" s="9"/>
      <c r="D9" s="9"/>
      <c r="E9" s="9"/>
      <c r="F9" s="38"/>
      <c r="G9" s="39" t="s">
        <v>20</v>
      </c>
      <c r="H9" s="40">
        <v>286517703.80000013</v>
      </c>
      <c r="I9" s="38"/>
      <c r="J9" s="41">
        <v>40235</v>
      </c>
      <c r="K9" s="42">
        <v>43968571.129999988</v>
      </c>
      <c r="L9" s="38"/>
      <c r="M9" s="43" t="s">
        <v>68</v>
      </c>
      <c r="N9" s="42">
        <v>646859784.97000074</v>
      </c>
      <c r="O9" s="38"/>
      <c r="P9" s="38"/>
      <c r="Q9" s="38"/>
      <c r="R9" s="38"/>
    </row>
    <row r="10" spans="1:18" x14ac:dyDescent="0.3">
      <c r="A10" s="9"/>
      <c r="B10" s="52" t="s">
        <v>86</v>
      </c>
      <c r="C10" s="52"/>
      <c r="D10" s="9"/>
      <c r="E10" s="9"/>
      <c r="F10" s="38"/>
      <c r="G10" s="39" t="s">
        <v>9</v>
      </c>
      <c r="H10" s="40">
        <v>275382440.98000008</v>
      </c>
      <c r="I10" s="38"/>
      <c r="J10" s="41">
        <v>40242</v>
      </c>
      <c r="K10" s="42">
        <v>46871470.300000004</v>
      </c>
      <c r="L10" s="38"/>
      <c r="M10" s="43" t="s">
        <v>69</v>
      </c>
      <c r="N10" s="42">
        <v>557125571.94999957</v>
      </c>
      <c r="O10" s="38"/>
      <c r="P10" s="38"/>
      <c r="Q10" s="38"/>
      <c r="R10" s="38"/>
    </row>
    <row r="11" spans="1:18" x14ac:dyDescent="0.3">
      <c r="A11" s="9"/>
      <c r="B11" s="49" t="s">
        <v>59</v>
      </c>
      <c r="C11" s="49" t="s">
        <v>58</v>
      </c>
      <c r="D11" s="9"/>
      <c r="E11" s="9"/>
      <c r="F11" s="38"/>
      <c r="G11" s="38"/>
      <c r="H11" s="38"/>
      <c r="I11" s="38"/>
      <c r="J11" s="41">
        <v>40249</v>
      </c>
      <c r="K11" s="42">
        <v>45925396.509999998</v>
      </c>
      <c r="L11" s="38"/>
      <c r="M11" s="43" t="s">
        <v>70</v>
      </c>
      <c r="N11" s="42">
        <v>622629886.83999991</v>
      </c>
      <c r="O11" s="38"/>
      <c r="P11" s="38"/>
      <c r="Q11" s="38"/>
      <c r="R11" s="38"/>
    </row>
    <row r="12" spans="1:18" x14ac:dyDescent="0.3">
      <c r="A12" s="9"/>
      <c r="B12" s="18">
        <v>1</v>
      </c>
      <c r="C12" s="17">
        <v>450</v>
      </c>
      <c r="D12" s="9"/>
      <c r="E12" s="9"/>
      <c r="F12" s="38"/>
      <c r="G12" s="38"/>
      <c r="H12" s="38"/>
      <c r="I12" s="38"/>
      <c r="J12" s="41">
        <v>40256</v>
      </c>
      <c r="K12" s="42">
        <v>44988974.640000015</v>
      </c>
      <c r="L12" s="38"/>
      <c r="M12" s="43" t="s">
        <v>71</v>
      </c>
      <c r="N12" s="42">
        <v>650000977.24999976</v>
      </c>
      <c r="O12" s="38"/>
      <c r="P12" s="38"/>
      <c r="Q12" s="38"/>
      <c r="R12" s="38"/>
    </row>
    <row r="13" spans="1:18" x14ac:dyDescent="0.3">
      <c r="A13" s="9"/>
      <c r="B13" s="18">
        <v>0</v>
      </c>
      <c r="C13" s="17">
        <v>5985</v>
      </c>
      <c r="D13" s="9"/>
      <c r="E13" s="9"/>
      <c r="F13" s="38"/>
      <c r="G13" s="38"/>
      <c r="H13" s="38"/>
      <c r="I13" s="38"/>
      <c r="J13" s="41">
        <v>40263</v>
      </c>
      <c r="K13" s="42">
        <v>44133961.049999997</v>
      </c>
      <c r="L13" s="38"/>
      <c r="M13" s="43" t="s">
        <v>72</v>
      </c>
      <c r="N13" s="42">
        <v>613090208.82000017</v>
      </c>
      <c r="O13" s="38"/>
      <c r="P13" s="38"/>
      <c r="Q13" s="38"/>
      <c r="R13" s="38"/>
    </row>
    <row r="14" spans="1:18" x14ac:dyDescent="0.3">
      <c r="A14" s="9"/>
      <c r="B14" s="18" t="s">
        <v>57</v>
      </c>
      <c r="C14" s="17">
        <v>6435</v>
      </c>
      <c r="D14" s="9"/>
      <c r="E14" s="9"/>
      <c r="F14" s="38"/>
      <c r="G14" s="47" t="s">
        <v>0</v>
      </c>
      <c r="H14" s="47" t="s">
        <v>84</v>
      </c>
      <c r="I14" s="38"/>
      <c r="J14" s="41">
        <v>40270</v>
      </c>
      <c r="K14" s="42">
        <v>50423831.259999998</v>
      </c>
      <c r="L14" s="38"/>
      <c r="M14" s="43" t="s">
        <v>73</v>
      </c>
      <c r="N14" s="42">
        <v>578761179.25999987</v>
      </c>
      <c r="O14" s="38"/>
      <c r="P14" s="50" t="s">
        <v>91</v>
      </c>
      <c r="Q14" s="50" t="s">
        <v>79</v>
      </c>
      <c r="R14" s="38"/>
    </row>
    <row r="15" spans="1:18" x14ac:dyDescent="0.3">
      <c r="A15" s="9"/>
      <c r="B15" s="9"/>
      <c r="C15" s="9"/>
      <c r="D15" s="9"/>
      <c r="E15" s="9"/>
      <c r="F15" s="38"/>
      <c r="G15" s="39" t="s">
        <v>45</v>
      </c>
      <c r="H15" s="40">
        <v>55159626.420000024</v>
      </c>
      <c r="I15" s="38"/>
      <c r="J15" s="41">
        <v>40277</v>
      </c>
      <c r="K15" s="42">
        <v>47365290.43999999</v>
      </c>
      <c r="L15" s="38"/>
      <c r="M15" s="43" t="s">
        <v>74</v>
      </c>
      <c r="N15" s="42">
        <v>584784787.58999968</v>
      </c>
      <c r="O15" s="38"/>
      <c r="P15" s="38"/>
      <c r="Q15" s="38"/>
      <c r="R15" s="38"/>
    </row>
    <row r="16" spans="1:18" x14ac:dyDescent="0.3">
      <c r="A16" s="9"/>
      <c r="B16" s="9"/>
      <c r="C16" s="9"/>
      <c r="D16" s="9"/>
      <c r="E16" s="9"/>
      <c r="F16" s="38"/>
      <c r="G16" s="39" t="s">
        <v>43</v>
      </c>
      <c r="H16" s="40">
        <v>53412214.969999984</v>
      </c>
      <c r="I16" s="38"/>
      <c r="J16" s="41">
        <v>40284</v>
      </c>
      <c r="K16" s="42">
        <v>45183667.080000006</v>
      </c>
      <c r="L16" s="38"/>
      <c r="M16" s="43" t="s">
        <v>75</v>
      </c>
      <c r="N16" s="42">
        <v>413015725.01000017</v>
      </c>
      <c r="O16" s="38"/>
      <c r="P16" s="38" t="s">
        <v>92</v>
      </c>
      <c r="Q16" s="44">
        <f>CORREL(Walmart[CPI],Walmart[Weekly_Sales])</f>
        <v>-7.2634162040176503E-2</v>
      </c>
      <c r="R16" s="38"/>
    </row>
    <row r="17" spans="1:18" x14ac:dyDescent="0.3">
      <c r="A17" s="9"/>
      <c r="B17" s="9"/>
      <c r="C17" s="9"/>
      <c r="D17" s="9"/>
      <c r="E17" s="9"/>
      <c r="F17" s="38"/>
      <c r="G17" s="39" t="s">
        <v>12</v>
      </c>
      <c r="H17" s="40">
        <v>45475688.899999999</v>
      </c>
      <c r="I17" s="38"/>
      <c r="J17" s="41">
        <v>40291</v>
      </c>
      <c r="K17" s="42">
        <v>44734452.56000001</v>
      </c>
      <c r="L17" s="38"/>
      <c r="M17" s="43" t="s">
        <v>76</v>
      </c>
      <c r="N17" s="42">
        <v>576838635.19999993</v>
      </c>
      <c r="O17" s="38"/>
      <c r="P17" s="38"/>
      <c r="Q17" s="38"/>
      <c r="R17" s="38"/>
    </row>
    <row r="18" spans="1:18" x14ac:dyDescent="0.3">
      <c r="A18" s="9"/>
      <c r="B18" s="9"/>
      <c r="C18" s="9"/>
      <c r="D18" s="9"/>
      <c r="E18" s="9"/>
      <c r="F18" s="38"/>
      <c r="G18" s="39" t="s">
        <v>51</v>
      </c>
      <c r="H18" s="40">
        <v>43293087.839999989</v>
      </c>
      <c r="I18" s="38"/>
      <c r="J18" s="41">
        <v>40298</v>
      </c>
      <c r="K18" s="42">
        <v>43705126.709999993</v>
      </c>
      <c r="L18" s="38"/>
      <c r="M18" s="38"/>
      <c r="N18" s="38"/>
      <c r="O18" s="38"/>
      <c r="P18" s="38" t="s">
        <v>93</v>
      </c>
      <c r="Q18" s="45">
        <f>CORREL(Walmart[Fuel_Price],Walmart[Weekly_Sales])</f>
        <v>9.4637863144751647E-3</v>
      </c>
      <c r="R18" s="38"/>
    </row>
    <row r="19" spans="1:18" x14ac:dyDescent="0.3">
      <c r="A19" s="9"/>
      <c r="B19" s="19"/>
      <c r="C19" s="20" t="s">
        <v>61</v>
      </c>
      <c r="D19" s="21" t="s">
        <v>62</v>
      </c>
      <c r="E19" s="22" t="s">
        <v>63</v>
      </c>
      <c r="F19" s="38"/>
      <c r="G19" s="39" t="s">
        <v>40</v>
      </c>
      <c r="H19" s="40">
        <v>37160221.960000016</v>
      </c>
      <c r="I19" s="38"/>
      <c r="J19" s="41">
        <v>40305</v>
      </c>
      <c r="K19" s="42">
        <v>48503243.519999996</v>
      </c>
      <c r="L19" s="38"/>
      <c r="M19" s="38"/>
      <c r="N19" s="38"/>
      <c r="O19" s="38"/>
      <c r="P19" s="38"/>
      <c r="Q19" s="38"/>
      <c r="R19" s="38"/>
    </row>
    <row r="20" spans="1:18" x14ac:dyDescent="0.3">
      <c r="A20" s="9"/>
      <c r="B20" s="19"/>
      <c r="C20" s="23"/>
      <c r="D20" s="24"/>
      <c r="E20" s="25"/>
      <c r="F20" s="38"/>
      <c r="G20" s="38"/>
      <c r="H20" s="38"/>
      <c r="I20" s="38"/>
      <c r="J20" s="41">
        <v>40312</v>
      </c>
      <c r="K20" s="42">
        <v>45330080.20000001</v>
      </c>
      <c r="L20" s="38"/>
      <c r="M20" s="38"/>
      <c r="N20" s="38"/>
      <c r="O20" s="38"/>
      <c r="P20" s="38" t="s">
        <v>94</v>
      </c>
      <c r="Q20" s="44">
        <f>CORREL(Walmart[Unemployment],Walmart[Weekly_Sales])</f>
        <v>-0.10617608965795383</v>
      </c>
      <c r="R20" s="38"/>
    </row>
    <row r="21" spans="1:18" x14ac:dyDescent="0.3">
      <c r="A21" s="9"/>
      <c r="B21" s="26" t="s">
        <v>60</v>
      </c>
      <c r="C21" s="27">
        <f>MIN(Walmart[Temperature])</f>
        <v>-2.06</v>
      </c>
      <c r="D21" s="28">
        <f>MAX(Walmart[Temperature])</f>
        <v>100.14</v>
      </c>
      <c r="E21" s="29">
        <f>AVERAGE(Walmart[Temperature])</f>
        <v>60.663782439782288</v>
      </c>
      <c r="F21" s="38"/>
      <c r="G21" s="38"/>
      <c r="H21" s="38"/>
      <c r="I21" s="38"/>
      <c r="J21" s="41">
        <v>40319</v>
      </c>
      <c r="K21" s="42">
        <v>45120108.059999995</v>
      </c>
      <c r="L21" s="38"/>
      <c r="M21" s="38"/>
      <c r="N21" s="38"/>
      <c r="O21" s="38"/>
      <c r="P21" s="38"/>
      <c r="Q21" s="38"/>
      <c r="R21" s="38"/>
    </row>
    <row r="22" spans="1:18" x14ac:dyDescent="0.3">
      <c r="A22" s="9"/>
      <c r="B22" s="30"/>
      <c r="C22" s="23"/>
      <c r="D22" s="24"/>
      <c r="E22" s="25"/>
      <c r="F22" s="38"/>
      <c r="G22" s="38"/>
      <c r="H22" s="38"/>
      <c r="I22" s="38"/>
      <c r="J22" s="41">
        <v>40326</v>
      </c>
      <c r="K22" s="42">
        <v>47757502.559999987</v>
      </c>
      <c r="L22" s="38"/>
      <c r="M22" s="38"/>
      <c r="N22" s="38"/>
      <c r="O22" s="38"/>
      <c r="P22" s="38" t="s">
        <v>95</v>
      </c>
      <c r="Q22" s="44">
        <f>CORREL(Walmart[Temperature],Walmart[Weekly_Sales])</f>
        <v>-6.3810013179469632E-2</v>
      </c>
      <c r="R22" s="38"/>
    </row>
    <row r="23" spans="1:18" x14ac:dyDescent="0.3">
      <c r="A23" s="9"/>
      <c r="B23" s="26" t="s">
        <v>87</v>
      </c>
      <c r="C23" s="31">
        <f>MIN(Walmart[Fuel_Price])</f>
        <v>2.472</v>
      </c>
      <c r="D23" s="32">
        <f>MAX(Walmart[Fuel_Price])</f>
        <v>4.468</v>
      </c>
      <c r="E23" s="33">
        <f>AVERAGE(Walmart[Fuel_Price])</f>
        <v>3.3586068376068319</v>
      </c>
      <c r="F23" s="38"/>
      <c r="G23" s="38"/>
      <c r="H23" s="38"/>
      <c r="I23" s="38"/>
      <c r="J23" s="41">
        <v>40333</v>
      </c>
      <c r="K23" s="42">
        <v>50188543.12000002</v>
      </c>
      <c r="L23" s="38"/>
      <c r="M23" s="38"/>
      <c r="N23" s="38"/>
      <c r="O23" s="38"/>
      <c r="P23" s="38"/>
      <c r="Q23" s="38"/>
      <c r="R23" s="38"/>
    </row>
    <row r="24" spans="1:18" x14ac:dyDescent="0.3">
      <c r="A24" s="9"/>
      <c r="B24" s="30"/>
      <c r="C24" s="23"/>
      <c r="D24" s="24"/>
      <c r="E24" s="25"/>
      <c r="F24" s="38"/>
      <c r="G24" s="38"/>
      <c r="H24" s="38"/>
      <c r="I24" s="38"/>
      <c r="J24" s="41">
        <v>40340</v>
      </c>
      <c r="K24" s="42">
        <v>47826546.720000006</v>
      </c>
      <c r="L24" s="38"/>
      <c r="M24" s="38"/>
      <c r="N24" s="38"/>
      <c r="O24" s="38"/>
      <c r="P24" s="38"/>
      <c r="Q24" s="38"/>
      <c r="R24" s="38"/>
    </row>
    <row r="25" spans="1:18" x14ac:dyDescent="0.3">
      <c r="A25" s="9"/>
      <c r="B25" s="26" t="s">
        <v>6</v>
      </c>
      <c r="C25" s="34">
        <f>MIN(Walmart[CPI])</f>
        <v>126.06399999999999</v>
      </c>
      <c r="D25" s="35">
        <f>MAX(Walmart[CPI])</f>
        <v>227.23280679999999</v>
      </c>
      <c r="E25" s="36">
        <f>AVERAGE(Walmart[CPI])</f>
        <v>171.57839384877991</v>
      </c>
      <c r="F25" s="38"/>
      <c r="G25" s="38"/>
      <c r="H25" s="38"/>
      <c r="I25" s="38"/>
      <c r="J25" s="41">
        <v>40347</v>
      </c>
      <c r="K25" s="42">
        <v>47622046.230000004</v>
      </c>
      <c r="L25" s="38"/>
      <c r="M25" s="38"/>
      <c r="N25" s="38"/>
      <c r="O25" s="38"/>
      <c r="P25" s="38" t="s">
        <v>96</v>
      </c>
      <c r="Q25" s="38"/>
      <c r="R25" s="38"/>
    </row>
    <row r="26" spans="1:18" x14ac:dyDescent="0.3">
      <c r="A26" s="9"/>
      <c r="B26" s="19"/>
      <c r="C26" s="23"/>
      <c r="D26" s="24"/>
      <c r="E26" s="25"/>
      <c r="F26" s="38"/>
      <c r="G26" s="38"/>
      <c r="H26" s="38"/>
      <c r="I26" s="38"/>
      <c r="J26" s="41">
        <v>40354</v>
      </c>
      <c r="K26" s="42">
        <v>46609036.289999999</v>
      </c>
      <c r="L26" s="38"/>
      <c r="M26" s="38"/>
      <c r="N26" s="38"/>
      <c r="O26" s="38"/>
      <c r="P26" s="38" t="s">
        <v>97</v>
      </c>
      <c r="Q26" s="38"/>
      <c r="R26" s="38"/>
    </row>
    <row r="27" spans="1:18" x14ac:dyDescent="0.3">
      <c r="A27" s="9"/>
      <c r="B27" s="26" t="s">
        <v>88</v>
      </c>
      <c r="C27" s="27">
        <f>MIN(Walmart[Unemployment])</f>
        <v>3.879</v>
      </c>
      <c r="D27" s="28">
        <f>MAX(Walmart[Unemployment])</f>
        <v>14.313000000000001</v>
      </c>
      <c r="E27" s="37">
        <f>AVERAGE(Walmart[Unemployment])</f>
        <v>7.9991510489510667</v>
      </c>
      <c r="F27" s="38"/>
      <c r="G27" s="38"/>
      <c r="H27" s="38"/>
      <c r="I27" s="38"/>
      <c r="J27" s="41">
        <v>40361</v>
      </c>
      <c r="K27" s="42">
        <v>48917484.5</v>
      </c>
      <c r="L27" s="38"/>
      <c r="M27" s="38"/>
      <c r="N27" s="38"/>
      <c r="O27" s="38"/>
      <c r="P27" s="38"/>
      <c r="Q27" s="38"/>
      <c r="R27" s="38"/>
    </row>
    <row r="28" spans="1:18" x14ac:dyDescent="0.3">
      <c r="A28" s="9"/>
      <c r="B28" s="9"/>
      <c r="C28" s="9"/>
      <c r="D28" s="9"/>
      <c r="E28" s="9"/>
      <c r="F28" s="38"/>
      <c r="G28" s="38"/>
      <c r="H28" s="38"/>
      <c r="I28" s="38"/>
      <c r="J28" s="41">
        <v>40368</v>
      </c>
      <c r="K28" s="42">
        <v>47899529.370000005</v>
      </c>
      <c r="L28" s="38"/>
      <c r="M28" s="38"/>
      <c r="N28" s="38"/>
      <c r="O28" s="38"/>
      <c r="P28" s="38"/>
      <c r="Q28" s="38"/>
      <c r="R28" s="38"/>
    </row>
    <row r="29" spans="1:18" x14ac:dyDescent="0.3">
      <c r="A29" s="9"/>
      <c r="B29" s="9"/>
      <c r="C29" s="9"/>
      <c r="D29" s="9"/>
      <c r="E29" s="9"/>
      <c r="F29" s="38"/>
      <c r="G29" s="38"/>
      <c r="H29" s="38"/>
      <c r="I29" s="38"/>
      <c r="J29" s="41">
        <v>40375</v>
      </c>
      <c r="K29" s="42">
        <v>46243899.580000013</v>
      </c>
      <c r="L29" s="38"/>
      <c r="M29" s="38"/>
      <c r="N29" s="38"/>
      <c r="O29" s="38"/>
      <c r="P29" s="38"/>
      <c r="Q29" s="38"/>
      <c r="R29" s="38"/>
    </row>
    <row r="30" spans="1:18" x14ac:dyDescent="0.3">
      <c r="A30" s="9"/>
      <c r="B30" s="9"/>
      <c r="C30" s="9"/>
      <c r="D30" s="9"/>
      <c r="E30" s="9"/>
      <c r="F30" s="38"/>
      <c r="G30" s="38"/>
      <c r="H30" s="38"/>
      <c r="I30" s="38"/>
      <c r="J30" s="41">
        <v>40382</v>
      </c>
      <c r="K30" s="42">
        <v>44888849.109999992</v>
      </c>
      <c r="L30" s="38"/>
      <c r="M30" s="38"/>
      <c r="N30" s="38"/>
      <c r="O30" s="38"/>
      <c r="P30" s="38"/>
      <c r="Q30" s="38"/>
      <c r="R30" s="38"/>
    </row>
    <row r="31" spans="1:18" x14ac:dyDescent="0.3">
      <c r="A31" s="9"/>
      <c r="B31" s="9"/>
      <c r="C31" s="9"/>
      <c r="D31" s="9"/>
      <c r="E31" s="9"/>
      <c r="F31" s="38"/>
      <c r="G31" s="38"/>
      <c r="H31" s="38"/>
      <c r="I31" s="38"/>
      <c r="J31" s="41">
        <v>40389</v>
      </c>
      <c r="K31" s="42">
        <v>44630363.420000024</v>
      </c>
      <c r="L31" s="38"/>
      <c r="M31" s="38"/>
      <c r="N31" s="38"/>
      <c r="O31" s="38"/>
      <c r="P31" s="38"/>
      <c r="Q31" s="38"/>
      <c r="R31" s="38"/>
    </row>
    <row r="32" spans="1:18" x14ac:dyDescent="0.3">
      <c r="A32" s="9"/>
      <c r="B32" s="9"/>
      <c r="C32" s="9"/>
      <c r="D32" s="9"/>
      <c r="E32" s="9"/>
      <c r="F32" s="38"/>
      <c r="G32" s="38"/>
      <c r="H32" s="38"/>
      <c r="I32" s="38"/>
      <c r="J32" s="41">
        <v>40396</v>
      </c>
      <c r="K32" s="42">
        <v>48204999.120000005</v>
      </c>
      <c r="L32" s="38"/>
      <c r="M32" s="38"/>
      <c r="N32" s="38"/>
      <c r="O32" s="38"/>
      <c r="P32" s="38"/>
      <c r="Q32" s="38"/>
      <c r="R32" s="38"/>
    </row>
    <row r="33" spans="1:18" x14ac:dyDescent="0.3">
      <c r="A33" s="9"/>
      <c r="B33" s="9"/>
      <c r="C33" s="9"/>
      <c r="D33" s="9"/>
      <c r="E33" s="9"/>
      <c r="F33" s="38"/>
      <c r="G33" s="38"/>
      <c r="H33" s="38"/>
      <c r="I33" s="38"/>
      <c r="J33" s="41">
        <v>40403</v>
      </c>
      <c r="K33" s="42">
        <v>46464418.409999982</v>
      </c>
      <c r="L33" s="38"/>
      <c r="M33" s="38"/>
      <c r="N33" s="38"/>
      <c r="O33" s="38"/>
      <c r="P33" s="38"/>
      <c r="Q33" s="38"/>
      <c r="R33" s="38"/>
    </row>
    <row r="34" spans="1:18" x14ac:dyDescent="0.3">
      <c r="A34" s="9"/>
      <c r="B34" s="9"/>
      <c r="C34" s="9"/>
      <c r="D34" s="9"/>
      <c r="E34" s="9"/>
      <c r="F34" s="38"/>
      <c r="G34" s="38"/>
      <c r="H34" s="38"/>
      <c r="I34" s="38"/>
      <c r="J34" s="41">
        <v>40410</v>
      </c>
      <c r="K34" s="42">
        <v>47060952.919999994</v>
      </c>
      <c r="L34" s="38"/>
      <c r="M34" s="38"/>
      <c r="N34" s="38"/>
      <c r="O34" s="38"/>
      <c r="P34" s="38"/>
      <c r="Q34" s="38"/>
      <c r="R34" s="38"/>
    </row>
    <row r="35" spans="1:18" x14ac:dyDescent="0.3">
      <c r="A35" s="9"/>
      <c r="B35" s="9"/>
      <c r="C35" s="9"/>
      <c r="D35" s="9"/>
      <c r="E35" s="9"/>
      <c r="F35" s="38"/>
      <c r="G35" s="38"/>
      <c r="H35" s="38"/>
      <c r="I35" s="38"/>
      <c r="J35" s="41">
        <v>40417</v>
      </c>
      <c r="K35" s="42">
        <v>45909740.440000005</v>
      </c>
      <c r="L35" s="38"/>
      <c r="M35" s="38"/>
      <c r="N35" s="38"/>
      <c r="O35" s="38"/>
      <c r="P35" s="38"/>
      <c r="Q35" s="38"/>
      <c r="R35" s="38"/>
    </row>
    <row r="36" spans="1:18" x14ac:dyDescent="0.3">
      <c r="A36" s="9"/>
      <c r="B36" s="9"/>
      <c r="C36" s="9"/>
      <c r="D36" s="9"/>
      <c r="E36" s="9"/>
      <c r="F36" s="38"/>
      <c r="G36" s="38"/>
      <c r="H36" s="38"/>
      <c r="I36" s="38"/>
      <c r="J36" s="41">
        <v>40424</v>
      </c>
      <c r="K36" s="42">
        <v>47194257.609999999</v>
      </c>
      <c r="L36" s="38"/>
      <c r="M36" s="38"/>
      <c r="N36" s="38"/>
      <c r="O36" s="38"/>
      <c r="P36" s="38"/>
      <c r="Q36" s="38"/>
      <c r="R36" s="38"/>
    </row>
    <row r="37" spans="1:18" x14ac:dyDescent="0.3">
      <c r="A37" s="9"/>
      <c r="B37" s="9"/>
      <c r="C37" s="9"/>
      <c r="D37" s="9"/>
      <c r="E37" s="9"/>
      <c r="F37" s="38"/>
      <c r="G37" s="38"/>
      <c r="H37" s="38"/>
      <c r="I37" s="38"/>
      <c r="J37" s="41">
        <v>40431</v>
      </c>
      <c r="K37" s="42">
        <v>45634397.840000004</v>
      </c>
      <c r="L37" s="38"/>
      <c r="M37" s="38"/>
      <c r="N37" s="38"/>
      <c r="O37" s="38"/>
      <c r="P37" s="38"/>
      <c r="Q37" s="38"/>
      <c r="R37" s="38"/>
    </row>
    <row r="38" spans="1:18" x14ac:dyDescent="0.3">
      <c r="A38" s="9"/>
      <c r="B38" s="9"/>
      <c r="C38" s="9"/>
      <c r="D38" s="9"/>
      <c r="E38" s="9"/>
      <c r="F38" s="38"/>
      <c r="G38" s="38"/>
      <c r="H38" s="38"/>
      <c r="I38" s="38"/>
      <c r="J38" s="41">
        <v>40438</v>
      </c>
      <c r="K38" s="42">
        <v>43080726.509999998</v>
      </c>
      <c r="L38" s="38"/>
      <c r="M38" s="38"/>
      <c r="N38" s="38"/>
      <c r="O38" s="38"/>
      <c r="P38" s="38"/>
      <c r="Q38" s="38"/>
      <c r="R38" s="38"/>
    </row>
    <row r="39" spans="1:18" x14ac:dyDescent="0.3">
      <c r="A39" s="9"/>
      <c r="B39" s="9"/>
      <c r="C39" s="9"/>
      <c r="D39" s="9"/>
      <c r="E39" s="9"/>
      <c r="F39" s="38"/>
      <c r="G39" s="38"/>
      <c r="H39" s="38"/>
      <c r="I39" s="38"/>
      <c r="J39" s="41">
        <v>40445</v>
      </c>
      <c r="K39" s="42">
        <v>41358514.410000004</v>
      </c>
      <c r="L39" s="38"/>
      <c r="M39" s="38"/>
      <c r="N39" s="38"/>
      <c r="O39" s="38"/>
      <c r="P39" s="38"/>
      <c r="Q39" s="38"/>
      <c r="R39" s="38"/>
    </row>
    <row r="40" spans="1:18" x14ac:dyDescent="0.3">
      <c r="A40" s="9"/>
      <c r="B40" s="9"/>
      <c r="C40" s="9"/>
      <c r="D40" s="9"/>
      <c r="E40" s="9"/>
      <c r="F40" s="38"/>
      <c r="G40" s="38"/>
      <c r="H40" s="38"/>
      <c r="I40" s="38"/>
      <c r="J40" s="41">
        <v>40452</v>
      </c>
      <c r="K40" s="42">
        <v>42239875.870000005</v>
      </c>
      <c r="L40" s="38"/>
      <c r="M40" s="38"/>
      <c r="N40" s="38"/>
      <c r="O40" s="38"/>
      <c r="P40" s="38"/>
      <c r="Q40" s="38"/>
      <c r="R40" s="38"/>
    </row>
    <row r="41" spans="1:18" x14ac:dyDescent="0.3">
      <c r="A41" s="9"/>
      <c r="B41" s="9"/>
      <c r="C41" s="9"/>
      <c r="D41" s="9"/>
      <c r="E41" s="9"/>
      <c r="F41" s="38"/>
      <c r="G41" s="38"/>
      <c r="H41" s="38"/>
      <c r="I41" s="38"/>
      <c r="J41" s="41">
        <v>40459</v>
      </c>
      <c r="K41" s="42">
        <v>45102974.230000004</v>
      </c>
      <c r="L41" s="38"/>
      <c r="M41" s="38"/>
      <c r="N41" s="38"/>
      <c r="O41" s="38"/>
      <c r="P41" s="38"/>
      <c r="Q41" s="38"/>
      <c r="R41" s="38"/>
    </row>
    <row r="42" spans="1:18" x14ac:dyDescent="0.3">
      <c r="A42" s="9"/>
      <c r="B42" s="9"/>
      <c r="C42" s="9"/>
      <c r="D42" s="9"/>
      <c r="E42" s="9"/>
      <c r="F42" s="38"/>
      <c r="G42" s="38"/>
      <c r="H42" s="38"/>
      <c r="I42" s="38"/>
      <c r="J42" s="41">
        <v>40466</v>
      </c>
      <c r="K42" s="42">
        <v>43149473.450000003</v>
      </c>
      <c r="L42" s="38"/>
      <c r="M42" s="38"/>
      <c r="N42" s="38"/>
      <c r="O42" s="38"/>
      <c r="P42" s="38"/>
      <c r="Q42" s="38"/>
      <c r="R42" s="38"/>
    </row>
    <row r="43" spans="1:18" x14ac:dyDescent="0.3">
      <c r="A43" s="9"/>
      <c r="B43" s="9"/>
      <c r="C43" s="9"/>
      <c r="D43" s="9"/>
      <c r="E43" s="9"/>
      <c r="F43" s="38"/>
      <c r="G43" s="38"/>
      <c r="H43" s="38"/>
      <c r="I43" s="38"/>
      <c r="J43" s="41">
        <v>40473</v>
      </c>
      <c r="K43" s="42">
        <v>43066669.519999988</v>
      </c>
      <c r="L43" s="38"/>
      <c r="M43" s="38"/>
      <c r="N43" s="38"/>
      <c r="O43" s="38"/>
      <c r="P43" s="38"/>
      <c r="Q43" s="38"/>
      <c r="R43" s="38"/>
    </row>
    <row r="44" spans="1:18" x14ac:dyDescent="0.3">
      <c r="A44" s="9"/>
      <c r="B44" s="9"/>
      <c r="C44" s="9"/>
      <c r="D44" s="9"/>
      <c r="E44" s="9"/>
      <c r="F44" s="38"/>
      <c r="G44" s="38"/>
      <c r="H44" s="38"/>
      <c r="I44" s="38"/>
      <c r="J44" s="41">
        <v>40480</v>
      </c>
      <c r="K44" s="42">
        <v>43602830.950000003</v>
      </c>
      <c r="L44" s="38"/>
      <c r="M44" s="38"/>
      <c r="N44" s="38"/>
      <c r="O44" s="38"/>
      <c r="P44" s="38"/>
      <c r="Q44" s="38"/>
      <c r="R44" s="38"/>
    </row>
    <row r="45" spans="1:18" x14ac:dyDescent="0.3">
      <c r="A45" s="9"/>
      <c r="B45" s="9"/>
      <c r="C45" s="9"/>
      <c r="D45" s="9"/>
      <c r="E45" s="9"/>
      <c r="F45" s="38"/>
      <c r="G45" s="38"/>
      <c r="H45" s="38"/>
      <c r="I45" s="38"/>
      <c r="J45" s="41">
        <v>40487</v>
      </c>
      <c r="K45" s="42">
        <v>45781981.890000015</v>
      </c>
      <c r="L45" s="38"/>
      <c r="M45" s="38"/>
      <c r="N45" s="38"/>
      <c r="O45" s="38"/>
      <c r="P45" s="38"/>
      <c r="Q45" s="38"/>
      <c r="R45" s="38"/>
    </row>
    <row r="46" spans="1:18" x14ac:dyDescent="0.3">
      <c r="A46" s="9"/>
      <c r="B46" s="9"/>
      <c r="C46" s="9"/>
      <c r="D46" s="9"/>
      <c r="E46" s="9"/>
      <c r="F46" s="38"/>
      <c r="G46" s="38"/>
      <c r="H46" s="38"/>
      <c r="I46" s="38"/>
      <c r="J46" s="41">
        <v>40494</v>
      </c>
      <c r="K46" s="42">
        <v>46124800.829999991</v>
      </c>
      <c r="L46" s="38"/>
      <c r="M46" s="38"/>
      <c r="N46" s="38"/>
      <c r="O46" s="38"/>
      <c r="P46" s="38"/>
      <c r="Q46" s="38"/>
      <c r="R46" s="38"/>
    </row>
    <row r="47" spans="1:18" x14ac:dyDescent="0.3">
      <c r="A47" s="9"/>
      <c r="B47" s="9"/>
      <c r="C47" s="9"/>
      <c r="D47" s="9"/>
      <c r="E47" s="9"/>
      <c r="F47" s="38"/>
      <c r="G47" s="38"/>
      <c r="H47" s="38"/>
      <c r="I47" s="38"/>
      <c r="J47" s="41">
        <v>40501</v>
      </c>
      <c r="K47" s="42">
        <v>45125584.180000007</v>
      </c>
      <c r="L47" s="38"/>
      <c r="M47" s="38"/>
      <c r="N47" s="38"/>
      <c r="O47" s="38"/>
      <c r="P47" s="38"/>
      <c r="Q47" s="38"/>
      <c r="R47" s="38"/>
    </row>
    <row r="48" spans="1:18" x14ac:dyDescent="0.3">
      <c r="A48" s="9"/>
      <c r="B48" s="9"/>
      <c r="C48" s="9"/>
      <c r="D48" s="9"/>
      <c r="E48" s="9"/>
      <c r="F48" s="38"/>
      <c r="G48" s="38"/>
      <c r="H48" s="38"/>
      <c r="I48" s="38"/>
      <c r="J48" s="41">
        <v>40508</v>
      </c>
      <c r="K48" s="42">
        <v>65821003.239999987</v>
      </c>
      <c r="L48" s="38"/>
      <c r="M48" s="38"/>
      <c r="N48" s="38"/>
      <c r="O48" s="38"/>
      <c r="P48" s="38"/>
      <c r="Q48" s="38"/>
      <c r="R48" s="38"/>
    </row>
    <row r="49" spans="1:18" x14ac:dyDescent="0.3">
      <c r="A49" s="9"/>
      <c r="B49" s="9"/>
      <c r="C49" s="9"/>
      <c r="D49" s="9"/>
      <c r="E49" s="9"/>
      <c r="F49" s="38"/>
      <c r="G49" s="38"/>
      <c r="H49" s="38"/>
      <c r="I49" s="38"/>
      <c r="J49" s="41">
        <v>40515</v>
      </c>
      <c r="K49" s="42">
        <v>49909027.879999995</v>
      </c>
      <c r="L49" s="38"/>
      <c r="M49" s="38"/>
      <c r="N49" s="38"/>
      <c r="O49" s="38"/>
      <c r="P49" s="38"/>
      <c r="Q49" s="38"/>
      <c r="R49" s="38"/>
    </row>
    <row r="50" spans="1:18" x14ac:dyDescent="0.3">
      <c r="A50" s="9"/>
      <c r="B50" s="9"/>
      <c r="C50" s="9"/>
      <c r="D50" s="9"/>
      <c r="E50" s="9"/>
      <c r="F50" s="38"/>
      <c r="G50" s="38"/>
      <c r="H50" s="38"/>
      <c r="I50" s="38"/>
      <c r="J50" s="41">
        <v>40522</v>
      </c>
      <c r="K50" s="42">
        <v>55666770.390000008</v>
      </c>
      <c r="L50" s="38"/>
      <c r="M50" s="38"/>
      <c r="N50" s="38"/>
      <c r="O50" s="38"/>
      <c r="P50" s="38"/>
      <c r="Q50" s="38"/>
      <c r="R50" s="38"/>
    </row>
    <row r="51" spans="1:18" x14ac:dyDescent="0.3">
      <c r="A51" s="9"/>
      <c r="B51" s="9"/>
      <c r="C51" s="9"/>
      <c r="D51" s="9"/>
      <c r="E51" s="9"/>
      <c r="F51" s="38"/>
      <c r="G51" s="38"/>
      <c r="H51" s="38"/>
      <c r="I51" s="38"/>
      <c r="J51" s="41">
        <v>40529</v>
      </c>
      <c r="K51" s="42">
        <v>61820799.850000009</v>
      </c>
      <c r="L51" s="38"/>
      <c r="M51" s="38"/>
      <c r="N51" s="38"/>
      <c r="O51" s="38"/>
      <c r="P51" s="38"/>
      <c r="Q51" s="38"/>
      <c r="R51" s="38"/>
    </row>
    <row r="52" spans="1:18" x14ac:dyDescent="0.3">
      <c r="A52" s="9"/>
      <c r="B52" s="9"/>
      <c r="C52" s="9"/>
      <c r="D52" s="9"/>
      <c r="E52" s="9"/>
      <c r="F52" s="38"/>
      <c r="G52" s="38"/>
      <c r="H52" s="38"/>
      <c r="I52" s="38"/>
      <c r="J52" s="41">
        <v>40536</v>
      </c>
      <c r="K52" s="42">
        <v>80931415.600000009</v>
      </c>
      <c r="L52" s="38"/>
      <c r="M52" s="38"/>
      <c r="N52" s="38"/>
      <c r="O52" s="38"/>
      <c r="P52" s="38"/>
      <c r="Q52" s="38"/>
      <c r="R52" s="38"/>
    </row>
    <row r="53" spans="1:18" x14ac:dyDescent="0.3">
      <c r="A53" s="9"/>
      <c r="B53" s="9"/>
      <c r="C53" s="9"/>
      <c r="D53" s="9"/>
      <c r="E53" s="9"/>
      <c r="F53" s="38"/>
      <c r="G53" s="38"/>
      <c r="H53" s="38"/>
      <c r="I53" s="38"/>
      <c r="J53" s="41">
        <v>40543</v>
      </c>
      <c r="K53" s="42">
        <v>40432519</v>
      </c>
      <c r="L53" s="38"/>
      <c r="M53" s="38"/>
      <c r="N53" s="38"/>
      <c r="O53" s="38"/>
      <c r="P53" s="38"/>
      <c r="Q53" s="38"/>
      <c r="R53" s="38"/>
    </row>
    <row r="54" spans="1:18" x14ac:dyDescent="0.3">
      <c r="A54" s="9"/>
      <c r="B54" s="9"/>
      <c r="C54" s="9"/>
      <c r="D54" s="9"/>
      <c r="E54" s="9"/>
      <c r="F54" s="38"/>
      <c r="G54" s="38"/>
      <c r="H54" s="38"/>
      <c r="I54" s="38"/>
      <c r="J54" s="41">
        <v>40550</v>
      </c>
      <c r="K54" s="42">
        <v>42775787.770000003</v>
      </c>
      <c r="L54" s="38"/>
      <c r="M54" s="38"/>
      <c r="N54" s="38"/>
      <c r="O54" s="38"/>
      <c r="P54" s="38"/>
      <c r="Q54" s="38"/>
      <c r="R54" s="38"/>
    </row>
    <row r="55" spans="1:18" x14ac:dyDescent="0.3">
      <c r="A55" s="9"/>
      <c r="B55" s="9"/>
      <c r="C55" s="9"/>
      <c r="D55" s="9"/>
      <c r="E55" s="9"/>
      <c r="F55" s="38"/>
      <c r="G55" s="38"/>
      <c r="H55" s="38"/>
      <c r="I55" s="38"/>
      <c r="J55" s="41">
        <v>40557</v>
      </c>
      <c r="K55" s="42">
        <v>40673678.039999992</v>
      </c>
      <c r="L55" s="38"/>
      <c r="M55" s="38"/>
      <c r="N55" s="38"/>
      <c r="O55" s="38"/>
      <c r="P55" s="38"/>
      <c r="Q55" s="38"/>
      <c r="R55" s="38"/>
    </row>
    <row r="56" spans="1:18" x14ac:dyDescent="0.3">
      <c r="A56" s="9"/>
      <c r="B56" s="9"/>
      <c r="C56" s="9"/>
      <c r="D56" s="9"/>
      <c r="E56" s="9"/>
      <c r="F56" s="38"/>
      <c r="G56" s="38"/>
      <c r="H56" s="38"/>
      <c r="I56" s="38"/>
      <c r="J56" s="41">
        <v>40564</v>
      </c>
      <c r="K56" s="42">
        <v>40654648.029999986</v>
      </c>
      <c r="L56" s="38"/>
      <c r="M56" s="38"/>
      <c r="N56" s="38"/>
      <c r="O56" s="38"/>
      <c r="P56" s="38"/>
      <c r="Q56" s="38"/>
      <c r="R56" s="38"/>
    </row>
    <row r="57" spans="1:18" x14ac:dyDescent="0.3">
      <c r="A57" s="9"/>
      <c r="B57" s="9"/>
      <c r="C57" s="9"/>
      <c r="D57" s="9"/>
      <c r="E57" s="9"/>
      <c r="F57" s="38"/>
      <c r="G57" s="38"/>
      <c r="H57" s="38"/>
      <c r="I57" s="38"/>
      <c r="J57" s="41">
        <v>40571</v>
      </c>
      <c r="K57" s="42">
        <v>39599852.989999995</v>
      </c>
      <c r="L57" s="38"/>
      <c r="M57" s="38"/>
      <c r="N57" s="38"/>
      <c r="O57" s="38"/>
      <c r="P57" s="38"/>
      <c r="Q57" s="38"/>
      <c r="R57" s="38"/>
    </row>
    <row r="58" spans="1:18" x14ac:dyDescent="0.3">
      <c r="A58" s="9"/>
      <c r="B58" s="9"/>
      <c r="C58" s="9"/>
      <c r="D58" s="9"/>
      <c r="E58" s="9"/>
      <c r="F58" s="38"/>
      <c r="G58" s="38"/>
      <c r="H58" s="38"/>
      <c r="I58" s="38"/>
      <c r="J58" s="41">
        <v>40578</v>
      </c>
      <c r="K58" s="42">
        <v>46153111.119999982</v>
      </c>
      <c r="L58" s="38"/>
      <c r="M58" s="38"/>
      <c r="N58" s="38"/>
      <c r="O58" s="38"/>
      <c r="P58" s="38"/>
      <c r="Q58" s="38"/>
      <c r="R58" s="38"/>
    </row>
    <row r="59" spans="1:18" x14ac:dyDescent="0.3">
      <c r="A59" s="9"/>
      <c r="B59" s="9"/>
      <c r="C59" s="9"/>
      <c r="D59" s="9"/>
      <c r="E59" s="9"/>
      <c r="F59" s="38"/>
      <c r="G59" s="38"/>
      <c r="H59" s="38"/>
      <c r="I59" s="38"/>
      <c r="J59" s="41">
        <v>40585</v>
      </c>
      <c r="K59" s="42">
        <v>47336192.790000021</v>
      </c>
      <c r="L59" s="38"/>
      <c r="M59" s="38"/>
      <c r="N59" s="38"/>
      <c r="O59" s="38"/>
      <c r="P59" s="38"/>
      <c r="Q59" s="38"/>
      <c r="R59" s="38"/>
    </row>
    <row r="60" spans="1:18" x14ac:dyDescent="0.3">
      <c r="A60" s="9"/>
      <c r="B60" s="9"/>
      <c r="C60" s="9"/>
      <c r="D60" s="9"/>
      <c r="E60" s="9"/>
      <c r="F60" s="38"/>
      <c r="G60" s="38"/>
      <c r="H60" s="38"/>
      <c r="I60" s="38"/>
      <c r="J60" s="41">
        <v>40592</v>
      </c>
      <c r="K60" s="42">
        <v>48716164.120000005</v>
      </c>
      <c r="L60" s="38"/>
      <c r="M60" s="38"/>
      <c r="N60" s="38"/>
      <c r="O60" s="38"/>
      <c r="P60" s="38"/>
      <c r="Q60" s="38"/>
      <c r="R60" s="38"/>
    </row>
    <row r="61" spans="1:18" x14ac:dyDescent="0.3">
      <c r="A61" s="9"/>
      <c r="B61" s="9"/>
      <c r="C61" s="9"/>
      <c r="D61" s="9"/>
      <c r="E61" s="9"/>
      <c r="F61" s="38"/>
      <c r="G61" s="38"/>
      <c r="H61" s="38"/>
      <c r="I61" s="38"/>
      <c r="J61" s="41">
        <v>40599</v>
      </c>
      <c r="K61" s="42">
        <v>44125859.840000004</v>
      </c>
      <c r="L61" s="38"/>
      <c r="M61" s="38"/>
      <c r="N61" s="38"/>
      <c r="O61" s="38"/>
      <c r="P61" s="38"/>
      <c r="Q61" s="38"/>
      <c r="R61" s="38"/>
    </row>
    <row r="62" spans="1:18" x14ac:dyDescent="0.3">
      <c r="A62" s="9"/>
      <c r="B62" s="9"/>
      <c r="C62" s="9"/>
      <c r="D62" s="9"/>
      <c r="E62" s="9"/>
      <c r="F62" s="38"/>
      <c r="G62" s="38"/>
      <c r="H62" s="38"/>
      <c r="I62" s="38"/>
      <c r="J62" s="41">
        <v>40606</v>
      </c>
      <c r="K62" s="42">
        <v>46980603.739999995</v>
      </c>
      <c r="L62" s="38"/>
      <c r="M62" s="38"/>
      <c r="N62" s="38"/>
      <c r="O62" s="38"/>
      <c r="P62" s="38"/>
      <c r="Q62" s="38"/>
      <c r="R62" s="38"/>
    </row>
    <row r="63" spans="1:18" x14ac:dyDescent="0.3">
      <c r="A63" s="9"/>
      <c r="B63" s="9"/>
      <c r="C63" s="9"/>
      <c r="D63" s="9"/>
      <c r="E63" s="9"/>
      <c r="F63" s="38"/>
      <c r="G63" s="38"/>
      <c r="H63" s="38"/>
      <c r="I63" s="38"/>
      <c r="J63" s="41">
        <v>40613</v>
      </c>
      <c r="K63" s="42">
        <v>44627319.399999999</v>
      </c>
      <c r="L63" s="38"/>
      <c r="M63" s="38"/>
      <c r="N63" s="38"/>
      <c r="O63" s="38"/>
      <c r="P63" s="38"/>
      <c r="Q63" s="38"/>
      <c r="R63" s="38"/>
    </row>
    <row r="64" spans="1:18" x14ac:dyDescent="0.3">
      <c r="A64" s="9"/>
      <c r="B64" s="9"/>
      <c r="C64" s="9"/>
      <c r="D64" s="9"/>
      <c r="E64" s="9"/>
      <c r="F64" s="38"/>
      <c r="G64" s="38"/>
      <c r="H64" s="38"/>
      <c r="I64" s="38"/>
      <c r="J64" s="41">
        <v>40620</v>
      </c>
      <c r="K64" s="42">
        <v>44872325.969999999</v>
      </c>
      <c r="L64" s="38"/>
      <c r="M64" s="38"/>
      <c r="N64" s="38"/>
      <c r="O64" s="38"/>
      <c r="P64" s="38"/>
      <c r="Q64" s="38"/>
      <c r="R64" s="38"/>
    </row>
    <row r="65" spans="1:18" x14ac:dyDescent="0.3">
      <c r="A65" s="9"/>
      <c r="B65" s="9"/>
      <c r="C65" s="9"/>
      <c r="D65" s="9"/>
      <c r="E65" s="9"/>
      <c r="F65" s="38"/>
      <c r="G65" s="38"/>
      <c r="H65" s="38"/>
      <c r="I65" s="38"/>
      <c r="J65" s="41">
        <v>40627</v>
      </c>
      <c r="K65" s="42">
        <v>42876199.180000007</v>
      </c>
      <c r="L65" s="38"/>
      <c r="M65" s="38"/>
      <c r="N65" s="38"/>
      <c r="O65" s="38"/>
      <c r="P65" s="38"/>
      <c r="Q65" s="38"/>
      <c r="R65" s="38"/>
    </row>
    <row r="66" spans="1:18" x14ac:dyDescent="0.3">
      <c r="A66" s="9"/>
      <c r="B66" s="9"/>
      <c r="C66" s="9"/>
      <c r="D66" s="9"/>
      <c r="E66" s="9"/>
      <c r="F66" s="38"/>
      <c r="G66" s="38"/>
      <c r="H66" s="38"/>
      <c r="I66" s="38"/>
      <c r="J66" s="41">
        <v>40634</v>
      </c>
      <c r="K66" s="42">
        <v>43458991.190000005</v>
      </c>
      <c r="L66" s="38"/>
      <c r="M66" s="38"/>
      <c r="N66" s="38"/>
      <c r="O66" s="38"/>
      <c r="P66" s="38"/>
      <c r="Q66" s="38"/>
      <c r="R66" s="38"/>
    </row>
    <row r="67" spans="1:18" x14ac:dyDescent="0.3">
      <c r="A67" s="9"/>
      <c r="B67" s="9"/>
      <c r="C67" s="9"/>
      <c r="D67" s="9"/>
      <c r="E67" s="9"/>
      <c r="F67" s="38"/>
      <c r="G67" s="38"/>
      <c r="H67" s="38"/>
      <c r="I67" s="38"/>
      <c r="J67" s="41">
        <v>40641</v>
      </c>
      <c r="K67" s="42">
        <v>45887466.799999982</v>
      </c>
      <c r="L67" s="38"/>
      <c r="M67" s="38"/>
      <c r="N67" s="38"/>
      <c r="O67" s="38"/>
      <c r="P67" s="38"/>
      <c r="Q67" s="38"/>
      <c r="R67" s="38"/>
    </row>
    <row r="68" spans="1:18" x14ac:dyDescent="0.3">
      <c r="A68" s="9"/>
      <c r="B68" s="9"/>
      <c r="C68" s="9"/>
      <c r="D68" s="9"/>
      <c r="E68" s="9"/>
      <c r="F68" s="38"/>
      <c r="G68" s="38"/>
      <c r="H68" s="38"/>
      <c r="I68" s="38"/>
      <c r="J68" s="41">
        <v>40648</v>
      </c>
      <c r="K68" s="42">
        <v>44973328.139999993</v>
      </c>
      <c r="L68" s="38"/>
      <c r="M68" s="38"/>
      <c r="N68" s="38"/>
      <c r="O68" s="38"/>
      <c r="P68" s="38"/>
      <c r="Q68" s="38"/>
      <c r="R68" s="38"/>
    </row>
    <row r="69" spans="1:18" x14ac:dyDescent="0.3">
      <c r="A69" s="9"/>
      <c r="B69" s="9"/>
      <c r="C69" s="9"/>
      <c r="D69" s="9"/>
      <c r="E69" s="9"/>
      <c r="F69" s="38"/>
      <c r="G69" s="38"/>
      <c r="H69" s="38"/>
      <c r="I69" s="38"/>
      <c r="J69" s="41">
        <v>40655</v>
      </c>
      <c r="K69" s="42">
        <v>48676692.05999998</v>
      </c>
      <c r="L69" s="38"/>
      <c r="M69" s="38"/>
      <c r="N69" s="38"/>
      <c r="O69" s="38"/>
      <c r="P69" s="38"/>
      <c r="Q69" s="38"/>
      <c r="R69" s="38"/>
    </row>
    <row r="70" spans="1:18" x14ac:dyDescent="0.3">
      <c r="A70" s="9"/>
      <c r="B70" s="9"/>
      <c r="C70" s="9"/>
      <c r="D70" s="9"/>
      <c r="E70" s="9"/>
      <c r="F70" s="38"/>
      <c r="G70" s="38"/>
      <c r="H70" s="38"/>
      <c r="I70" s="38"/>
      <c r="J70" s="41">
        <v>40662</v>
      </c>
      <c r="K70" s="42">
        <v>43530032.779999994</v>
      </c>
      <c r="L70" s="38"/>
      <c r="M70" s="38"/>
      <c r="N70" s="38"/>
      <c r="O70" s="38"/>
      <c r="P70" s="38"/>
      <c r="Q70" s="38"/>
      <c r="R70" s="38"/>
    </row>
    <row r="71" spans="1:18" x14ac:dyDescent="0.3">
      <c r="A71" s="9"/>
      <c r="B71" s="9"/>
      <c r="C71" s="9"/>
      <c r="D71" s="9"/>
      <c r="E71" s="9"/>
      <c r="F71" s="38"/>
      <c r="G71" s="38"/>
      <c r="H71" s="38"/>
      <c r="I71" s="38"/>
      <c r="J71" s="41">
        <v>40669</v>
      </c>
      <c r="K71" s="42">
        <v>46861958.289999992</v>
      </c>
      <c r="L71" s="38"/>
      <c r="M71" s="38"/>
      <c r="N71" s="38"/>
      <c r="O71" s="38"/>
      <c r="P71" s="38"/>
      <c r="Q71" s="38"/>
      <c r="R71" s="38"/>
    </row>
    <row r="72" spans="1:18" x14ac:dyDescent="0.3">
      <c r="A72" s="9"/>
      <c r="B72" s="9"/>
      <c r="C72" s="9"/>
      <c r="D72" s="9"/>
      <c r="E72" s="9"/>
      <c r="F72" s="38"/>
      <c r="G72" s="38"/>
      <c r="H72" s="38"/>
      <c r="I72" s="38"/>
      <c r="J72" s="41">
        <v>40676</v>
      </c>
      <c r="K72" s="42">
        <v>45446144.82</v>
      </c>
      <c r="L72" s="38"/>
      <c r="M72" s="38"/>
      <c r="N72" s="38"/>
      <c r="O72" s="38"/>
      <c r="P72" s="38"/>
      <c r="Q72" s="38"/>
      <c r="R72" s="38"/>
    </row>
    <row r="73" spans="1:18" x14ac:dyDescent="0.3">
      <c r="A73" s="9"/>
      <c r="B73" s="9"/>
      <c r="C73" s="9"/>
      <c r="D73" s="9"/>
      <c r="E73" s="9"/>
      <c r="F73" s="38"/>
      <c r="G73" s="38"/>
      <c r="H73" s="38"/>
      <c r="I73" s="38"/>
      <c r="J73" s="41">
        <v>40683</v>
      </c>
      <c r="K73" s="42">
        <v>44046598.00999999</v>
      </c>
      <c r="L73" s="38"/>
      <c r="M73" s="38"/>
      <c r="N73" s="38"/>
      <c r="O73" s="38"/>
      <c r="P73" s="38"/>
      <c r="Q73" s="38"/>
      <c r="R73" s="38"/>
    </row>
    <row r="74" spans="1:18" x14ac:dyDescent="0.3">
      <c r="A74" s="9"/>
      <c r="B74" s="9"/>
      <c r="C74" s="9"/>
      <c r="D74" s="9"/>
      <c r="E74" s="9"/>
      <c r="F74" s="38"/>
      <c r="G74" s="38"/>
      <c r="H74" s="38"/>
      <c r="I74" s="38"/>
      <c r="J74" s="41">
        <v>40690</v>
      </c>
      <c r="K74" s="42">
        <v>45293457.040000007</v>
      </c>
      <c r="L74" s="38"/>
      <c r="M74" s="38"/>
      <c r="N74" s="38"/>
      <c r="O74" s="38"/>
      <c r="P74" s="38"/>
      <c r="Q74" s="38"/>
      <c r="R74" s="38"/>
    </row>
    <row r="75" spans="1:18" x14ac:dyDescent="0.3">
      <c r="A75" s="9"/>
      <c r="B75" s="9"/>
      <c r="C75" s="9"/>
      <c r="D75" s="9"/>
      <c r="E75" s="9"/>
      <c r="F75" s="38"/>
      <c r="G75" s="38"/>
      <c r="H75" s="38"/>
      <c r="I75" s="38"/>
      <c r="J75" s="41">
        <v>40697</v>
      </c>
      <c r="K75" s="42">
        <v>48771994.180000007</v>
      </c>
      <c r="L75" s="38"/>
      <c r="M75" s="38"/>
      <c r="N75" s="38"/>
      <c r="O75" s="38"/>
      <c r="P75" s="38"/>
      <c r="Q75" s="38"/>
      <c r="R75" s="38"/>
    </row>
    <row r="76" spans="1:18" x14ac:dyDescent="0.3">
      <c r="A76" s="9"/>
      <c r="B76" s="9"/>
      <c r="C76" s="9"/>
      <c r="D76" s="9"/>
      <c r="E76" s="9"/>
      <c r="F76" s="38"/>
      <c r="G76" s="38"/>
      <c r="H76" s="38"/>
      <c r="I76" s="38"/>
      <c r="J76" s="41">
        <v>40704</v>
      </c>
      <c r="K76" s="42">
        <v>47669734.659999996</v>
      </c>
      <c r="L76" s="38"/>
      <c r="M76" s="38"/>
      <c r="N76" s="38"/>
      <c r="O76" s="38"/>
      <c r="P76" s="38"/>
      <c r="Q76" s="38"/>
      <c r="R76" s="38"/>
    </row>
    <row r="77" spans="1:18" x14ac:dyDescent="0.3">
      <c r="A77" s="9"/>
      <c r="B77" s="9"/>
      <c r="C77" s="9"/>
      <c r="D77" s="9"/>
      <c r="E77" s="9"/>
      <c r="F77" s="38"/>
      <c r="G77" s="38"/>
      <c r="H77" s="38"/>
      <c r="I77" s="38"/>
      <c r="J77" s="41">
        <v>40711</v>
      </c>
      <c r="K77" s="42">
        <v>47447561.770000018</v>
      </c>
      <c r="L77" s="38"/>
      <c r="M77" s="38"/>
      <c r="N77" s="38"/>
      <c r="O77" s="38"/>
      <c r="P77" s="38"/>
      <c r="Q77" s="38"/>
      <c r="R77" s="38"/>
    </row>
    <row r="78" spans="1:18" x14ac:dyDescent="0.3">
      <c r="A78" s="9"/>
      <c r="B78" s="9"/>
      <c r="C78" s="9"/>
      <c r="D78" s="9"/>
      <c r="E78" s="9"/>
      <c r="F78" s="38"/>
      <c r="G78" s="38"/>
      <c r="H78" s="38"/>
      <c r="I78" s="38"/>
      <c r="J78" s="41">
        <v>40718</v>
      </c>
      <c r="K78" s="42">
        <v>45884094.579999998</v>
      </c>
      <c r="L78" s="38"/>
      <c r="M78" s="38"/>
      <c r="N78" s="38"/>
      <c r="O78" s="38"/>
      <c r="P78" s="38"/>
      <c r="Q78" s="38"/>
      <c r="R78" s="38"/>
    </row>
    <row r="79" spans="1:18" x14ac:dyDescent="0.3">
      <c r="A79" s="9"/>
      <c r="B79" s="9"/>
      <c r="C79" s="9"/>
      <c r="D79" s="9"/>
      <c r="E79" s="9"/>
      <c r="F79" s="38"/>
      <c r="G79" s="38"/>
      <c r="H79" s="38"/>
      <c r="I79" s="38"/>
      <c r="J79" s="41">
        <v>40725</v>
      </c>
      <c r="K79" s="42">
        <v>47578519.5</v>
      </c>
      <c r="L79" s="38"/>
      <c r="M79" s="38"/>
      <c r="N79" s="38"/>
      <c r="O79" s="38"/>
      <c r="P79" s="38"/>
      <c r="Q79" s="38"/>
      <c r="R79" s="38"/>
    </row>
    <row r="80" spans="1:18" x14ac:dyDescent="0.3">
      <c r="A80" s="9"/>
      <c r="B80" s="9"/>
      <c r="C80" s="9"/>
      <c r="D80" s="9"/>
      <c r="E80" s="9"/>
      <c r="F80" s="38"/>
      <c r="G80" s="38"/>
      <c r="H80" s="38"/>
      <c r="I80" s="38"/>
      <c r="J80" s="41">
        <v>40732</v>
      </c>
      <c r="K80" s="42">
        <v>47859263.780000001</v>
      </c>
      <c r="L80" s="38"/>
      <c r="M80" s="38"/>
      <c r="N80" s="38"/>
      <c r="O80" s="38"/>
      <c r="P80" s="38"/>
      <c r="Q80" s="38"/>
      <c r="R80" s="38"/>
    </row>
    <row r="81" spans="1:18" x14ac:dyDescent="0.3">
      <c r="A81" s="9"/>
      <c r="B81" s="9"/>
      <c r="C81" s="9"/>
      <c r="D81" s="9"/>
      <c r="E81" s="9"/>
      <c r="F81" s="38"/>
      <c r="G81" s="38"/>
      <c r="H81" s="38"/>
      <c r="I81" s="38"/>
      <c r="J81" s="41">
        <v>40739</v>
      </c>
      <c r="K81" s="42">
        <v>45515929.919999994</v>
      </c>
      <c r="L81" s="38"/>
      <c r="M81" s="38"/>
      <c r="N81" s="38"/>
      <c r="O81" s="38"/>
      <c r="P81" s="38"/>
      <c r="Q81" s="38"/>
      <c r="R81" s="38"/>
    </row>
    <row r="82" spans="1:18" x14ac:dyDescent="0.3">
      <c r="A82" s="9"/>
      <c r="B82" s="9"/>
      <c r="C82" s="9"/>
      <c r="D82" s="9"/>
      <c r="E82" s="9"/>
      <c r="F82" s="38"/>
      <c r="G82" s="38"/>
      <c r="H82" s="38"/>
      <c r="I82" s="38"/>
      <c r="J82" s="41">
        <v>40746</v>
      </c>
      <c r="K82" s="42">
        <v>45274411.389999993</v>
      </c>
      <c r="L82" s="38"/>
      <c r="M82" s="38"/>
      <c r="N82" s="38"/>
      <c r="O82" s="38"/>
      <c r="P82" s="38"/>
      <c r="Q82" s="38"/>
      <c r="R82" s="38"/>
    </row>
    <row r="83" spans="1:18" x14ac:dyDescent="0.3">
      <c r="A83" s="9"/>
      <c r="B83" s="9"/>
      <c r="C83" s="9"/>
      <c r="D83" s="9"/>
      <c r="E83" s="9"/>
      <c r="F83" s="38"/>
      <c r="G83" s="38"/>
      <c r="H83" s="38"/>
      <c r="I83" s="38"/>
      <c r="J83" s="41">
        <v>40753</v>
      </c>
      <c r="K83" s="42">
        <v>43683274.280000001</v>
      </c>
      <c r="L83" s="38"/>
      <c r="M83" s="38"/>
      <c r="N83" s="38"/>
      <c r="O83" s="38"/>
      <c r="P83" s="38"/>
      <c r="Q83" s="38"/>
      <c r="R83" s="38"/>
    </row>
    <row r="84" spans="1:18" x14ac:dyDescent="0.3">
      <c r="A84" s="9"/>
      <c r="B84" s="9"/>
      <c r="C84" s="9"/>
      <c r="D84" s="9"/>
      <c r="E84" s="9"/>
      <c r="F84" s="38"/>
      <c r="G84" s="38"/>
      <c r="H84" s="38"/>
      <c r="I84" s="38"/>
      <c r="J84" s="41">
        <v>40760</v>
      </c>
      <c r="K84" s="42">
        <v>48015466.970000014</v>
      </c>
      <c r="L84" s="38"/>
      <c r="M84" s="38"/>
      <c r="N84" s="38"/>
      <c r="O84" s="38"/>
      <c r="P84" s="38"/>
      <c r="Q84" s="38"/>
      <c r="R84" s="38"/>
    </row>
    <row r="85" spans="1:18" x14ac:dyDescent="0.3">
      <c r="A85" s="9"/>
      <c r="B85" s="9"/>
      <c r="C85" s="9"/>
      <c r="D85" s="9"/>
      <c r="E85" s="9"/>
      <c r="F85" s="38"/>
      <c r="G85" s="38"/>
      <c r="H85" s="38"/>
      <c r="I85" s="38"/>
      <c r="J85" s="41">
        <v>40767</v>
      </c>
      <c r="K85" s="42">
        <v>46249569.210000008</v>
      </c>
      <c r="L85" s="38"/>
      <c r="M85" s="38"/>
      <c r="N85" s="38"/>
      <c r="O85" s="38"/>
      <c r="P85" s="38"/>
      <c r="Q85" s="38"/>
      <c r="R85" s="38"/>
    </row>
    <row r="86" spans="1:18" x14ac:dyDescent="0.3">
      <c r="A86" s="9"/>
      <c r="B86" s="9"/>
      <c r="C86" s="9"/>
      <c r="D86" s="9"/>
      <c r="E86" s="9"/>
      <c r="F86" s="38"/>
      <c r="G86" s="38"/>
      <c r="H86" s="38"/>
      <c r="I86" s="38"/>
      <c r="J86" s="41">
        <v>40774</v>
      </c>
      <c r="K86" s="42">
        <v>46917347.61999999</v>
      </c>
      <c r="L86" s="38"/>
      <c r="M86" s="38"/>
      <c r="N86" s="38"/>
      <c r="O86" s="38"/>
      <c r="P86" s="38"/>
      <c r="Q86" s="38"/>
      <c r="R86" s="38"/>
    </row>
    <row r="87" spans="1:18" x14ac:dyDescent="0.3">
      <c r="A87" s="9"/>
      <c r="B87" s="9"/>
      <c r="C87" s="9"/>
      <c r="D87" s="9"/>
      <c r="E87" s="9"/>
      <c r="F87" s="38"/>
      <c r="G87" s="38"/>
      <c r="H87" s="38"/>
      <c r="I87" s="38"/>
      <c r="J87" s="41">
        <v>40781</v>
      </c>
      <c r="K87" s="42">
        <v>47416948.449999988</v>
      </c>
      <c r="L87" s="38"/>
      <c r="M87" s="38"/>
      <c r="N87" s="38"/>
      <c r="O87" s="38"/>
      <c r="P87" s="38"/>
      <c r="Q87" s="38"/>
      <c r="R87" s="38"/>
    </row>
    <row r="88" spans="1:18" x14ac:dyDescent="0.3">
      <c r="A88" s="9"/>
      <c r="B88" s="9"/>
      <c r="C88" s="9"/>
      <c r="D88" s="9"/>
      <c r="E88" s="9"/>
      <c r="F88" s="38"/>
      <c r="G88" s="38"/>
      <c r="H88" s="38"/>
      <c r="I88" s="38"/>
      <c r="J88" s="41">
        <v>40788</v>
      </c>
      <c r="K88" s="42">
        <v>45376623.269999996</v>
      </c>
      <c r="L88" s="38"/>
      <c r="M88" s="38"/>
      <c r="N88" s="38"/>
      <c r="O88" s="38"/>
      <c r="P88" s="38"/>
      <c r="Q88" s="38"/>
      <c r="R88" s="38"/>
    </row>
    <row r="89" spans="1:18" x14ac:dyDescent="0.3">
      <c r="A89" s="9"/>
      <c r="B89" s="9"/>
      <c r="C89" s="9"/>
      <c r="D89" s="9"/>
      <c r="E89" s="9"/>
      <c r="F89" s="38"/>
      <c r="G89" s="38"/>
      <c r="H89" s="38"/>
      <c r="I89" s="38"/>
      <c r="J89" s="41">
        <v>40795</v>
      </c>
      <c r="K89" s="42">
        <v>46763227.529999994</v>
      </c>
      <c r="L89" s="38"/>
      <c r="M89" s="38"/>
      <c r="N89" s="38"/>
      <c r="O89" s="38"/>
      <c r="P89" s="38"/>
      <c r="Q89" s="38"/>
      <c r="R89" s="38"/>
    </row>
    <row r="90" spans="1:18" x14ac:dyDescent="0.3">
      <c r="A90" s="9"/>
      <c r="B90" s="9"/>
      <c r="C90" s="9"/>
      <c r="D90" s="9"/>
      <c r="E90" s="9"/>
      <c r="F90" s="38"/>
      <c r="G90" s="38"/>
      <c r="H90" s="38"/>
      <c r="I90" s="38"/>
      <c r="J90" s="41">
        <v>40802</v>
      </c>
      <c r="K90" s="42">
        <v>43793960.080000013</v>
      </c>
      <c r="L90" s="38"/>
      <c r="M90" s="38"/>
      <c r="N90" s="38"/>
      <c r="O90" s="38"/>
      <c r="P90" s="38"/>
      <c r="Q90" s="38"/>
      <c r="R90" s="38"/>
    </row>
    <row r="91" spans="1:18" x14ac:dyDescent="0.3">
      <c r="A91" s="9"/>
      <c r="B91" s="9"/>
      <c r="C91" s="9"/>
      <c r="D91" s="9"/>
      <c r="E91" s="9"/>
      <c r="F91" s="38"/>
      <c r="G91" s="38"/>
      <c r="H91" s="38"/>
      <c r="I91" s="38"/>
      <c r="J91" s="41">
        <v>40809</v>
      </c>
      <c r="K91" s="42">
        <v>42718096.730000004</v>
      </c>
      <c r="L91" s="38"/>
      <c r="M91" s="38"/>
      <c r="N91" s="38"/>
      <c r="O91" s="38"/>
      <c r="P91" s="38"/>
      <c r="Q91" s="38"/>
      <c r="R91" s="38"/>
    </row>
    <row r="92" spans="1:18" x14ac:dyDescent="0.3">
      <c r="A92" s="9"/>
      <c r="B92" s="9"/>
      <c r="C92" s="9"/>
      <c r="D92" s="9"/>
      <c r="E92" s="9"/>
      <c r="F92" s="38"/>
      <c r="G92" s="38"/>
      <c r="H92" s="38"/>
      <c r="I92" s="38"/>
      <c r="J92" s="41">
        <v>40816</v>
      </c>
      <c r="K92" s="42">
        <v>42195830.810000002</v>
      </c>
      <c r="L92" s="38"/>
      <c r="M92" s="38"/>
      <c r="N92" s="38"/>
      <c r="O92" s="38"/>
      <c r="P92" s="38"/>
      <c r="Q92" s="38"/>
      <c r="R92" s="38"/>
    </row>
    <row r="93" spans="1:18" x14ac:dyDescent="0.3">
      <c r="A93" s="9"/>
      <c r="B93" s="9"/>
      <c r="C93" s="9"/>
      <c r="D93" s="9"/>
      <c r="E93" s="9"/>
      <c r="F93" s="38"/>
      <c r="G93" s="38"/>
      <c r="H93" s="38"/>
      <c r="I93" s="38"/>
      <c r="J93" s="41">
        <v>40823</v>
      </c>
      <c r="K93" s="42">
        <v>47211688.359999999</v>
      </c>
      <c r="L93" s="38"/>
      <c r="M93" s="38"/>
      <c r="N93" s="38"/>
      <c r="O93" s="38"/>
      <c r="P93" s="38"/>
      <c r="Q93" s="38"/>
      <c r="R93" s="38"/>
    </row>
    <row r="94" spans="1:18" x14ac:dyDescent="0.3">
      <c r="A94" s="9"/>
      <c r="B94" s="9"/>
      <c r="C94" s="9"/>
      <c r="D94" s="9"/>
      <c r="E94" s="9"/>
      <c r="F94" s="38"/>
      <c r="G94" s="38"/>
      <c r="H94" s="38"/>
      <c r="I94" s="38"/>
      <c r="J94" s="41">
        <v>40830</v>
      </c>
      <c r="K94" s="42">
        <v>44374820.300000004</v>
      </c>
      <c r="L94" s="38"/>
      <c r="M94" s="38"/>
      <c r="N94" s="38"/>
      <c r="O94" s="38"/>
      <c r="P94" s="38"/>
      <c r="Q94" s="38"/>
      <c r="R94" s="38"/>
    </row>
    <row r="95" spans="1:18" x14ac:dyDescent="0.3">
      <c r="A95" s="9"/>
      <c r="B95" s="9"/>
      <c r="C95" s="9"/>
      <c r="D95" s="9"/>
      <c r="E95" s="9"/>
      <c r="F95" s="38"/>
      <c r="G95" s="38"/>
      <c r="H95" s="38"/>
      <c r="I95" s="38"/>
      <c r="J95" s="41">
        <v>40837</v>
      </c>
      <c r="K95" s="42">
        <v>45818953.439999998</v>
      </c>
      <c r="L95" s="38"/>
      <c r="M95" s="38"/>
      <c r="N95" s="38"/>
      <c r="O95" s="38"/>
      <c r="P95" s="38"/>
      <c r="Q95" s="38"/>
      <c r="R95" s="38"/>
    </row>
    <row r="96" spans="1:18" x14ac:dyDescent="0.3">
      <c r="A96" s="9"/>
      <c r="B96" s="9"/>
      <c r="C96" s="9"/>
      <c r="D96" s="9"/>
      <c r="E96" s="9"/>
      <c r="F96" s="38"/>
      <c r="G96" s="38"/>
      <c r="H96" s="38"/>
      <c r="I96" s="38"/>
      <c r="J96" s="41">
        <v>40844</v>
      </c>
      <c r="K96" s="42">
        <v>45855821.050000012</v>
      </c>
      <c r="L96" s="38"/>
      <c r="M96" s="38"/>
      <c r="N96" s="38"/>
      <c r="O96" s="38"/>
      <c r="P96" s="38"/>
      <c r="Q96" s="38"/>
      <c r="R96" s="38"/>
    </row>
    <row r="97" spans="1:18" x14ac:dyDescent="0.3">
      <c r="A97" s="9"/>
      <c r="B97" s="9"/>
      <c r="C97" s="9"/>
      <c r="D97" s="9"/>
      <c r="E97" s="9"/>
      <c r="F97" s="38"/>
      <c r="G97" s="38"/>
      <c r="H97" s="38"/>
      <c r="I97" s="38"/>
      <c r="J97" s="41">
        <v>40851</v>
      </c>
      <c r="K97" s="42">
        <v>48655544.300000004</v>
      </c>
      <c r="L97" s="38"/>
      <c r="M97" s="38"/>
      <c r="N97" s="38"/>
      <c r="O97" s="38"/>
      <c r="P97" s="38"/>
      <c r="Q97" s="38"/>
      <c r="R97" s="38"/>
    </row>
    <row r="98" spans="1:18" x14ac:dyDescent="0.3">
      <c r="A98" s="9"/>
      <c r="B98" s="9"/>
      <c r="C98" s="9"/>
      <c r="D98" s="9"/>
      <c r="E98" s="9"/>
      <c r="F98" s="38"/>
      <c r="G98" s="38"/>
      <c r="H98" s="38"/>
      <c r="I98" s="38"/>
      <c r="J98" s="41">
        <v>40858</v>
      </c>
      <c r="K98" s="42">
        <v>48474224.750000007</v>
      </c>
      <c r="L98" s="38"/>
      <c r="M98" s="38"/>
      <c r="N98" s="38"/>
      <c r="O98" s="38"/>
      <c r="P98" s="38"/>
      <c r="Q98" s="38"/>
      <c r="R98" s="38"/>
    </row>
    <row r="99" spans="1:18" x14ac:dyDescent="0.3">
      <c r="A99" s="9"/>
      <c r="B99" s="9"/>
      <c r="C99" s="9"/>
      <c r="D99" s="9"/>
      <c r="E99" s="9"/>
      <c r="F99" s="38"/>
      <c r="G99" s="38"/>
      <c r="H99" s="38"/>
      <c r="I99" s="38"/>
      <c r="J99" s="41">
        <v>40865</v>
      </c>
      <c r="K99" s="42">
        <v>46438980.560000017</v>
      </c>
      <c r="L99" s="38"/>
      <c r="M99" s="38"/>
      <c r="N99" s="38"/>
      <c r="O99" s="38"/>
      <c r="P99" s="38"/>
      <c r="Q99" s="38"/>
      <c r="R99" s="38"/>
    </row>
    <row r="100" spans="1:18" x14ac:dyDescent="0.3">
      <c r="A100" s="9"/>
      <c r="B100" s="9"/>
      <c r="C100" s="9"/>
      <c r="D100" s="9"/>
      <c r="E100" s="9"/>
      <c r="F100" s="38"/>
      <c r="G100" s="38"/>
      <c r="H100" s="38"/>
      <c r="I100" s="38"/>
      <c r="J100" s="41">
        <v>40872</v>
      </c>
      <c r="K100" s="42">
        <v>66593605.259999983</v>
      </c>
      <c r="L100" s="38"/>
      <c r="M100" s="38"/>
      <c r="N100" s="38"/>
      <c r="O100" s="38"/>
      <c r="P100" s="38"/>
      <c r="Q100" s="38"/>
      <c r="R100" s="38"/>
    </row>
    <row r="101" spans="1:18" x14ac:dyDescent="0.3">
      <c r="A101" s="9"/>
      <c r="B101" s="9"/>
      <c r="C101" s="9"/>
      <c r="D101" s="9"/>
      <c r="E101" s="9"/>
      <c r="F101" s="38"/>
      <c r="G101" s="38"/>
      <c r="H101" s="38"/>
      <c r="I101" s="38"/>
      <c r="J101" s="41">
        <v>40879</v>
      </c>
      <c r="K101" s="42">
        <v>49390556.490000002</v>
      </c>
      <c r="L101" s="38"/>
      <c r="M101" s="38"/>
      <c r="N101" s="38"/>
      <c r="O101" s="38"/>
      <c r="P101" s="38"/>
      <c r="Q101" s="38"/>
      <c r="R101" s="38"/>
    </row>
    <row r="102" spans="1:18" x14ac:dyDescent="0.3">
      <c r="A102" s="9"/>
      <c r="B102" s="9"/>
      <c r="C102" s="9"/>
      <c r="D102" s="9"/>
      <c r="E102" s="9"/>
      <c r="F102" s="38"/>
      <c r="G102" s="38"/>
      <c r="H102" s="38"/>
      <c r="I102" s="38"/>
      <c r="J102" s="41">
        <v>40886</v>
      </c>
      <c r="K102" s="42">
        <v>55561147.699999988</v>
      </c>
      <c r="L102" s="38"/>
      <c r="M102" s="38"/>
      <c r="N102" s="38"/>
      <c r="O102" s="38"/>
      <c r="P102" s="38"/>
      <c r="Q102" s="38"/>
      <c r="R102" s="38"/>
    </row>
    <row r="103" spans="1:18" x14ac:dyDescent="0.3">
      <c r="A103" s="9"/>
      <c r="B103" s="9"/>
      <c r="C103" s="9"/>
      <c r="D103" s="9"/>
      <c r="E103" s="9"/>
      <c r="F103" s="38"/>
      <c r="G103" s="38"/>
      <c r="H103" s="38"/>
      <c r="I103" s="38"/>
      <c r="J103" s="41">
        <v>40893</v>
      </c>
      <c r="K103" s="42">
        <v>60085695.939999975</v>
      </c>
      <c r="L103" s="38"/>
      <c r="M103" s="38"/>
      <c r="N103" s="38"/>
      <c r="O103" s="38"/>
      <c r="P103" s="38"/>
      <c r="Q103" s="38"/>
      <c r="R103" s="38"/>
    </row>
    <row r="104" spans="1:18" x14ac:dyDescent="0.3">
      <c r="A104" s="9"/>
      <c r="B104" s="9"/>
      <c r="C104" s="9"/>
      <c r="D104" s="9"/>
      <c r="E104" s="9"/>
      <c r="F104" s="38"/>
      <c r="G104" s="38"/>
      <c r="H104" s="38"/>
      <c r="I104" s="38"/>
      <c r="J104" s="41">
        <v>40900</v>
      </c>
      <c r="K104" s="42">
        <v>76998241.310000002</v>
      </c>
      <c r="L104" s="38"/>
      <c r="M104" s="38"/>
      <c r="N104" s="38"/>
      <c r="O104" s="38"/>
      <c r="P104" s="38"/>
      <c r="Q104" s="38"/>
      <c r="R104" s="38"/>
    </row>
    <row r="105" spans="1:18" x14ac:dyDescent="0.3">
      <c r="A105" s="9"/>
      <c r="B105" s="9"/>
      <c r="C105" s="9"/>
      <c r="D105" s="9"/>
      <c r="E105" s="9"/>
      <c r="F105" s="38"/>
      <c r="G105" s="38"/>
      <c r="H105" s="38"/>
      <c r="I105" s="38"/>
      <c r="J105" s="41">
        <v>40907</v>
      </c>
      <c r="K105" s="42">
        <v>46042461.040000007</v>
      </c>
      <c r="L105" s="38"/>
      <c r="M105" s="38"/>
      <c r="N105" s="38"/>
      <c r="O105" s="38"/>
      <c r="P105" s="38"/>
      <c r="Q105" s="38"/>
      <c r="R105" s="38"/>
    </row>
    <row r="106" spans="1:18" x14ac:dyDescent="0.3">
      <c r="A106" s="9"/>
      <c r="B106" s="9"/>
      <c r="C106" s="9"/>
      <c r="D106" s="9"/>
      <c r="E106" s="9"/>
      <c r="F106" s="38"/>
      <c r="G106" s="38"/>
      <c r="H106" s="38"/>
      <c r="I106" s="38"/>
      <c r="J106" s="41">
        <v>40914</v>
      </c>
      <c r="K106" s="42">
        <v>44955421.949999996</v>
      </c>
      <c r="L106" s="38"/>
      <c r="M106" s="38"/>
      <c r="N106" s="38"/>
      <c r="O106" s="38"/>
      <c r="P106" s="38"/>
      <c r="Q106" s="38"/>
      <c r="R106" s="38"/>
    </row>
    <row r="107" spans="1:18" x14ac:dyDescent="0.3">
      <c r="A107" s="9"/>
      <c r="B107" s="9"/>
      <c r="C107" s="9"/>
      <c r="D107" s="9"/>
      <c r="E107" s="9"/>
      <c r="F107" s="38"/>
      <c r="G107" s="38"/>
      <c r="H107" s="38"/>
      <c r="I107" s="38"/>
      <c r="J107" s="41">
        <v>40921</v>
      </c>
      <c r="K107" s="42">
        <v>42023078.480000012</v>
      </c>
      <c r="L107" s="38"/>
      <c r="M107" s="38"/>
      <c r="N107" s="38"/>
      <c r="O107" s="38"/>
      <c r="P107" s="38"/>
      <c r="Q107" s="38"/>
      <c r="R107" s="38"/>
    </row>
    <row r="108" spans="1:18" x14ac:dyDescent="0.3">
      <c r="A108" s="9"/>
      <c r="B108" s="9"/>
      <c r="C108" s="9"/>
      <c r="D108" s="9"/>
      <c r="E108" s="9"/>
      <c r="F108" s="38"/>
      <c r="G108" s="38"/>
      <c r="H108" s="38"/>
      <c r="I108" s="38"/>
      <c r="J108" s="41">
        <v>40928</v>
      </c>
      <c r="K108" s="42">
        <v>42080996.560000002</v>
      </c>
      <c r="L108" s="38"/>
      <c r="M108" s="38"/>
      <c r="N108" s="38"/>
      <c r="O108" s="38"/>
      <c r="P108" s="38"/>
      <c r="Q108" s="38"/>
      <c r="R108" s="38"/>
    </row>
    <row r="109" spans="1:18" x14ac:dyDescent="0.3">
      <c r="A109" s="9"/>
      <c r="B109" s="9"/>
      <c r="C109" s="9"/>
      <c r="D109" s="9"/>
      <c r="E109" s="9"/>
      <c r="F109" s="38"/>
      <c r="G109" s="38"/>
      <c r="H109" s="38"/>
      <c r="I109" s="38"/>
      <c r="J109" s="41">
        <v>40935</v>
      </c>
      <c r="K109" s="42">
        <v>39834974.670000009</v>
      </c>
      <c r="L109" s="38"/>
      <c r="M109" s="38"/>
      <c r="N109" s="38"/>
      <c r="O109" s="38"/>
      <c r="P109" s="38"/>
      <c r="Q109" s="38"/>
      <c r="R109" s="38"/>
    </row>
    <row r="110" spans="1:18" x14ac:dyDescent="0.3">
      <c r="A110" s="9"/>
      <c r="B110" s="9"/>
      <c r="C110" s="9"/>
      <c r="D110" s="9"/>
      <c r="E110" s="9"/>
      <c r="F110" s="38"/>
      <c r="G110" s="38"/>
      <c r="H110" s="38"/>
      <c r="I110" s="38"/>
      <c r="J110" s="41">
        <v>40942</v>
      </c>
      <c r="K110" s="42">
        <v>46085608.090000004</v>
      </c>
      <c r="L110" s="38"/>
      <c r="M110" s="38"/>
      <c r="N110" s="38"/>
      <c r="O110" s="38"/>
      <c r="P110" s="38"/>
      <c r="Q110" s="38"/>
      <c r="R110" s="38"/>
    </row>
    <row r="111" spans="1:18" x14ac:dyDescent="0.3">
      <c r="A111" s="9"/>
      <c r="B111" s="9"/>
      <c r="C111" s="9"/>
      <c r="D111" s="9"/>
      <c r="E111" s="9"/>
      <c r="F111" s="38"/>
      <c r="G111" s="38"/>
      <c r="H111" s="38"/>
      <c r="I111" s="38"/>
      <c r="J111" s="41">
        <v>40949</v>
      </c>
      <c r="K111" s="42">
        <v>50009407.919999994</v>
      </c>
      <c r="L111" s="38"/>
      <c r="M111" s="38"/>
      <c r="N111" s="38"/>
      <c r="O111" s="38"/>
      <c r="P111" s="38"/>
      <c r="Q111" s="38"/>
      <c r="R111" s="38"/>
    </row>
    <row r="112" spans="1:18" x14ac:dyDescent="0.3">
      <c r="A112" s="9"/>
      <c r="B112" s="9"/>
      <c r="C112" s="9"/>
      <c r="D112" s="9"/>
      <c r="E112" s="9"/>
      <c r="F112" s="38"/>
      <c r="G112" s="38"/>
      <c r="H112" s="38"/>
      <c r="I112" s="38"/>
      <c r="J112" s="41">
        <v>40956</v>
      </c>
      <c r="K112" s="42">
        <v>50197056.959999979</v>
      </c>
      <c r="L112" s="38"/>
      <c r="M112" s="38"/>
      <c r="N112" s="38"/>
      <c r="O112" s="38"/>
      <c r="P112" s="38"/>
      <c r="Q112" s="38"/>
      <c r="R112" s="38"/>
    </row>
    <row r="113" spans="1:18" x14ac:dyDescent="0.3">
      <c r="A113" s="9"/>
      <c r="B113" s="9"/>
      <c r="C113" s="9"/>
      <c r="D113" s="9"/>
      <c r="E113" s="9"/>
      <c r="F113" s="38"/>
      <c r="G113" s="38"/>
      <c r="H113" s="38"/>
      <c r="I113" s="38"/>
      <c r="J113" s="41">
        <v>40963</v>
      </c>
      <c r="K113" s="42">
        <v>45771506.57</v>
      </c>
      <c r="L113" s="38"/>
      <c r="M113" s="38"/>
      <c r="N113" s="38"/>
      <c r="O113" s="38"/>
      <c r="P113" s="38"/>
      <c r="Q113" s="38"/>
      <c r="R113" s="38"/>
    </row>
    <row r="114" spans="1:18" x14ac:dyDescent="0.3">
      <c r="A114" s="9"/>
      <c r="B114" s="9"/>
      <c r="C114" s="9"/>
      <c r="D114" s="9"/>
      <c r="E114" s="9"/>
      <c r="F114" s="38"/>
      <c r="G114" s="38"/>
      <c r="H114" s="38"/>
      <c r="I114" s="38"/>
      <c r="J114" s="41">
        <v>40970</v>
      </c>
      <c r="K114" s="42">
        <v>46861034.969999999</v>
      </c>
      <c r="L114" s="38"/>
      <c r="M114" s="38"/>
      <c r="N114" s="38"/>
      <c r="O114" s="38"/>
      <c r="P114" s="38"/>
      <c r="Q114" s="38"/>
      <c r="R114" s="38"/>
    </row>
    <row r="115" spans="1:18" x14ac:dyDescent="0.3">
      <c r="A115" s="9"/>
      <c r="B115" s="9"/>
      <c r="C115" s="9"/>
      <c r="D115" s="9"/>
      <c r="E115" s="9"/>
      <c r="F115" s="38"/>
      <c r="G115" s="38"/>
      <c r="H115" s="38"/>
      <c r="I115" s="38"/>
      <c r="J115" s="41">
        <v>40977</v>
      </c>
      <c r="K115" s="42">
        <v>47480454.110000007</v>
      </c>
      <c r="L115" s="38"/>
      <c r="M115" s="38"/>
      <c r="N115" s="38"/>
      <c r="O115" s="38"/>
      <c r="P115" s="38"/>
      <c r="Q115" s="38"/>
      <c r="R115" s="38"/>
    </row>
    <row r="116" spans="1:18" x14ac:dyDescent="0.3">
      <c r="A116" s="9"/>
      <c r="B116" s="9"/>
      <c r="C116" s="9"/>
      <c r="D116" s="9"/>
      <c r="E116" s="9"/>
      <c r="F116" s="38"/>
      <c r="G116" s="38"/>
      <c r="H116" s="38"/>
      <c r="I116" s="38"/>
      <c r="J116" s="41">
        <v>40984</v>
      </c>
      <c r="K116" s="42">
        <v>46901504.940000005</v>
      </c>
      <c r="L116" s="38"/>
      <c r="M116" s="38"/>
      <c r="N116" s="38"/>
      <c r="O116" s="38"/>
      <c r="P116" s="38"/>
      <c r="Q116" s="38"/>
      <c r="R116" s="38"/>
    </row>
    <row r="117" spans="1:18" x14ac:dyDescent="0.3">
      <c r="A117" s="9"/>
      <c r="B117" s="9"/>
      <c r="C117" s="9"/>
      <c r="D117" s="9"/>
      <c r="E117" s="9"/>
      <c r="F117" s="38"/>
      <c r="G117" s="38"/>
      <c r="H117" s="38"/>
      <c r="I117" s="38"/>
      <c r="J117" s="41">
        <v>40991</v>
      </c>
      <c r="K117" s="42">
        <v>44993794.449999996</v>
      </c>
      <c r="L117" s="38"/>
      <c r="M117" s="38"/>
      <c r="N117" s="38"/>
      <c r="O117" s="38"/>
      <c r="P117" s="38"/>
      <c r="Q117" s="38"/>
      <c r="R117" s="38"/>
    </row>
    <row r="118" spans="1:18" x14ac:dyDescent="0.3">
      <c r="A118" s="9"/>
      <c r="B118" s="9"/>
      <c r="C118" s="9"/>
      <c r="D118" s="9"/>
      <c r="E118" s="9"/>
      <c r="F118" s="38"/>
      <c r="G118" s="38"/>
      <c r="H118" s="38"/>
      <c r="I118" s="38"/>
      <c r="J118" s="41">
        <v>40998</v>
      </c>
      <c r="K118" s="42">
        <v>45272862.019999996</v>
      </c>
      <c r="L118" s="38"/>
      <c r="M118" s="38"/>
      <c r="N118" s="38"/>
      <c r="O118" s="38"/>
      <c r="P118" s="38"/>
      <c r="Q118" s="38"/>
      <c r="R118" s="38"/>
    </row>
    <row r="119" spans="1:18" x14ac:dyDescent="0.3">
      <c r="A119" s="9"/>
      <c r="B119" s="9"/>
      <c r="C119" s="9"/>
      <c r="D119" s="9"/>
      <c r="E119" s="9"/>
      <c r="F119" s="38"/>
      <c r="G119" s="38"/>
      <c r="H119" s="38"/>
      <c r="I119" s="38"/>
      <c r="J119" s="41">
        <v>41005</v>
      </c>
      <c r="K119" s="42">
        <v>53502315.86999999</v>
      </c>
      <c r="L119" s="38"/>
      <c r="M119" s="38"/>
      <c r="N119" s="38"/>
      <c r="O119" s="38"/>
      <c r="P119" s="38"/>
      <c r="Q119" s="38"/>
      <c r="R119" s="38"/>
    </row>
    <row r="120" spans="1:18" x14ac:dyDescent="0.3">
      <c r="A120" s="9"/>
      <c r="B120" s="9"/>
      <c r="C120" s="9"/>
      <c r="D120" s="9"/>
      <c r="E120" s="9"/>
      <c r="F120" s="38"/>
      <c r="G120" s="38"/>
      <c r="H120" s="38"/>
      <c r="I120" s="38"/>
      <c r="J120" s="41">
        <v>41012</v>
      </c>
      <c r="K120" s="42">
        <v>46629261.409999996</v>
      </c>
      <c r="L120" s="38"/>
      <c r="M120" s="38"/>
      <c r="N120" s="38"/>
      <c r="O120" s="38"/>
      <c r="P120" s="38"/>
      <c r="Q120" s="38"/>
      <c r="R120" s="38"/>
    </row>
    <row r="121" spans="1:18" x14ac:dyDescent="0.3">
      <c r="A121" s="9"/>
      <c r="B121" s="9"/>
      <c r="C121" s="9"/>
      <c r="D121" s="9"/>
      <c r="E121" s="9"/>
      <c r="F121" s="38"/>
      <c r="G121" s="38"/>
      <c r="H121" s="38"/>
      <c r="I121" s="38"/>
      <c r="J121" s="41">
        <v>41019</v>
      </c>
      <c r="K121" s="42">
        <v>45072529.779999994</v>
      </c>
      <c r="L121" s="38"/>
      <c r="M121" s="38"/>
      <c r="N121" s="38"/>
      <c r="O121" s="38"/>
      <c r="P121" s="38"/>
      <c r="Q121" s="38"/>
      <c r="R121" s="38"/>
    </row>
    <row r="122" spans="1:18" x14ac:dyDescent="0.3">
      <c r="A122" s="9"/>
      <c r="B122" s="9"/>
      <c r="C122" s="9"/>
      <c r="D122" s="9"/>
      <c r="E122" s="9"/>
      <c r="F122" s="38"/>
      <c r="G122" s="38"/>
      <c r="H122" s="38"/>
      <c r="I122" s="38"/>
      <c r="J122" s="41">
        <v>41026</v>
      </c>
      <c r="K122" s="42">
        <v>43716798.890000001</v>
      </c>
      <c r="L122" s="38"/>
      <c r="M122" s="38"/>
      <c r="N122" s="38"/>
      <c r="O122" s="38"/>
      <c r="P122" s="38"/>
      <c r="Q122" s="38"/>
      <c r="R122" s="38"/>
    </row>
    <row r="123" spans="1:18" x14ac:dyDescent="0.3">
      <c r="A123" s="9"/>
      <c r="B123" s="9"/>
      <c r="C123" s="9"/>
      <c r="D123" s="9"/>
      <c r="E123" s="9"/>
      <c r="F123" s="38"/>
      <c r="G123" s="38"/>
      <c r="H123" s="38"/>
      <c r="I123" s="38"/>
      <c r="J123" s="41">
        <v>41033</v>
      </c>
      <c r="K123" s="42">
        <v>47124197.930000015</v>
      </c>
      <c r="L123" s="38"/>
      <c r="M123" s="38"/>
      <c r="N123" s="38"/>
      <c r="O123" s="38"/>
      <c r="P123" s="38"/>
      <c r="Q123" s="38"/>
      <c r="R123" s="38"/>
    </row>
    <row r="124" spans="1:18" x14ac:dyDescent="0.3">
      <c r="A124" s="9"/>
      <c r="B124" s="9"/>
      <c r="C124" s="9"/>
      <c r="D124" s="9"/>
      <c r="E124" s="9"/>
      <c r="F124" s="38"/>
      <c r="G124" s="38"/>
      <c r="H124" s="38"/>
      <c r="I124" s="38"/>
      <c r="J124" s="41">
        <v>41040</v>
      </c>
      <c r="K124" s="42">
        <v>46925878.99000001</v>
      </c>
      <c r="L124" s="38"/>
      <c r="M124" s="38"/>
      <c r="N124" s="38"/>
      <c r="O124" s="38"/>
      <c r="P124" s="38"/>
      <c r="Q124" s="38"/>
      <c r="R124" s="38"/>
    </row>
    <row r="125" spans="1:18" x14ac:dyDescent="0.3">
      <c r="A125" s="9"/>
      <c r="B125" s="9"/>
      <c r="C125" s="9"/>
      <c r="D125" s="9"/>
      <c r="E125" s="9"/>
      <c r="F125" s="38"/>
      <c r="G125" s="38"/>
      <c r="H125" s="38"/>
      <c r="I125" s="38"/>
      <c r="J125" s="41">
        <v>41047</v>
      </c>
      <c r="K125" s="42">
        <v>46823939.220000014</v>
      </c>
      <c r="L125" s="38"/>
      <c r="M125" s="38"/>
      <c r="N125" s="38"/>
      <c r="O125" s="38"/>
      <c r="P125" s="38"/>
      <c r="Q125" s="38"/>
      <c r="R125" s="38"/>
    </row>
    <row r="126" spans="1:18" x14ac:dyDescent="0.3">
      <c r="A126" s="9"/>
      <c r="B126" s="9"/>
      <c r="C126" s="9"/>
      <c r="D126" s="9"/>
      <c r="E126" s="9"/>
      <c r="F126" s="38"/>
      <c r="G126" s="38"/>
      <c r="H126" s="38"/>
      <c r="I126" s="38"/>
      <c r="J126" s="41">
        <v>41054</v>
      </c>
      <c r="K126" s="42">
        <v>47892463.309999995</v>
      </c>
      <c r="L126" s="38"/>
      <c r="M126" s="38"/>
      <c r="N126" s="38"/>
      <c r="O126" s="38"/>
      <c r="P126" s="38"/>
      <c r="Q126" s="38"/>
      <c r="R126" s="38"/>
    </row>
    <row r="127" spans="1:18" x14ac:dyDescent="0.3">
      <c r="A127" s="9"/>
      <c r="B127" s="9"/>
      <c r="C127" s="9"/>
      <c r="D127" s="9"/>
      <c r="E127" s="9"/>
      <c r="F127" s="38"/>
      <c r="G127" s="38"/>
      <c r="H127" s="38"/>
      <c r="I127" s="38"/>
      <c r="J127" s="41">
        <v>41061</v>
      </c>
      <c r="K127" s="42">
        <v>48281649.720000014</v>
      </c>
      <c r="L127" s="38"/>
      <c r="M127" s="38"/>
      <c r="N127" s="38"/>
      <c r="O127" s="38"/>
      <c r="P127" s="38"/>
      <c r="Q127" s="38"/>
      <c r="R127" s="38"/>
    </row>
    <row r="128" spans="1:18" x14ac:dyDescent="0.3">
      <c r="A128" s="9"/>
      <c r="B128" s="9"/>
      <c r="C128" s="9"/>
      <c r="D128" s="9"/>
      <c r="E128" s="9"/>
      <c r="F128" s="38"/>
      <c r="G128" s="38"/>
      <c r="H128" s="38"/>
      <c r="I128" s="38"/>
      <c r="J128" s="41">
        <v>41068</v>
      </c>
      <c r="K128" s="42">
        <v>49651171.779999994</v>
      </c>
      <c r="L128" s="38"/>
      <c r="M128" s="38"/>
      <c r="N128" s="38"/>
      <c r="O128" s="38"/>
      <c r="P128" s="38"/>
      <c r="Q128" s="38"/>
      <c r="R128" s="38"/>
    </row>
    <row r="129" spans="1:18" x14ac:dyDescent="0.3">
      <c r="A129" s="9"/>
      <c r="B129" s="9"/>
      <c r="C129" s="9"/>
      <c r="D129" s="9"/>
      <c r="E129" s="9"/>
      <c r="F129" s="38"/>
      <c r="G129" s="38"/>
      <c r="H129" s="38"/>
      <c r="I129" s="38"/>
      <c r="J129" s="41">
        <v>41075</v>
      </c>
      <c r="K129" s="42">
        <v>48412110.699999996</v>
      </c>
      <c r="L129" s="38"/>
      <c r="M129" s="38"/>
      <c r="N129" s="38"/>
      <c r="O129" s="38"/>
      <c r="P129" s="38"/>
      <c r="Q129" s="38"/>
      <c r="R129" s="38"/>
    </row>
    <row r="130" spans="1:18" x14ac:dyDescent="0.3">
      <c r="A130" s="9"/>
      <c r="B130" s="9"/>
      <c r="C130" s="9"/>
      <c r="D130" s="9"/>
      <c r="E130" s="9"/>
      <c r="F130" s="38"/>
      <c r="G130" s="38"/>
      <c r="H130" s="38"/>
      <c r="I130" s="38"/>
      <c r="J130" s="41">
        <v>41082</v>
      </c>
      <c r="K130" s="42">
        <v>47668284.969999991</v>
      </c>
      <c r="L130" s="38"/>
      <c r="M130" s="38"/>
      <c r="N130" s="38"/>
      <c r="O130" s="38"/>
      <c r="P130" s="38"/>
      <c r="Q130" s="38"/>
      <c r="R130" s="38"/>
    </row>
    <row r="131" spans="1:18" x14ac:dyDescent="0.3">
      <c r="A131" s="9"/>
      <c r="B131" s="9"/>
      <c r="C131" s="9"/>
      <c r="D131" s="9"/>
      <c r="E131" s="9"/>
      <c r="F131" s="38"/>
      <c r="G131" s="38"/>
      <c r="H131" s="38"/>
      <c r="I131" s="38"/>
      <c r="J131" s="41">
        <v>41089</v>
      </c>
      <c r="K131" s="42">
        <v>46597112.120000005</v>
      </c>
      <c r="L131" s="38"/>
      <c r="M131" s="38"/>
      <c r="N131" s="38"/>
      <c r="O131" s="38"/>
      <c r="P131" s="38"/>
      <c r="Q131" s="38"/>
      <c r="R131" s="38"/>
    </row>
    <row r="132" spans="1:18" x14ac:dyDescent="0.3">
      <c r="A132" s="9"/>
      <c r="B132" s="9"/>
      <c r="C132" s="9"/>
      <c r="D132" s="9"/>
      <c r="E132" s="9"/>
      <c r="F132" s="38"/>
      <c r="G132" s="38"/>
      <c r="H132" s="38"/>
      <c r="I132" s="38"/>
      <c r="J132" s="41">
        <v>41096</v>
      </c>
      <c r="K132" s="42">
        <v>51253021.88000001</v>
      </c>
      <c r="L132" s="38"/>
      <c r="M132" s="38"/>
      <c r="N132" s="38"/>
      <c r="O132" s="38"/>
      <c r="P132" s="38"/>
      <c r="Q132" s="38"/>
      <c r="R132" s="38"/>
    </row>
    <row r="133" spans="1:18" x14ac:dyDescent="0.3">
      <c r="A133" s="9"/>
      <c r="B133" s="9"/>
      <c r="C133" s="9"/>
      <c r="D133" s="9"/>
      <c r="E133" s="9"/>
      <c r="F133" s="38"/>
      <c r="G133" s="38"/>
      <c r="H133" s="38"/>
      <c r="I133" s="38"/>
      <c r="J133" s="41">
        <v>41103</v>
      </c>
      <c r="K133" s="42">
        <v>46099732.099999994</v>
      </c>
      <c r="L133" s="38"/>
      <c r="M133" s="38"/>
      <c r="N133" s="38"/>
      <c r="O133" s="38"/>
      <c r="P133" s="38"/>
      <c r="Q133" s="38"/>
      <c r="R133" s="38"/>
    </row>
    <row r="134" spans="1:18" x14ac:dyDescent="0.3">
      <c r="A134" s="9"/>
      <c r="B134" s="9"/>
      <c r="C134" s="9"/>
      <c r="D134" s="9"/>
      <c r="E134" s="9"/>
      <c r="F134" s="38"/>
      <c r="G134" s="38"/>
      <c r="H134" s="38"/>
      <c r="I134" s="38"/>
      <c r="J134" s="41">
        <v>41110</v>
      </c>
      <c r="K134" s="42">
        <v>46059543.449999996</v>
      </c>
      <c r="L134" s="38"/>
      <c r="M134" s="38"/>
      <c r="N134" s="38"/>
      <c r="O134" s="38"/>
      <c r="P134" s="38"/>
      <c r="Q134" s="38"/>
      <c r="R134" s="38"/>
    </row>
    <row r="135" spans="1:18" x14ac:dyDescent="0.3">
      <c r="A135" s="9"/>
      <c r="B135" s="9"/>
      <c r="C135" s="9"/>
      <c r="D135" s="9"/>
      <c r="E135" s="9"/>
      <c r="F135" s="38"/>
      <c r="G135" s="38"/>
      <c r="H135" s="38"/>
      <c r="I135" s="38"/>
      <c r="J135" s="41">
        <v>41117</v>
      </c>
      <c r="K135" s="42">
        <v>44097154.970000006</v>
      </c>
      <c r="L135" s="38"/>
      <c r="M135" s="38"/>
      <c r="N135" s="38"/>
      <c r="O135" s="38"/>
      <c r="P135" s="38"/>
      <c r="Q135" s="38"/>
      <c r="R135" s="38"/>
    </row>
    <row r="136" spans="1:18" x14ac:dyDescent="0.3">
      <c r="A136" s="9"/>
      <c r="B136" s="9"/>
      <c r="C136" s="9"/>
      <c r="D136" s="9"/>
      <c r="E136" s="9"/>
      <c r="F136" s="38"/>
      <c r="G136" s="38"/>
      <c r="H136" s="38"/>
      <c r="I136" s="38"/>
      <c r="J136" s="41">
        <v>41124</v>
      </c>
      <c r="K136" s="42">
        <v>47485899.560000002</v>
      </c>
      <c r="L136" s="38"/>
      <c r="M136" s="38"/>
      <c r="N136" s="38"/>
      <c r="O136" s="38"/>
      <c r="P136" s="38"/>
      <c r="Q136" s="38"/>
      <c r="R136" s="38"/>
    </row>
    <row r="137" spans="1:18" x14ac:dyDescent="0.3">
      <c r="A137" s="9"/>
      <c r="B137" s="9"/>
      <c r="C137" s="9"/>
      <c r="D137" s="9"/>
      <c r="E137" s="9"/>
      <c r="F137" s="38"/>
      <c r="G137" s="38"/>
      <c r="H137" s="38"/>
      <c r="I137" s="38"/>
      <c r="J137" s="41">
        <v>41131</v>
      </c>
      <c r="K137" s="42">
        <v>47403451.040000021</v>
      </c>
      <c r="L137" s="38"/>
      <c r="M137" s="38"/>
      <c r="N137" s="38"/>
      <c r="O137" s="38"/>
      <c r="P137" s="38"/>
      <c r="Q137" s="38"/>
      <c r="R137" s="38"/>
    </row>
    <row r="138" spans="1:18" x14ac:dyDescent="0.3">
      <c r="A138" s="9"/>
      <c r="B138" s="9"/>
      <c r="C138" s="9"/>
      <c r="D138" s="9"/>
      <c r="E138" s="9"/>
      <c r="F138" s="38"/>
      <c r="G138" s="38"/>
      <c r="H138" s="38"/>
      <c r="I138" s="38"/>
      <c r="J138" s="41">
        <v>41138</v>
      </c>
      <c r="K138" s="42">
        <v>47354452.049999975</v>
      </c>
      <c r="L138" s="38"/>
      <c r="M138" s="38"/>
      <c r="N138" s="38"/>
      <c r="O138" s="38"/>
      <c r="P138" s="38"/>
      <c r="Q138" s="38"/>
      <c r="R138" s="38"/>
    </row>
    <row r="139" spans="1:18" x14ac:dyDescent="0.3">
      <c r="A139" s="9"/>
      <c r="B139" s="9"/>
      <c r="C139" s="9"/>
      <c r="D139" s="9"/>
      <c r="E139" s="9"/>
      <c r="F139" s="38"/>
      <c r="G139" s="38"/>
      <c r="H139" s="38"/>
      <c r="I139" s="38"/>
      <c r="J139" s="41">
        <v>41145</v>
      </c>
      <c r="K139" s="42">
        <v>47447323.600000001</v>
      </c>
      <c r="L139" s="38"/>
      <c r="M139" s="38"/>
      <c r="N139" s="38"/>
      <c r="O139" s="38"/>
      <c r="P139" s="38"/>
      <c r="Q139" s="38"/>
      <c r="R139" s="38"/>
    </row>
    <row r="140" spans="1:18" x14ac:dyDescent="0.3">
      <c r="A140" s="9"/>
      <c r="B140" s="9"/>
      <c r="C140" s="9"/>
      <c r="D140" s="9"/>
      <c r="E140" s="9"/>
      <c r="F140" s="38"/>
      <c r="G140" s="38"/>
      <c r="H140" s="38"/>
      <c r="I140" s="38"/>
      <c r="J140" s="41">
        <v>41152</v>
      </c>
      <c r="K140" s="42">
        <v>47159639.43</v>
      </c>
      <c r="L140" s="38"/>
      <c r="M140" s="38"/>
      <c r="N140" s="38"/>
      <c r="O140" s="38"/>
      <c r="P140" s="38"/>
      <c r="Q140" s="38"/>
      <c r="R140" s="38"/>
    </row>
    <row r="141" spans="1:18" x14ac:dyDescent="0.3">
      <c r="A141" s="9"/>
      <c r="B141" s="9"/>
      <c r="C141" s="9"/>
      <c r="D141" s="9"/>
      <c r="E141" s="9"/>
      <c r="F141" s="38"/>
      <c r="G141" s="38"/>
      <c r="H141" s="38"/>
      <c r="I141" s="38"/>
      <c r="J141" s="41">
        <v>41159</v>
      </c>
      <c r="K141" s="42">
        <v>48330059.310000002</v>
      </c>
      <c r="L141" s="38"/>
      <c r="M141" s="38"/>
      <c r="N141" s="38"/>
      <c r="O141" s="38"/>
      <c r="P141" s="38"/>
      <c r="Q141" s="38"/>
      <c r="R141" s="38"/>
    </row>
    <row r="142" spans="1:18" x14ac:dyDescent="0.3">
      <c r="A142" s="9"/>
      <c r="B142" s="9"/>
      <c r="C142" s="9"/>
      <c r="D142" s="9"/>
      <c r="E142" s="9"/>
      <c r="F142" s="38"/>
      <c r="G142" s="38"/>
      <c r="H142" s="38"/>
      <c r="I142" s="38"/>
      <c r="J142" s="41">
        <v>41166</v>
      </c>
      <c r="K142" s="42">
        <v>44226038.650000006</v>
      </c>
      <c r="L142" s="38"/>
      <c r="M142" s="38"/>
      <c r="N142" s="38"/>
      <c r="O142" s="38"/>
      <c r="P142" s="38"/>
      <c r="Q142" s="38"/>
      <c r="R142" s="38"/>
    </row>
    <row r="143" spans="1:18" x14ac:dyDescent="0.3">
      <c r="A143" s="9"/>
      <c r="B143" s="9"/>
      <c r="C143" s="9"/>
      <c r="D143" s="9"/>
      <c r="E143" s="9"/>
      <c r="F143" s="38"/>
      <c r="G143" s="38"/>
      <c r="H143" s="38"/>
      <c r="I143" s="38"/>
      <c r="J143" s="41">
        <v>41173</v>
      </c>
      <c r="K143" s="42">
        <v>44354547.109999999</v>
      </c>
      <c r="L143" s="38"/>
      <c r="M143" s="38"/>
      <c r="N143" s="38"/>
      <c r="O143" s="38"/>
      <c r="P143" s="38"/>
      <c r="Q143" s="38"/>
      <c r="R143" s="38"/>
    </row>
    <row r="144" spans="1:18" x14ac:dyDescent="0.3">
      <c r="A144" s="9"/>
      <c r="B144" s="9"/>
      <c r="C144" s="9"/>
      <c r="D144" s="9"/>
      <c r="E144" s="9"/>
      <c r="F144" s="38"/>
      <c r="G144" s="38"/>
      <c r="H144" s="38"/>
      <c r="I144" s="38"/>
      <c r="J144" s="41">
        <v>41180</v>
      </c>
      <c r="K144" s="42">
        <v>43734899.399999984</v>
      </c>
      <c r="L144" s="38"/>
      <c r="M144" s="38"/>
      <c r="N144" s="38"/>
      <c r="O144" s="38"/>
      <c r="P144" s="38"/>
      <c r="Q144" s="38"/>
      <c r="R144" s="38"/>
    </row>
    <row r="145" spans="1:18" x14ac:dyDescent="0.3">
      <c r="A145" s="9"/>
      <c r="B145" s="9"/>
      <c r="C145" s="9"/>
      <c r="D145" s="9"/>
      <c r="E145" s="9"/>
      <c r="F145" s="38"/>
      <c r="G145" s="38"/>
      <c r="H145" s="38"/>
      <c r="I145" s="38"/>
      <c r="J145" s="41">
        <v>41187</v>
      </c>
      <c r="K145" s="42">
        <v>47566639.309999995</v>
      </c>
      <c r="L145" s="38"/>
      <c r="M145" s="38"/>
      <c r="N145" s="38"/>
      <c r="O145" s="38"/>
      <c r="P145" s="38"/>
      <c r="Q145" s="38"/>
      <c r="R145" s="38"/>
    </row>
    <row r="146" spans="1:18" x14ac:dyDescent="0.3">
      <c r="A146" s="9"/>
      <c r="B146" s="9"/>
      <c r="C146" s="9"/>
      <c r="D146" s="9"/>
      <c r="E146" s="9"/>
      <c r="F146" s="38"/>
      <c r="G146" s="38"/>
      <c r="H146" s="38"/>
      <c r="I146" s="38"/>
      <c r="J146" s="41">
        <v>41194</v>
      </c>
      <c r="K146" s="42">
        <v>46128514.25</v>
      </c>
      <c r="L146" s="38"/>
      <c r="M146" s="38"/>
      <c r="N146" s="38"/>
      <c r="O146" s="38"/>
      <c r="P146" s="38"/>
      <c r="Q146" s="38"/>
      <c r="R146" s="38"/>
    </row>
    <row r="147" spans="1:18" x14ac:dyDescent="0.3">
      <c r="A147" s="9"/>
      <c r="B147" s="9"/>
      <c r="C147" s="9"/>
      <c r="D147" s="9"/>
      <c r="E147" s="9"/>
      <c r="F147" s="38"/>
      <c r="G147" s="38"/>
      <c r="H147" s="38"/>
      <c r="I147" s="38"/>
      <c r="J147" s="41">
        <v>41201</v>
      </c>
      <c r="K147" s="42">
        <v>45122410.57</v>
      </c>
      <c r="L147" s="38"/>
      <c r="M147" s="38"/>
      <c r="N147" s="38"/>
      <c r="O147" s="38"/>
      <c r="P147" s="38"/>
      <c r="Q147" s="38"/>
      <c r="R147" s="38"/>
    </row>
    <row r="148" spans="1:18" x14ac:dyDescent="0.3">
      <c r="A148" s="9"/>
      <c r="B148" s="9"/>
      <c r="C148" s="9"/>
      <c r="D148" s="9"/>
      <c r="E148" s="9"/>
      <c r="F148" s="38"/>
      <c r="G148" s="38"/>
      <c r="H148" s="38"/>
      <c r="I148" s="38"/>
      <c r="J148" s="41">
        <v>41208</v>
      </c>
      <c r="K148" s="42">
        <v>45544116.290000007</v>
      </c>
      <c r="L148" s="38"/>
      <c r="M148" s="38"/>
      <c r="N148" s="38"/>
      <c r="O148" s="38"/>
      <c r="P148" s="38"/>
      <c r="Q148" s="38"/>
      <c r="R148" s="38"/>
    </row>
    <row r="149" spans="1:18" x14ac:dyDescent="0.3">
      <c r="A149" s="9"/>
      <c r="B149" s="9"/>
      <c r="C149" s="9"/>
      <c r="D149" s="9"/>
      <c r="E149" s="9"/>
      <c r="F149" s="38"/>
      <c r="G149" s="38"/>
      <c r="H149" s="38"/>
      <c r="I149" s="38"/>
      <c r="J149" s="41" t="s">
        <v>57</v>
      </c>
      <c r="K149" s="42">
        <v>6737218987.1100016</v>
      </c>
      <c r="L149" s="38"/>
      <c r="M149" s="38"/>
      <c r="N149" s="38"/>
      <c r="O149" s="38"/>
      <c r="P149" s="38"/>
      <c r="Q149" s="38"/>
      <c r="R149" s="38"/>
    </row>
    <row r="150" spans="1:18" x14ac:dyDescent="0.3">
      <c r="A150" s="9"/>
      <c r="B150" s="9"/>
      <c r="C150" s="9"/>
      <c r="D150" s="9"/>
      <c r="E150" s="9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</row>
  </sheetData>
  <mergeCells count="4">
    <mergeCell ref="B2:D2"/>
    <mergeCell ref="B10:C10"/>
    <mergeCell ref="H2:K2"/>
    <mergeCell ref="P2:Q2"/>
  </mergeCells>
  <pageMargins left="0.7" right="0.7" top="0.75" bottom="0.75" header="0.3" footer="0.3"/>
  <pageSetup paperSize="9" orientation="portrait" r:id="rId7"/>
  <tableParts count="1"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C8414-AF15-4840-9A07-BF4545EC9113}">
  <dimension ref="A1:B3"/>
  <sheetViews>
    <sheetView workbookViewId="0">
      <selection activeCell="B3" sqref="B3"/>
    </sheetView>
  </sheetViews>
  <sheetFormatPr defaultRowHeight="14.4" x14ac:dyDescent="0.3"/>
  <cols>
    <col min="1" max="1" width="9.21875" customWidth="1"/>
    <col min="2" max="2" width="23.88671875" customWidth="1"/>
  </cols>
  <sheetData>
    <row r="1" spans="1:2" x14ac:dyDescent="0.3">
      <c r="A1" t="s">
        <v>59</v>
      </c>
      <c r="B1" t="s">
        <v>77</v>
      </c>
    </row>
    <row r="2" spans="1:2" x14ac:dyDescent="0.3">
      <c r="A2">
        <v>0</v>
      </c>
      <c r="B2" s="8">
        <v>1041256.3802088564</v>
      </c>
    </row>
    <row r="3" spans="1:2" x14ac:dyDescent="0.3">
      <c r="A3">
        <v>1</v>
      </c>
      <c r="B3" s="8">
        <v>1122887.8923555554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B2A3-C361-40D7-97B2-08C1910DE9BC}">
  <dimension ref="A1:B3"/>
  <sheetViews>
    <sheetView workbookViewId="0">
      <selection activeCell="D3" sqref="D3"/>
    </sheetView>
  </sheetViews>
  <sheetFormatPr defaultRowHeight="14.4" x14ac:dyDescent="0.3"/>
  <cols>
    <col min="1" max="1" width="12.21875" customWidth="1"/>
    <col min="2" max="2" width="14.5546875" customWidth="1"/>
  </cols>
  <sheetData>
    <row r="1" spans="1:2" x14ac:dyDescent="0.3">
      <c r="A1" t="s">
        <v>59</v>
      </c>
      <c r="B1" t="s">
        <v>58</v>
      </c>
    </row>
    <row r="2" spans="1:2" x14ac:dyDescent="0.3">
      <c r="A2">
        <v>1</v>
      </c>
      <c r="B2">
        <v>450</v>
      </c>
    </row>
    <row r="3" spans="1:2" x14ac:dyDescent="0.3">
      <c r="A3">
        <v>0</v>
      </c>
      <c r="B3">
        <v>5985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EC40-83C9-41D7-87DC-5C0C2BE58ECD}">
  <dimension ref="A1:B145"/>
  <sheetViews>
    <sheetView workbookViewId="0">
      <selection activeCell="D6" sqref="D6"/>
    </sheetView>
  </sheetViews>
  <sheetFormatPr defaultRowHeight="14.4" x14ac:dyDescent="0.3"/>
  <cols>
    <col min="2" max="2" width="20.77734375" customWidth="1"/>
  </cols>
  <sheetData>
    <row r="1" spans="1:2" x14ac:dyDescent="0.3">
      <c r="A1" t="s">
        <v>1</v>
      </c>
      <c r="B1" t="s">
        <v>64</v>
      </c>
    </row>
    <row r="2" spans="1:2" x14ac:dyDescent="0.3">
      <c r="A2">
        <v>40214</v>
      </c>
      <c r="B2" s="2">
        <v>49750740.499999993</v>
      </c>
    </row>
    <row r="3" spans="1:2" x14ac:dyDescent="0.3">
      <c r="A3">
        <v>40221</v>
      </c>
      <c r="B3" s="2">
        <v>48336677.630000018</v>
      </c>
    </row>
    <row r="4" spans="1:2" x14ac:dyDescent="0.3">
      <c r="A4">
        <v>40228</v>
      </c>
      <c r="B4" s="2">
        <v>48276993.779999994</v>
      </c>
    </row>
    <row r="5" spans="1:2" x14ac:dyDescent="0.3">
      <c r="A5">
        <v>40235</v>
      </c>
      <c r="B5" s="2">
        <v>43968571.129999988</v>
      </c>
    </row>
    <row r="6" spans="1:2" x14ac:dyDescent="0.3">
      <c r="A6">
        <v>40242</v>
      </c>
      <c r="B6" s="2">
        <v>46871470.300000004</v>
      </c>
    </row>
    <row r="7" spans="1:2" x14ac:dyDescent="0.3">
      <c r="A7">
        <v>40249</v>
      </c>
      <c r="B7" s="2">
        <v>45925396.509999998</v>
      </c>
    </row>
    <row r="8" spans="1:2" x14ac:dyDescent="0.3">
      <c r="A8">
        <v>40256</v>
      </c>
      <c r="B8" s="2">
        <v>44988974.640000015</v>
      </c>
    </row>
    <row r="9" spans="1:2" x14ac:dyDescent="0.3">
      <c r="A9">
        <v>40263</v>
      </c>
      <c r="B9" s="2">
        <v>44133961.049999997</v>
      </c>
    </row>
    <row r="10" spans="1:2" x14ac:dyDescent="0.3">
      <c r="A10">
        <v>40270</v>
      </c>
      <c r="B10" s="2">
        <v>50423831.259999998</v>
      </c>
    </row>
    <row r="11" spans="1:2" x14ac:dyDescent="0.3">
      <c r="A11">
        <v>40277</v>
      </c>
      <c r="B11" s="2">
        <v>47365290.43999999</v>
      </c>
    </row>
    <row r="12" spans="1:2" x14ac:dyDescent="0.3">
      <c r="A12">
        <v>40284</v>
      </c>
      <c r="B12" s="2">
        <v>45183667.080000006</v>
      </c>
    </row>
    <row r="13" spans="1:2" x14ac:dyDescent="0.3">
      <c r="A13">
        <v>40291</v>
      </c>
      <c r="B13" s="2">
        <v>44734452.56000001</v>
      </c>
    </row>
    <row r="14" spans="1:2" x14ac:dyDescent="0.3">
      <c r="A14">
        <v>40298</v>
      </c>
      <c r="B14" s="2">
        <v>43705126.709999993</v>
      </c>
    </row>
    <row r="15" spans="1:2" x14ac:dyDescent="0.3">
      <c r="A15">
        <v>40305</v>
      </c>
      <c r="B15" s="2">
        <v>48503243.519999996</v>
      </c>
    </row>
    <row r="16" spans="1:2" x14ac:dyDescent="0.3">
      <c r="A16">
        <v>40312</v>
      </c>
      <c r="B16" s="2">
        <v>45330080.20000001</v>
      </c>
    </row>
    <row r="17" spans="1:2" x14ac:dyDescent="0.3">
      <c r="A17">
        <v>40319</v>
      </c>
      <c r="B17" s="2">
        <v>45120108.059999995</v>
      </c>
    </row>
    <row r="18" spans="1:2" x14ac:dyDescent="0.3">
      <c r="A18">
        <v>40326</v>
      </c>
      <c r="B18" s="2">
        <v>47757502.559999987</v>
      </c>
    </row>
    <row r="19" spans="1:2" x14ac:dyDescent="0.3">
      <c r="A19">
        <v>40333</v>
      </c>
      <c r="B19" s="2">
        <v>50188543.12000002</v>
      </c>
    </row>
    <row r="20" spans="1:2" x14ac:dyDescent="0.3">
      <c r="A20">
        <v>40340</v>
      </c>
      <c r="B20" s="2">
        <v>47826546.720000006</v>
      </c>
    </row>
    <row r="21" spans="1:2" x14ac:dyDescent="0.3">
      <c r="A21">
        <v>40347</v>
      </c>
      <c r="B21" s="2">
        <v>47622046.230000004</v>
      </c>
    </row>
    <row r="22" spans="1:2" x14ac:dyDescent="0.3">
      <c r="A22">
        <v>40354</v>
      </c>
      <c r="B22" s="2">
        <v>46609036.289999999</v>
      </c>
    </row>
    <row r="23" spans="1:2" x14ac:dyDescent="0.3">
      <c r="A23">
        <v>40361</v>
      </c>
      <c r="B23" s="2">
        <v>48917484.5</v>
      </c>
    </row>
    <row r="24" spans="1:2" x14ac:dyDescent="0.3">
      <c r="A24">
        <v>40368</v>
      </c>
      <c r="B24" s="2">
        <v>47899529.370000005</v>
      </c>
    </row>
    <row r="25" spans="1:2" x14ac:dyDescent="0.3">
      <c r="A25">
        <v>40375</v>
      </c>
      <c r="B25" s="2">
        <v>46243899.580000013</v>
      </c>
    </row>
    <row r="26" spans="1:2" x14ac:dyDescent="0.3">
      <c r="A26">
        <v>40382</v>
      </c>
      <c r="B26" s="2">
        <v>44888849.109999992</v>
      </c>
    </row>
    <row r="27" spans="1:2" x14ac:dyDescent="0.3">
      <c r="A27">
        <v>40389</v>
      </c>
      <c r="B27" s="2">
        <v>44630363.420000024</v>
      </c>
    </row>
    <row r="28" spans="1:2" x14ac:dyDescent="0.3">
      <c r="A28">
        <v>40396</v>
      </c>
      <c r="B28" s="2">
        <v>48204999.120000005</v>
      </c>
    </row>
    <row r="29" spans="1:2" x14ac:dyDescent="0.3">
      <c r="A29">
        <v>40403</v>
      </c>
      <c r="B29" s="2">
        <v>46464418.409999982</v>
      </c>
    </row>
    <row r="30" spans="1:2" x14ac:dyDescent="0.3">
      <c r="A30">
        <v>40410</v>
      </c>
      <c r="B30" s="2">
        <v>47060952.919999994</v>
      </c>
    </row>
    <row r="31" spans="1:2" x14ac:dyDescent="0.3">
      <c r="A31">
        <v>40417</v>
      </c>
      <c r="B31" s="2">
        <v>45909740.440000005</v>
      </c>
    </row>
    <row r="32" spans="1:2" x14ac:dyDescent="0.3">
      <c r="A32">
        <v>40424</v>
      </c>
      <c r="B32" s="2">
        <v>47194257.609999999</v>
      </c>
    </row>
    <row r="33" spans="1:2" x14ac:dyDescent="0.3">
      <c r="A33">
        <v>40431</v>
      </c>
      <c r="B33" s="2">
        <v>45634397.840000004</v>
      </c>
    </row>
    <row r="34" spans="1:2" x14ac:dyDescent="0.3">
      <c r="A34">
        <v>40438</v>
      </c>
      <c r="B34" s="2">
        <v>43080726.509999998</v>
      </c>
    </row>
    <row r="35" spans="1:2" x14ac:dyDescent="0.3">
      <c r="A35">
        <v>40445</v>
      </c>
      <c r="B35" s="2">
        <v>41358514.410000004</v>
      </c>
    </row>
    <row r="36" spans="1:2" x14ac:dyDescent="0.3">
      <c r="A36">
        <v>40452</v>
      </c>
      <c r="B36" s="2">
        <v>42239875.870000005</v>
      </c>
    </row>
    <row r="37" spans="1:2" x14ac:dyDescent="0.3">
      <c r="A37">
        <v>40459</v>
      </c>
      <c r="B37" s="2">
        <v>45102974.230000004</v>
      </c>
    </row>
    <row r="38" spans="1:2" x14ac:dyDescent="0.3">
      <c r="A38">
        <v>40466</v>
      </c>
      <c r="B38" s="2">
        <v>43149473.450000003</v>
      </c>
    </row>
    <row r="39" spans="1:2" x14ac:dyDescent="0.3">
      <c r="A39">
        <v>40473</v>
      </c>
      <c r="B39" s="2">
        <v>43066669.519999988</v>
      </c>
    </row>
    <row r="40" spans="1:2" x14ac:dyDescent="0.3">
      <c r="A40">
        <v>40480</v>
      </c>
      <c r="B40" s="2">
        <v>43602830.950000003</v>
      </c>
    </row>
    <row r="41" spans="1:2" x14ac:dyDescent="0.3">
      <c r="A41">
        <v>40487</v>
      </c>
      <c r="B41" s="2">
        <v>45781981.890000015</v>
      </c>
    </row>
    <row r="42" spans="1:2" x14ac:dyDescent="0.3">
      <c r="A42">
        <v>40494</v>
      </c>
      <c r="B42" s="2">
        <v>46124800.829999991</v>
      </c>
    </row>
    <row r="43" spans="1:2" x14ac:dyDescent="0.3">
      <c r="A43">
        <v>40501</v>
      </c>
      <c r="B43" s="2">
        <v>45125584.180000007</v>
      </c>
    </row>
    <row r="44" spans="1:2" x14ac:dyDescent="0.3">
      <c r="A44">
        <v>40508</v>
      </c>
      <c r="B44" s="2">
        <v>65821003.239999987</v>
      </c>
    </row>
    <row r="45" spans="1:2" x14ac:dyDescent="0.3">
      <c r="A45">
        <v>40515</v>
      </c>
      <c r="B45" s="2">
        <v>49909027.879999995</v>
      </c>
    </row>
    <row r="46" spans="1:2" x14ac:dyDescent="0.3">
      <c r="A46">
        <v>40522</v>
      </c>
      <c r="B46" s="2">
        <v>55666770.390000008</v>
      </c>
    </row>
    <row r="47" spans="1:2" x14ac:dyDescent="0.3">
      <c r="A47">
        <v>40529</v>
      </c>
      <c r="B47" s="2">
        <v>61820799.850000009</v>
      </c>
    </row>
    <row r="48" spans="1:2" x14ac:dyDescent="0.3">
      <c r="A48">
        <v>40536</v>
      </c>
      <c r="B48" s="2">
        <v>80931415.600000009</v>
      </c>
    </row>
    <row r="49" spans="1:2" x14ac:dyDescent="0.3">
      <c r="A49">
        <v>40543</v>
      </c>
      <c r="B49" s="2">
        <v>40432519</v>
      </c>
    </row>
    <row r="50" spans="1:2" x14ac:dyDescent="0.3">
      <c r="A50">
        <v>40550</v>
      </c>
      <c r="B50" s="2">
        <v>42775787.770000003</v>
      </c>
    </row>
    <row r="51" spans="1:2" x14ac:dyDescent="0.3">
      <c r="A51">
        <v>40557</v>
      </c>
      <c r="B51" s="2">
        <v>40673678.039999992</v>
      </c>
    </row>
    <row r="52" spans="1:2" x14ac:dyDescent="0.3">
      <c r="A52">
        <v>40564</v>
      </c>
      <c r="B52" s="2">
        <v>40654648.029999986</v>
      </c>
    </row>
    <row r="53" spans="1:2" x14ac:dyDescent="0.3">
      <c r="A53">
        <v>40571</v>
      </c>
      <c r="B53" s="2">
        <v>39599852.989999995</v>
      </c>
    </row>
    <row r="54" spans="1:2" x14ac:dyDescent="0.3">
      <c r="A54">
        <v>40578</v>
      </c>
      <c r="B54" s="2">
        <v>46153111.119999982</v>
      </c>
    </row>
    <row r="55" spans="1:2" x14ac:dyDescent="0.3">
      <c r="A55">
        <v>40585</v>
      </c>
      <c r="B55" s="2">
        <v>47336192.790000021</v>
      </c>
    </row>
    <row r="56" spans="1:2" x14ac:dyDescent="0.3">
      <c r="A56">
        <v>40592</v>
      </c>
      <c r="B56" s="2">
        <v>48716164.120000005</v>
      </c>
    </row>
    <row r="57" spans="1:2" x14ac:dyDescent="0.3">
      <c r="A57">
        <v>40599</v>
      </c>
      <c r="B57" s="2">
        <v>44125859.840000004</v>
      </c>
    </row>
    <row r="58" spans="1:2" x14ac:dyDescent="0.3">
      <c r="A58">
        <v>40606</v>
      </c>
      <c r="B58" s="2">
        <v>46980603.739999995</v>
      </c>
    </row>
    <row r="59" spans="1:2" x14ac:dyDescent="0.3">
      <c r="A59">
        <v>40613</v>
      </c>
      <c r="B59" s="2">
        <v>44627319.399999999</v>
      </c>
    </row>
    <row r="60" spans="1:2" x14ac:dyDescent="0.3">
      <c r="A60">
        <v>40620</v>
      </c>
      <c r="B60" s="2">
        <v>44872325.969999999</v>
      </c>
    </row>
    <row r="61" spans="1:2" x14ac:dyDescent="0.3">
      <c r="A61">
        <v>40627</v>
      </c>
      <c r="B61" s="2">
        <v>42876199.180000007</v>
      </c>
    </row>
    <row r="62" spans="1:2" x14ac:dyDescent="0.3">
      <c r="A62">
        <v>40634</v>
      </c>
      <c r="B62" s="2">
        <v>43458991.190000005</v>
      </c>
    </row>
    <row r="63" spans="1:2" x14ac:dyDescent="0.3">
      <c r="A63">
        <v>40641</v>
      </c>
      <c r="B63" s="2">
        <v>45887466.799999982</v>
      </c>
    </row>
    <row r="64" spans="1:2" x14ac:dyDescent="0.3">
      <c r="A64">
        <v>40648</v>
      </c>
      <c r="B64" s="2">
        <v>44973328.139999993</v>
      </c>
    </row>
    <row r="65" spans="1:2" x14ac:dyDescent="0.3">
      <c r="A65">
        <v>40655</v>
      </c>
      <c r="B65" s="2">
        <v>48676692.05999998</v>
      </c>
    </row>
    <row r="66" spans="1:2" x14ac:dyDescent="0.3">
      <c r="A66">
        <v>40662</v>
      </c>
      <c r="B66" s="2">
        <v>43530032.779999994</v>
      </c>
    </row>
    <row r="67" spans="1:2" x14ac:dyDescent="0.3">
      <c r="A67">
        <v>40669</v>
      </c>
      <c r="B67" s="2">
        <v>46861958.289999992</v>
      </c>
    </row>
    <row r="68" spans="1:2" x14ac:dyDescent="0.3">
      <c r="A68">
        <v>40676</v>
      </c>
      <c r="B68" s="2">
        <v>45446144.82</v>
      </c>
    </row>
    <row r="69" spans="1:2" x14ac:dyDescent="0.3">
      <c r="A69">
        <v>40683</v>
      </c>
      <c r="B69" s="2">
        <v>44046598.00999999</v>
      </c>
    </row>
    <row r="70" spans="1:2" x14ac:dyDescent="0.3">
      <c r="A70">
        <v>40690</v>
      </c>
      <c r="B70" s="2">
        <v>45293457.040000007</v>
      </c>
    </row>
    <row r="71" spans="1:2" x14ac:dyDescent="0.3">
      <c r="A71">
        <v>40697</v>
      </c>
      <c r="B71" s="2">
        <v>48771994.180000007</v>
      </c>
    </row>
    <row r="72" spans="1:2" x14ac:dyDescent="0.3">
      <c r="A72">
        <v>40704</v>
      </c>
      <c r="B72" s="2">
        <v>47669734.659999996</v>
      </c>
    </row>
    <row r="73" spans="1:2" x14ac:dyDescent="0.3">
      <c r="A73">
        <v>40711</v>
      </c>
      <c r="B73" s="2">
        <v>47447561.770000018</v>
      </c>
    </row>
    <row r="74" spans="1:2" x14ac:dyDescent="0.3">
      <c r="A74">
        <v>40718</v>
      </c>
      <c r="B74" s="2">
        <v>45884094.579999998</v>
      </c>
    </row>
    <row r="75" spans="1:2" x14ac:dyDescent="0.3">
      <c r="A75">
        <v>40725</v>
      </c>
      <c r="B75" s="2">
        <v>47578519.5</v>
      </c>
    </row>
    <row r="76" spans="1:2" x14ac:dyDescent="0.3">
      <c r="A76">
        <v>40732</v>
      </c>
      <c r="B76" s="2">
        <v>47859263.780000001</v>
      </c>
    </row>
    <row r="77" spans="1:2" x14ac:dyDescent="0.3">
      <c r="A77">
        <v>40739</v>
      </c>
      <c r="B77" s="2">
        <v>45515929.919999994</v>
      </c>
    </row>
    <row r="78" spans="1:2" x14ac:dyDescent="0.3">
      <c r="A78">
        <v>40746</v>
      </c>
      <c r="B78" s="2">
        <v>45274411.389999993</v>
      </c>
    </row>
    <row r="79" spans="1:2" x14ac:dyDescent="0.3">
      <c r="A79">
        <v>40753</v>
      </c>
      <c r="B79" s="2">
        <v>43683274.280000001</v>
      </c>
    </row>
    <row r="80" spans="1:2" x14ac:dyDescent="0.3">
      <c r="A80">
        <v>40760</v>
      </c>
      <c r="B80" s="2">
        <v>48015466.970000014</v>
      </c>
    </row>
    <row r="81" spans="1:2" x14ac:dyDescent="0.3">
      <c r="A81">
        <v>40767</v>
      </c>
      <c r="B81" s="2">
        <v>46249569.210000008</v>
      </c>
    </row>
    <row r="82" spans="1:2" x14ac:dyDescent="0.3">
      <c r="A82">
        <v>40774</v>
      </c>
      <c r="B82" s="2">
        <v>46917347.61999999</v>
      </c>
    </row>
    <row r="83" spans="1:2" x14ac:dyDescent="0.3">
      <c r="A83">
        <v>40781</v>
      </c>
      <c r="B83" s="2">
        <v>47416948.449999988</v>
      </c>
    </row>
    <row r="84" spans="1:2" x14ac:dyDescent="0.3">
      <c r="A84">
        <v>40788</v>
      </c>
      <c r="B84" s="2">
        <v>45376623.269999996</v>
      </c>
    </row>
    <row r="85" spans="1:2" x14ac:dyDescent="0.3">
      <c r="A85">
        <v>40795</v>
      </c>
      <c r="B85" s="2">
        <v>46763227.529999994</v>
      </c>
    </row>
    <row r="86" spans="1:2" x14ac:dyDescent="0.3">
      <c r="A86">
        <v>40802</v>
      </c>
      <c r="B86" s="2">
        <v>43793960.080000013</v>
      </c>
    </row>
    <row r="87" spans="1:2" x14ac:dyDescent="0.3">
      <c r="A87">
        <v>40809</v>
      </c>
      <c r="B87" s="2">
        <v>42718096.730000004</v>
      </c>
    </row>
    <row r="88" spans="1:2" x14ac:dyDescent="0.3">
      <c r="A88">
        <v>40816</v>
      </c>
      <c r="B88" s="2">
        <v>42195830.810000002</v>
      </c>
    </row>
    <row r="89" spans="1:2" x14ac:dyDescent="0.3">
      <c r="A89">
        <v>40823</v>
      </c>
      <c r="B89" s="2">
        <v>47211688.359999999</v>
      </c>
    </row>
    <row r="90" spans="1:2" x14ac:dyDescent="0.3">
      <c r="A90">
        <v>40830</v>
      </c>
      <c r="B90" s="2">
        <v>44374820.300000004</v>
      </c>
    </row>
    <row r="91" spans="1:2" x14ac:dyDescent="0.3">
      <c r="A91">
        <v>40837</v>
      </c>
      <c r="B91" s="2">
        <v>45818953.439999998</v>
      </c>
    </row>
    <row r="92" spans="1:2" x14ac:dyDescent="0.3">
      <c r="A92">
        <v>40844</v>
      </c>
      <c r="B92" s="2">
        <v>45855821.050000012</v>
      </c>
    </row>
    <row r="93" spans="1:2" x14ac:dyDescent="0.3">
      <c r="A93">
        <v>40851</v>
      </c>
      <c r="B93" s="2">
        <v>48655544.300000004</v>
      </c>
    </row>
    <row r="94" spans="1:2" x14ac:dyDescent="0.3">
      <c r="A94">
        <v>40858</v>
      </c>
      <c r="B94" s="2">
        <v>48474224.750000007</v>
      </c>
    </row>
    <row r="95" spans="1:2" x14ac:dyDescent="0.3">
      <c r="A95">
        <v>40865</v>
      </c>
      <c r="B95" s="2">
        <v>46438980.560000017</v>
      </c>
    </row>
    <row r="96" spans="1:2" x14ac:dyDescent="0.3">
      <c r="A96">
        <v>40872</v>
      </c>
      <c r="B96" s="2">
        <v>66593605.259999983</v>
      </c>
    </row>
    <row r="97" spans="1:2" x14ac:dyDescent="0.3">
      <c r="A97">
        <v>40879</v>
      </c>
      <c r="B97" s="2">
        <v>49390556.490000002</v>
      </c>
    </row>
    <row r="98" spans="1:2" x14ac:dyDescent="0.3">
      <c r="A98">
        <v>40886</v>
      </c>
      <c r="B98" s="2">
        <v>55561147.699999988</v>
      </c>
    </row>
    <row r="99" spans="1:2" x14ac:dyDescent="0.3">
      <c r="A99">
        <v>40893</v>
      </c>
      <c r="B99" s="2">
        <v>60085695.939999975</v>
      </c>
    </row>
    <row r="100" spans="1:2" x14ac:dyDescent="0.3">
      <c r="A100">
        <v>40900</v>
      </c>
      <c r="B100" s="2">
        <v>76998241.310000002</v>
      </c>
    </row>
    <row r="101" spans="1:2" x14ac:dyDescent="0.3">
      <c r="A101">
        <v>40907</v>
      </c>
      <c r="B101" s="2">
        <v>46042461.040000007</v>
      </c>
    </row>
    <row r="102" spans="1:2" x14ac:dyDescent="0.3">
      <c r="A102">
        <v>40914</v>
      </c>
      <c r="B102" s="2">
        <v>44955421.949999996</v>
      </c>
    </row>
    <row r="103" spans="1:2" x14ac:dyDescent="0.3">
      <c r="A103">
        <v>40921</v>
      </c>
      <c r="B103" s="2">
        <v>42023078.480000012</v>
      </c>
    </row>
    <row r="104" spans="1:2" x14ac:dyDescent="0.3">
      <c r="A104">
        <v>40928</v>
      </c>
      <c r="B104" s="2">
        <v>42080996.560000002</v>
      </c>
    </row>
    <row r="105" spans="1:2" x14ac:dyDescent="0.3">
      <c r="A105">
        <v>40935</v>
      </c>
      <c r="B105" s="2">
        <v>39834974.670000009</v>
      </c>
    </row>
    <row r="106" spans="1:2" x14ac:dyDescent="0.3">
      <c r="A106">
        <v>40942</v>
      </c>
      <c r="B106" s="2">
        <v>46085608.090000004</v>
      </c>
    </row>
    <row r="107" spans="1:2" x14ac:dyDescent="0.3">
      <c r="A107">
        <v>40949</v>
      </c>
      <c r="B107" s="2">
        <v>50009407.919999994</v>
      </c>
    </row>
    <row r="108" spans="1:2" x14ac:dyDescent="0.3">
      <c r="A108">
        <v>40956</v>
      </c>
      <c r="B108" s="2">
        <v>50197056.959999979</v>
      </c>
    </row>
    <row r="109" spans="1:2" x14ac:dyDescent="0.3">
      <c r="A109">
        <v>40963</v>
      </c>
      <c r="B109" s="2">
        <v>45771506.57</v>
      </c>
    </row>
    <row r="110" spans="1:2" x14ac:dyDescent="0.3">
      <c r="A110">
        <v>40970</v>
      </c>
      <c r="B110" s="2">
        <v>46861034.969999999</v>
      </c>
    </row>
    <row r="111" spans="1:2" x14ac:dyDescent="0.3">
      <c r="A111">
        <v>40977</v>
      </c>
      <c r="B111" s="2">
        <v>47480454.110000007</v>
      </c>
    </row>
    <row r="112" spans="1:2" x14ac:dyDescent="0.3">
      <c r="A112">
        <v>40984</v>
      </c>
      <c r="B112" s="2">
        <v>46901504.940000005</v>
      </c>
    </row>
    <row r="113" spans="1:2" x14ac:dyDescent="0.3">
      <c r="A113">
        <v>40991</v>
      </c>
      <c r="B113" s="2">
        <v>44993794.449999996</v>
      </c>
    </row>
    <row r="114" spans="1:2" x14ac:dyDescent="0.3">
      <c r="A114">
        <v>40998</v>
      </c>
      <c r="B114" s="2">
        <v>45272862.019999996</v>
      </c>
    </row>
    <row r="115" spans="1:2" x14ac:dyDescent="0.3">
      <c r="A115">
        <v>41005</v>
      </c>
      <c r="B115" s="2">
        <v>53502315.86999999</v>
      </c>
    </row>
    <row r="116" spans="1:2" x14ac:dyDescent="0.3">
      <c r="A116">
        <v>41012</v>
      </c>
      <c r="B116" s="2">
        <v>46629261.409999996</v>
      </c>
    </row>
    <row r="117" spans="1:2" x14ac:dyDescent="0.3">
      <c r="A117">
        <v>41019</v>
      </c>
      <c r="B117" s="2">
        <v>45072529.779999994</v>
      </c>
    </row>
    <row r="118" spans="1:2" x14ac:dyDescent="0.3">
      <c r="A118">
        <v>41026</v>
      </c>
      <c r="B118" s="2">
        <v>43716798.890000001</v>
      </c>
    </row>
    <row r="119" spans="1:2" x14ac:dyDescent="0.3">
      <c r="A119">
        <v>41033</v>
      </c>
      <c r="B119" s="2">
        <v>47124197.930000015</v>
      </c>
    </row>
    <row r="120" spans="1:2" x14ac:dyDescent="0.3">
      <c r="A120">
        <v>41040</v>
      </c>
      <c r="B120" s="2">
        <v>46925878.99000001</v>
      </c>
    </row>
    <row r="121" spans="1:2" x14ac:dyDescent="0.3">
      <c r="A121">
        <v>41047</v>
      </c>
      <c r="B121" s="2">
        <v>46823939.220000014</v>
      </c>
    </row>
    <row r="122" spans="1:2" x14ac:dyDescent="0.3">
      <c r="A122">
        <v>41054</v>
      </c>
      <c r="B122" s="2">
        <v>47892463.309999995</v>
      </c>
    </row>
    <row r="123" spans="1:2" x14ac:dyDescent="0.3">
      <c r="A123">
        <v>41061</v>
      </c>
      <c r="B123" s="2">
        <v>48281649.720000014</v>
      </c>
    </row>
    <row r="124" spans="1:2" x14ac:dyDescent="0.3">
      <c r="A124">
        <v>41068</v>
      </c>
      <c r="B124" s="2">
        <v>49651171.779999994</v>
      </c>
    </row>
    <row r="125" spans="1:2" x14ac:dyDescent="0.3">
      <c r="A125">
        <v>41075</v>
      </c>
      <c r="B125" s="2">
        <v>48412110.699999996</v>
      </c>
    </row>
    <row r="126" spans="1:2" x14ac:dyDescent="0.3">
      <c r="A126">
        <v>41082</v>
      </c>
      <c r="B126" s="2">
        <v>47668284.969999991</v>
      </c>
    </row>
    <row r="127" spans="1:2" x14ac:dyDescent="0.3">
      <c r="A127">
        <v>41089</v>
      </c>
      <c r="B127" s="2">
        <v>46597112.120000005</v>
      </c>
    </row>
    <row r="128" spans="1:2" x14ac:dyDescent="0.3">
      <c r="A128">
        <v>41096</v>
      </c>
      <c r="B128" s="2">
        <v>51253021.88000001</v>
      </c>
    </row>
    <row r="129" spans="1:2" x14ac:dyDescent="0.3">
      <c r="A129">
        <v>41103</v>
      </c>
      <c r="B129" s="2">
        <v>46099732.099999994</v>
      </c>
    </row>
    <row r="130" spans="1:2" x14ac:dyDescent="0.3">
      <c r="A130">
        <v>41110</v>
      </c>
      <c r="B130" s="2">
        <v>46059543.449999996</v>
      </c>
    </row>
    <row r="131" spans="1:2" x14ac:dyDescent="0.3">
      <c r="A131">
        <v>41117</v>
      </c>
      <c r="B131" s="2">
        <v>44097154.970000006</v>
      </c>
    </row>
    <row r="132" spans="1:2" x14ac:dyDescent="0.3">
      <c r="A132">
        <v>41124</v>
      </c>
      <c r="B132" s="2">
        <v>47485899.560000002</v>
      </c>
    </row>
    <row r="133" spans="1:2" x14ac:dyDescent="0.3">
      <c r="A133">
        <v>41131</v>
      </c>
      <c r="B133" s="2">
        <v>47403451.040000021</v>
      </c>
    </row>
    <row r="134" spans="1:2" x14ac:dyDescent="0.3">
      <c r="A134">
        <v>41138</v>
      </c>
      <c r="B134" s="2">
        <v>47354452.049999975</v>
      </c>
    </row>
    <row r="135" spans="1:2" x14ac:dyDescent="0.3">
      <c r="A135">
        <v>41145</v>
      </c>
      <c r="B135" s="2">
        <v>47447323.600000001</v>
      </c>
    </row>
    <row r="136" spans="1:2" x14ac:dyDescent="0.3">
      <c r="A136">
        <v>41152</v>
      </c>
      <c r="B136" s="2">
        <v>47159639.43</v>
      </c>
    </row>
    <row r="137" spans="1:2" x14ac:dyDescent="0.3">
      <c r="A137">
        <v>41159</v>
      </c>
      <c r="B137" s="2">
        <v>48330059.310000002</v>
      </c>
    </row>
    <row r="138" spans="1:2" x14ac:dyDescent="0.3">
      <c r="A138">
        <v>41166</v>
      </c>
      <c r="B138" s="2">
        <v>44226038.650000006</v>
      </c>
    </row>
    <row r="139" spans="1:2" x14ac:dyDescent="0.3">
      <c r="A139">
        <v>41173</v>
      </c>
      <c r="B139" s="2">
        <v>44354547.109999999</v>
      </c>
    </row>
    <row r="140" spans="1:2" x14ac:dyDescent="0.3">
      <c r="A140">
        <v>41180</v>
      </c>
      <c r="B140" s="2">
        <v>43734899.399999984</v>
      </c>
    </row>
    <row r="141" spans="1:2" x14ac:dyDescent="0.3">
      <c r="A141">
        <v>41187</v>
      </c>
      <c r="B141" s="2">
        <v>47566639.309999995</v>
      </c>
    </row>
    <row r="142" spans="1:2" x14ac:dyDescent="0.3">
      <c r="A142">
        <v>41194</v>
      </c>
      <c r="B142" s="2">
        <v>46128514.25</v>
      </c>
    </row>
    <row r="143" spans="1:2" x14ac:dyDescent="0.3">
      <c r="A143">
        <v>41201</v>
      </c>
      <c r="B143" s="2">
        <v>45122410.57</v>
      </c>
    </row>
    <row r="144" spans="1:2" x14ac:dyDescent="0.3">
      <c r="A144">
        <v>41208</v>
      </c>
      <c r="B144" s="2">
        <v>45544116.290000007</v>
      </c>
    </row>
    <row r="145" spans="1:2" x14ac:dyDescent="0.3">
      <c r="A145" t="s">
        <v>57</v>
      </c>
      <c r="B145" s="2">
        <v>6737218987.1100016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05CC1-DF2F-4B65-BC2D-F104062CBCDF}">
  <dimension ref="A1:B13"/>
  <sheetViews>
    <sheetView workbookViewId="0">
      <selection activeCell="D4" sqref="D4"/>
    </sheetView>
  </sheetViews>
  <sheetFormatPr defaultRowHeight="14.4" x14ac:dyDescent="0.3"/>
  <cols>
    <col min="2" max="2" width="20.77734375" customWidth="1"/>
  </cols>
  <sheetData>
    <row r="1" spans="1:2" x14ac:dyDescent="0.3">
      <c r="A1" t="s">
        <v>85</v>
      </c>
      <c r="B1" t="s">
        <v>64</v>
      </c>
    </row>
    <row r="2" spans="1:2" x14ac:dyDescent="0.3">
      <c r="A2" t="s">
        <v>65</v>
      </c>
      <c r="B2" s="2">
        <v>332598438.48999983</v>
      </c>
    </row>
    <row r="3" spans="1:2" x14ac:dyDescent="0.3">
      <c r="A3" t="s">
        <v>66</v>
      </c>
      <c r="B3" s="2">
        <v>568727890.44999933</v>
      </c>
    </row>
    <row r="4" spans="1:2" x14ac:dyDescent="0.3">
      <c r="A4" t="s">
        <v>67</v>
      </c>
      <c r="B4" s="2">
        <v>592785901.27999997</v>
      </c>
    </row>
    <row r="5" spans="1:2" x14ac:dyDescent="0.3">
      <c r="A5" t="s">
        <v>68</v>
      </c>
      <c r="B5" s="2">
        <v>646859784.97000074</v>
      </c>
    </row>
    <row r="6" spans="1:2" x14ac:dyDescent="0.3">
      <c r="A6" t="s">
        <v>69</v>
      </c>
      <c r="B6" s="2">
        <v>557125571.94999957</v>
      </c>
    </row>
    <row r="7" spans="1:2" x14ac:dyDescent="0.3">
      <c r="A7" t="s">
        <v>70</v>
      </c>
      <c r="B7" s="2">
        <v>622629886.83999991</v>
      </c>
    </row>
    <row r="8" spans="1:2" x14ac:dyDescent="0.3">
      <c r="A8" t="s">
        <v>71</v>
      </c>
      <c r="B8" s="2">
        <v>650000977.24999976</v>
      </c>
    </row>
    <row r="9" spans="1:2" x14ac:dyDescent="0.3">
      <c r="A9" t="s">
        <v>72</v>
      </c>
      <c r="B9" s="2">
        <v>613090208.82000017</v>
      </c>
    </row>
    <row r="10" spans="1:2" x14ac:dyDescent="0.3">
      <c r="A10" t="s">
        <v>73</v>
      </c>
      <c r="B10" s="2">
        <v>578761179.25999987</v>
      </c>
    </row>
    <row r="11" spans="1:2" x14ac:dyDescent="0.3">
      <c r="A11" t="s">
        <v>74</v>
      </c>
      <c r="B11" s="2">
        <v>584784787.58999968</v>
      </c>
    </row>
    <row r="12" spans="1:2" x14ac:dyDescent="0.3">
      <c r="A12" t="s">
        <v>75</v>
      </c>
      <c r="B12" s="2">
        <v>413015725.01000017</v>
      </c>
    </row>
    <row r="13" spans="1:2" x14ac:dyDescent="0.3">
      <c r="A13" t="s">
        <v>76</v>
      </c>
      <c r="B13" s="2">
        <v>576838635.19999993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87EE-FB4D-4DB1-82AB-CA1972CC6F90}">
  <dimension ref="A3:C11"/>
  <sheetViews>
    <sheetView workbookViewId="0">
      <selection activeCell="A3" sqref="A3:B11"/>
    </sheetView>
  </sheetViews>
  <sheetFormatPr defaultRowHeight="14.4" x14ac:dyDescent="0.3"/>
  <cols>
    <col min="1" max="1" width="27.33203125" customWidth="1"/>
    <col min="2" max="2" width="9.88671875" customWidth="1"/>
  </cols>
  <sheetData>
    <row r="3" spans="1:3" x14ac:dyDescent="0.3">
      <c r="B3" s="6" t="s">
        <v>79</v>
      </c>
      <c r="C3" s="6" t="s">
        <v>80</v>
      </c>
    </row>
    <row r="5" spans="1:3" x14ac:dyDescent="0.3">
      <c r="A5" t="s">
        <v>78</v>
      </c>
      <c r="B5" s="4">
        <f>CORREL(Walmart[CPI],Walmart[Weekly_Sales])</f>
        <v>-7.2634162040176503E-2</v>
      </c>
      <c r="C5">
        <v>5.3E-3</v>
      </c>
    </row>
    <row r="7" spans="1:3" x14ac:dyDescent="0.3">
      <c r="A7" t="s">
        <v>81</v>
      </c>
      <c r="B7" s="5">
        <f>CORREL(Walmart[Fuel_Price],Walmart[Weekly_Sales])</f>
        <v>9.4637863144751647E-3</v>
      </c>
    </row>
    <row r="9" spans="1:3" x14ac:dyDescent="0.3">
      <c r="A9" t="s">
        <v>82</v>
      </c>
      <c r="B9" s="5">
        <f>CORREL(Walmart[Unemployment],Walmart[Weekly_Sales])</f>
        <v>-0.10617608965795383</v>
      </c>
      <c r="C9">
        <v>0.01</v>
      </c>
    </row>
    <row r="11" spans="1:3" x14ac:dyDescent="0.3">
      <c r="A11" t="s">
        <v>83</v>
      </c>
      <c r="B11">
        <f>CORREL(Walmart[Temperature],Walmart[Weekly_Sales])</f>
        <v>-6.3810013179469632E-2</v>
      </c>
      <c r="C11">
        <v>4.0000000000000001E-3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8A8C28-6160-4945-A59A-D3D7822DD6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Bottom 5</vt:lpstr>
      <vt:lpstr>Top 5</vt:lpstr>
      <vt:lpstr>Walmart</vt:lpstr>
      <vt:lpstr>Overview Analysis</vt:lpstr>
      <vt:lpstr>Holiday</vt:lpstr>
      <vt:lpstr>Holiday Dist</vt:lpstr>
      <vt:lpstr>Sales Trend</vt:lpstr>
      <vt:lpstr>Monthly Sales</vt:lpstr>
      <vt:lpstr>Economic_Factors_Analysis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yağmur ozar</dc:creator>
  <cp:lastModifiedBy>yağmur ozar</cp:lastModifiedBy>
  <dcterms:created xsi:type="dcterms:W3CDTF">2026-05-10T10:38:54Z</dcterms:created>
  <dcterms:modified xsi:type="dcterms:W3CDTF">2026-05-12T17:05:01Z</dcterms:modified>
</cp:coreProperties>
</file>